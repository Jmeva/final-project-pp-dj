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ALIDAD 2024\INAI S\INA RECETAS 2017 A MAYO 2024\"/>
    </mc:Choice>
  </mc:AlternateContent>
  <xr:revisionPtr revIDLastSave="0" documentId="13_ncr:1_{BB46CDBA-F652-4E39-8433-63651F1FCA63}" xr6:coauthVersionLast="47" xr6:coauthVersionMax="47" xr10:uidLastSave="{00000000-0000-0000-0000-000000000000}"/>
  <bookViews>
    <workbookView xWindow="-120" yWindow="-120" windowWidth="29040" windowHeight="15840" activeTab="1" xr2:uid="{AA9E402E-63F3-4D50-9343-3AC4ADA3E6C4}"/>
  </bookViews>
  <sheets>
    <sheet name="DH" sheetId="3" r:id="rId1"/>
    <sheet name="MA" sheetId="4" r:id="rId2"/>
  </sheets>
  <definedNames>
    <definedName name="_xlnm._FilterDatabase" localSheetId="0" hidden="1">DH!$D$7:$N$7</definedName>
    <definedName name="_xlnm._FilterDatabase" localSheetId="1" hidden="1">MA!$D$7:$N$7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B10" i="4" l="1"/>
  <c r="NA10" i="4"/>
  <c r="MN10" i="4"/>
  <c r="LZ10" i="4"/>
  <c r="LL10" i="4"/>
  <c r="LL11" i="4"/>
  <c r="LL12" i="4"/>
  <c r="LL13" i="4"/>
  <c r="LL14" i="4"/>
  <c r="LL15" i="4"/>
  <c r="LL16" i="4"/>
  <c r="LL17" i="4"/>
  <c r="LL18" i="4"/>
  <c r="LL19" i="4"/>
  <c r="LL20" i="4"/>
  <c r="LL21" i="4"/>
  <c r="LL22" i="4"/>
  <c r="LL23" i="4"/>
  <c r="LL24" i="4"/>
  <c r="LL25" i="4"/>
  <c r="LL26" i="4"/>
  <c r="LL27" i="4"/>
  <c r="LL28" i="4"/>
  <c r="LL29" i="4"/>
  <c r="LL30" i="4"/>
  <c r="LL31" i="4"/>
  <c r="LL32" i="4"/>
  <c r="LL33" i="4"/>
  <c r="LL34" i="4"/>
  <c r="LL35" i="4"/>
  <c r="LL36" i="4"/>
  <c r="LL37" i="4"/>
  <c r="LL38" i="4"/>
  <c r="LL39" i="4"/>
  <c r="LL40" i="4"/>
  <c r="LL41" i="4"/>
  <c r="LL42" i="4"/>
  <c r="LL43" i="4"/>
  <c r="LL44" i="4"/>
  <c r="LL45" i="4"/>
  <c r="LL46" i="4"/>
  <c r="LL47" i="4"/>
  <c r="LL48" i="4"/>
  <c r="LL49" i="4"/>
  <c r="LL50" i="4"/>
  <c r="LL51" i="4"/>
  <c r="LL52" i="4"/>
  <c r="LL53" i="4"/>
  <c r="LL54" i="4"/>
  <c r="LL55" i="4"/>
  <c r="LL56" i="4"/>
  <c r="LL57" i="4"/>
  <c r="LL58" i="4"/>
  <c r="KX10" i="4"/>
  <c r="MB59" i="4"/>
  <c r="MC59" i="4"/>
  <c r="MD59" i="4"/>
  <c r="ME59" i="4"/>
  <c r="MF59" i="4"/>
  <c r="MG59" i="4"/>
  <c r="MH59" i="4"/>
  <c r="MI59" i="4"/>
  <c r="MJ59" i="4"/>
  <c r="MK59" i="4"/>
  <c r="ML59" i="4"/>
  <c r="MM59" i="4"/>
  <c r="MB60" i="4"/>
  <c r="MC60" i="4"/>
  <c r="MD60" i="4"/>
  <c r="ME60" i="4"/>
  <c r="MF60" i="4"/>
  <c r="MG60" i="4"/>
  <c r="MH60" i="4"/>
  <c r="MI60" i="4"/>
  <c r="MJ60" i="4"/>
  <c r="MK60" i="4"/>
  <c r="ML60" i="4"/>
  <c r="MM60" i="4"/>
  <c r="MB61" i="4"/>
  <c r="MC61" i="4"/>
  <c r="MD61" i="4"/>
  <c r="ME61" i="4"/>
  <c r="MF61" i="4"/>
  <c r="MG61" i="4"/>
  <c r="MH61" i="4"/>
  <c r="MI61" i="4"/>
  <c r="MJ61" i="4"/>
  <c r="MK61" i="4"/>
  <c r="ML61" i="4"/>
  <c r="MM61" i="4"/>
  <c r="MB62" i="4"/>
  <c r="MC62" i="4"/>
  <c r="MD62" i="4"/>
  <c r="ME62" i="4"/>
  <c r="MF62" i="4"/>
  <c r="MG62" i="4"/>
  <c r="MH62" i="4"/>
  <c r="MI62" i="4"/>
  <c r="MJ62" i="4"/>
  <c r="MK62" i="4"/>
  <c r="ML62" i="4"/>
  <c r="MM62" i="4"/>
  <c r="MB63" i="4"/>
  <c r="MC63" i="4"/>
  <c r="MD63" i="4"/>
  <c r="ME63" i="4"/>
  <c r="MF63" i="4"/>
  <c r="MG63" i="4"/>
  <c r="MH63" i="4"/>
  <c r="MI63" i="4"/>
  <c r="MJ63" i="4"/>
  <c r="MK63" i="4"/>
  <c r="ML63" i="4"/>
  <c r="MM63" i="4"/>
  <c r="MC58" i="4"/>
  <c r="MD58" i="4"/>
  <c r="ME58" i="4"/>
  <c r="MF58" i="4"/>
  <c r="MG58" i="4"/>
  <c r="MH58" i="4"/>
  <c r="MI58" i="4"/>
  <c r="MJ58" i="4"/>
  <c r="MK58" i="4"/>
  <c r="ML58" i="4"/>
  <c r="MM58" i="4"/>
  <c r="MB58" i="4"/>
  <c r="MN58" i="4" s="1"/>
  <c r="MC55" i="4"/>
  <c r="MD55" i="4"/>
  <c r="ME55" i="4"/>
  <c r="MF55" i="4"/>
  <c r="MN55" i="4" s="1"/>
  <c r="MB55" i="4"/>
  <c r="MC49" i="4"/>
  <c r="MD49" i="4"/>
  <c r="ME49" i="4"/>
  <c r="MF49" i="4"/>
  <c r="MG49" i="4"/>
  <c r="MH49" i="4"/>
  <c r="MI49" i="4"/>
  <c r="MJ49" i="4"/>
  <c r="MK49" i="4"/>
  <c r="ML49" i="4"/>
  <c r="MM49" i="4"/>
  <c r="MB49" i="4"/>
  <c r="MC43" i="4"/>
  <c r="MD43" i="4"/>
  <c r="ME43" i="4"/>
  <c r="MF43" i="4"/>
  <c r="MN43" i="4" s="1"/>
  <c r="MG43" i="4"/>
  <c r="MH43" i="4"/>
  <c r="MI43" i="4"/>
  <c r="MJ43" i="4"/>
  <c r="MK43" i="4"/>
  <c r="ML43" i="4"/>
  <c r="MM43" i="4"/>
  <c r="MB43" i="4"/>
  <c r="MC37" i="4"/>
  <c r="MD37" i="4"/>
  <c r="ME37" i="4"/>
  <c r="MF37" i="4"/>
  <c r="MG37" i="4"/>
  <c r="MH37" i="4"/>
  <c r="MI37" i="4"/>
  <c r="MJ37" i="4"/>
  <c r="MK37" i="4"/>
  <c r="ML37" i="4"/>
  <c r="MM37" i="4"/>
  <c r="MB37" i="4"/>
  <c r="MC31" i="4"/>
  <c r="MD31" i="4"/>
  <c r="ME31" i="4"/>
  <c r="MF31" i="4"/>
  <c r="MG31" i="4"/>
  <c r="MH31" i="4"/>
  <c r="MI31" i="4"/>
  <c r="MJ31" i="4"/>
  <c r="MK31" i="4"/>
  <c r="ML31" i="4"/>
  <c r="MM31" i="4"/>
  <c r="MB31" i="4"/>
  <c r="MC25" i="4"/>
  <c r="MD25" i="4"/>
  <c r="ME25" i="4"/>
  <c r="MF25" i="4"/>
  <c r="MN25" i="4" s="1"/>
  <c r="MG25" i="4"/>
  <c r="MH25" i="4"/>
  <c r="MI25" i="4"/>
  <c r="MJ25" i="4"/>
  <c r="MK25" i="4"/>
  <c r="ML25" i="4"/>
  <c r="MM25" i="4"/>
  <c r="MB25" i="4"/>
  <c r="MC19" i="4"/>
  <c r="MD19" i="4"/>
  <c r="ME19" i="4"/>
  <c r="MF19" i="4"/>
  <c r="MG19" i="4"/>
  <c r="MH19" i="4"/>
  <c r="MI19" i="4"/>
  <c r="MJ19" i="4"/>
  <c r="MK19" i="4"/>
  <c r="ML19" i="4"/>
  <c r="MM19" i="4"/>
  <c r="MB19" i="4"/>
  <c r="MN19" i="4" s="1"/>
  <c r="MC13" i="4"/>
  <c r="MD13" i="4"/>
  <c r="ME13" i="4"/>
  <c r="MF13" i="4"/>
  <c r="MG13" i="4"/>
  <c r="MH13" i="4"/>
  <c r="MI13" i="4"/>
  <c r="MJ13" i="4"/>
  <c r="MK13" i="4"/>
  <c r="ML13" i="4"/>
  <c r="MM13" i="4"/>
  <c r="MB13" i="4"/>
  <c r="MN11" i="4"/>
  <c r="MN12" i="4"/>
  <c r="MN13" i="4"/>
  <c r="MN14" i="4"/>
  <c r="MN15" i="4"/>
  <c r="MN16" i="4"/>
  <c r="MN17" i="4"/>
  <c r="MN18" i="4"/>
  <c r="MN20" i="4"/>
  <c r="MN21" i="4"/>
  <c r="MN22" i="4"/>
  <c r="MN23" i="4"/>
  <c r="MN24" i="4"/>
  <c r="MN26" i="4"/>
  <c r="MN27" i="4"/>
  <c r="MN28" i="4"/>
  <c r="MN29" i="4"/>
  <c r="MN30" i="4"/>
  <c r="MN31" i="4"/>
  <c r="MN32" i="4"/>
  <c r="MN33" i="4"/>
  <c r="MN34" i="4"/>
  <c r="MN35" i="4"/>
  <c r="MN36" i="4"/>
  <c r="MN38" i="4"/>
  <c r="MN39" i="4"/>
  <c r="MN40" i="4"/>
  <c r="MN41" i="4"/>
  <c r="MN42" i="4"/>
  <c r="MN44" i="4"/>
  <c r="MN45" i="4"/>
  <c r="MN46" i="4"/>
  <c r="MN47" i="4"/>
  <c r="MN48" i="4"/>
  <c r="MN49" i="4"/>
  <c r="MN50" i="4"/>
  <c r="MN51" i="4"/>
  <c r="MN52" i="4"/>
  <c r="MN53" i="4"/>
  <c r="MN54" i="4"/>
  <c r="MN56" i="4"/>
  <c r="MN57" i="4"/>
  <c r="NB10" i="3"/>
  <c r="MB59" i="3"/>
  <c r="MC59" i="3"/>
  <c r="MD59" i="3"/>
  <c r="ME59" i="3"/>
  <c r="MF59" i="3"/>
  <c r="MG59" i="3"/>
  <c r="MH59" i="3"/>
  <c r="MI59" i="3"/>
  <c r="MJ59" i="3"/>
  <c r="MK59" i="3"/>
  <c r="ML59" i="3"/>
  <c r="MM59" i="3"/>
  <c r="MB60" i="3"/>
  <c r="MC60" i="3"/>
  <c r="MD60" i="3"/>
  <c r="ME60" i="3"/>
  <c r="MF60" i="3"/>
  <c r="MG60" i="3"/>
  <c r="MH60" i="3"/>
  <c r="MI60" i="3"/>
  <c r="MJ60" i="3"/>
  <c r="MK60" i="3"/>
  <c r="ML60" i="3"/>
  <c r="MM60" i="3"/>
  <c r="MB61" i="3"/>
  <c r="MC61" i="3"/>
  <c r="MD61" i="3"/>
  <c r="ME61" i="3"/>
  <c r="MF61" i="3"/>
  <c r="MG61" i="3"/>
  <c r="MH61" i="3"/>
  <c r="MI61" i="3"/>
  <c r="MJ61" i="3"/>
  <c r="MK61" i="3"/>
  <c r="ML61" i="3"/>
  <c r="MM61" i="3"/>
  <c r="MB62" i="3"/>
  <c r="MC62" i="3"/>
  <c r="MD62" i="3"/>
  <c r="ME62" i="3"/>
  <c r="MF62" i="3"/>
  <c r="MG62" i="3"/>
  <c r="MH62" i="3"/>
  <c r="MI62" i="3"/>
  <c r="MJ62" i="3"/>
  <c r="MK62" i="3"/>
  <c r="ML62" i="3"/>
  <c r="MM62" i="3"/>
  <c r="MB63" i="3"/>
  <c r="MC63" i="3"/>
  <c r="MD63" i="3"/>
  <c r="ME63" i="3"/>
  <c r="MF63" i="3"/>
  <c r="MG63" i="3"/>
  <c r="MH63" i="3"/>
  <c r="MI63" i="3"/>
  <c r="MJ63" i="3"/>
  <c r="MK63" i="3"/>
  <c r="ML63" i="3"/>
  <c r="MM63" i="3"/>
  <c r="MC58" i="3"/>
  <c r="MN58" i="3" s="1"/>
  <c r="MD58" i="3"/>
  <c r="ME58" i="3"/>
  <c r="MF58" i="3"/>
  <c r="MG58" i="3"/>
  <c r="MH58" i="3"/>
  <c r="MI58" i="3"/>
  <c r="MJ58" i="3"/>
  <c r="MK58" i="3"/>
  <c r="ML58" i="3"/>
  <c r="MM58" i="3"/>
  <c r="MB58" i="3"/>
  <c r="MC55" i="3"/>
  <c r="MD55" i="3"/>
  <c r="ME55" i="3"/>
  <c r="MN55" i="3" s="1"/>
  <c r="MF55" i="3"/>
  <c r="MB55" i="3"/>
  <c r="MC49" i="3"/>
  <c r="MD49" i="3"/>
  <c r="MN49" i="3" s="1"/>
  <c r="ME49" i="3"/>
  <c r="MF49" i="3"/>
  <c r="MG49" i="3"/>
  <c r="MH49" i="3"/>
  <c r="MI49" i="3"/>
  <c r="MJ49" i="3"/>
  <c r="MK49" i="3"/>
  <c r="ML49" i="3"/>
  <c r="MM49" i="3"/>
  <c r="MB49" i="3"/>
  <c r="MC43" i="3"/>
  <c r="MD43" i="3"/>
  <c r="ME43" i="3"/>
  <c r="MF43" i="3"/>
  <c r="MG43" i="3"/>
  <c r="MH43" i="3"/>
  <c r="MI43" i="3"/>
  <c r="MJ43" i="3"/>
  <c r="MK43" i="3"/>
  <c r="ML43" i="3"/>
  <c r="MM43" i="3"/>
  <c r="MB43" i="3"/>
  <c r="MN43" i="3" s="1"/>
  <c r="MC37" i="3"/>
  <c r="MD37" i="3"/>
  <c r="ME37" i="3"/>
  <c r="MF37" i="3"/>
  <c r="MG37" i="3"/>
  <c r="MH37" i="3"/>
  <c r="MI37" i="3"/>
  <c r="MJ37" i="3"/>
  <c r="MK37" i="3"/>
  <c r="ML37" i="3"/>
  <c r="MM37" i="3"/>
  <c r="MB37" i="3"/>
  <c r="MC31" i="3"/>
  <c r="MD31" i="3"/>
  <c r="MN31" i="3" s="1"/>
  <c r="ME31" i="3"/>
  <c r="MF31" i="3"/>
  <c r="MG31" i="3"/>
  <c r="MH31" i="3"/>
  <c r="MI31" i="3"/>
  <c r="MJ31" i="3"/>
  <c r="MK31" i="3"/>
  <c r="ML31" i="3"/>
  <c r="MM31" i="3"/>
  <c r="MB31" i="3"/>
  <c r="MC25" i="3"/>
  <c r="MD25" i="3"/>
  <c r="ME25" i="3"/>
  <c r="MF25" i="3"/>
  <c r="MG25" i="3"/>
  <c r="MH25" i="3"/>
  <c r="MI25" i="3"/>
  <c r="MJ25" i="3"/>
  <c r="MK25" i="3"/>
  <c r="ML25" i="3"/>
  <c r="MM25" i="3"/>
  <c r="MB25" i="3"/>
  <c r="MN25" i="3" s="1"/>
  <c r="MC19" i="3"/>
  <c r="MD19" i="3"/>
  <c r="ME19" i="3"/>
  <c r="MF19" i="3"/>
  <c r="MG19" i="3"/>
  <c r="MH19" i="3"/>
  <c r="MI19" i="3"/>
  <c r="MJ19" i="3"/>
  <c r="MK19" i="3"/>
  <c r="ML19" i="3"/>
  <c r="MM19" i="3"/>
  <c r="MB19" i="3"/>
  <c r="MN19" i="3" s="1"/>
  <c r="MC13" i="3"/>
  <c r="MD13" i="3"/>
  <c r="ME13" i="3"/>
  <c r="MF13" i="3"/>
  <c r="MG13" i="3"/>
  <c r="MH13" i="3"/>
  <c r="MI13" i="3"/>
  <c r="MJ13" i="3"/>
  <c r="MN13" i="3" s="1"/>
  <c r="MK13" i="3"/>
  <c r="ML13" i="3"/>
  <c r="MM13" i="3"/>
  <c r="MB13" i="3"/>
  <c r="MN10" i="3"/>
  <c r="MN11" i="3"/>
  <c r="MN12" i="3"/>
  <c r="MN14" i="3"/>
  <c r="MN15" i="3"/>
  <c r="MN16" i="3"/>
  <c r="MN17" i="3"/>
  <c r="MN18" i="3"/>
  <c r="MN20" i="3"/>
  <c r="MN21" i="3"/>
  <c r="MN22" i="3"/>
  <c r="MN23" i="3"/>
  <c r="MN24" i="3"/>
  <c r="MN26" i="3"/>
  <c r="MN27" i="3"/>
  <c r="MN28" i="3"/>
  <c r="MN29" i="3"/>
  <c r="MN30" i="3"/>
  <c r="MN32" i="3"/>
  <c r="MN33" i="3"/>
  <c r="MN34" i="3"/>
  <c r="MN35" i="3"/>
  <c r="MN36" i="3"/>
  <c r="MN37" i="3"/>
  <c r="MN38" i="3"/>
  <c r="MN39" i="3"/>
  <c r="MN40" i="3"/>
  <c r="MN41" i="3"/>
  <c r="MN42" i="3"/>
  <c r="MN44" i="3"/>
  <c r="MN45" i="3"/>
  <c r="MN46" i="3"/>
  <c r="MN47" i="3"/>
  <c r="MN48" i="3"/>
  <c r="MN50" i="3"/>
  <c r="MN51" i="3"/>
  <c r="MN52" i="3"/>
  <c r="MN53" i="3"/>
  <c r="MN54" i="3"/>
  <c r="MN56" i="3"/>
  <c r="MN57" i="3"/>
  <c r="MN37" i="4" l="1"/>
  <c r="LN58" i="4" l="1"/>
  <c r="LO55" i="4"/>
  <c r="LO61" i="4" s="1"/>
  <c r="LP55" i="4"/>
  <c r="LQ55" i="4"/>
  <c r="LR55" i="4"/>
  <c r="LN55" i="4"/>
  <c r="LO49" i="4"/>
  <c r="LP49" i="4"/>
  <c r="LQ49" i="4"/>
  <c r="LR49" i="4"/>
  <c r="LS49" i="4"/>
  <c r="LT49" i="4"/>
  <c r="LU49" i="4"/>
  <c r="LV49" i="4"/>
  <c r="LW49" i="4"/>
  <c r="LX49" i="4"/>
  <c r="LY49" i="4"/>
  <c r="LN49" i="4"/>
  <c r="LO43" i="4"/>
  <c r="LP43" i="4"/>
  <c r="LQ43" i="4"/>
  <c r="LR43" i="4"/>
  <c r="LS43" i="4"/>
  <c r="LT43" i="4"/>
  <c r="LU43" i="4"/>
  <c r="LV43" i="4"/>
  <c r="LW43" i="4"/>
  <c r="LX43" i="4"/>
  <c r="LY43" i="4"/>
  <c r="LN43" i="4"/>
  <c r="LO37" i="4"/>
  <c r="LP37" i="4"/>
  <c r="LQ37" i="4"/>
  <c r="LR37" i="4"/>
  <c r="LS37" i="4"/>
  <c r="LT37" i="4"/>
  <c r="LU37" i="4"/>
  <c r="LV37" i="4"/>
  <c r="LW37" i="4"/>
  <c r="LX37" i="4"/>
  <c r="LY37" i="4"/>
  <c r="LN37" i="4"/>
  <c r="LY31" i="4"/>
  <c r="LO31" i="4"/>
  <c r="LP31" i="4"/>
  <c r="LQ31" i="4"/>
  <c r="LR31" i="4"/>
  <c r="LS31" i="4"/>
  <c r="LS61" i="4" s="1"/>
  <c r="LT31" i="4"/>
  <c r="LU31" i="4"/>
  <c r="LV31" i="4"/>
  <c r="LW31" i="4"/>
  <c r="LX31" i="4"/>
  <c r="LN31" i="4"/>
  <c r="LO25" i="4"/>
  <c r="LP25" i="4"/>
  <c r="LQ25" i="4"/>
  <c r="LR25" i="4"/>
  <c r="LS25" i="4"/>
  <c r="LT25" i="4"/>
  <c r="LU25" i="4"/>
  <c r="LU61" i="4" s="1"/>
  <c r="LV25" i="4"/>
  <c r="LW25" i="4"/>
  <c r="LX25" i="4"/>
  <c r="LY25" i="4"/>
  <c r="LY61" i="4" s="1"/>
  <c r="LN25" i="4"/>
  <c r="LO19" i="4"/>
  <c r="LP19" i="4"/>
  <c r="LQ19" i="4"/>
  <c r="LR19" i="4"/>
  <c r="LS19" i="4"/>
  <c r="LT19" i="4"/>
  <c r="LU19" i="4"/>
  <c r="LV19" i="4"/>
  <c r="LW19" i="4"/>
  <c r="LX19" i="4"/>
  <c r="LY19" i="4"/>
  <c r="LN19" i="4"/>
  <c r="LO13" i="4"/>
  <c r="LP13" i="4"/>
  <c r="LQ13" i="4"/>
  <c r="LR13" i="4"/>
  <c r="LS13" i="4"/>
  <c r="LT13" i="4"/>
  <c r="LU13" i="4"/>
  <c r="LV13" i="4"/>
  <c r="LW13" i="4"/>
  <c r="LX13" i="4"/>
  <c r="LY13" i="4"/>
  <c r="LN13" i="4"/>
  <c r="LN59" i="4"/>
  <c r="LO59" i="4"/>
  <c r="LP59" i="4"/>
  <c r="LQ59" i="4"/>
  <c r="LR59" i="4"/>
  <c r="LS59" i="4"/>
  <c r="LT59" i="4"/>
  <c r="LU59" i="4"/>
  <c r="LV59" i="4"/>
  <c r="LW59" i="4"/>
  <c r="LX59" i="4"/>
  <c r="LY59" i="4"/>
  <c r="LN60" i="4"/>
  <c r="LO60" i="4"/>
  <c r="LP60" i="4"/>
  <c r="LQ60" i="4"/>
  <c r="LR60" i="4"/>
  <c r="LS60" i="4"/>
  <c r="LT60" i="4"/>
  <c r="LU60" i="4"/>
  <c r="LV60" i="4"/>
  <c r="LW60" i="4"/>
  <c r="LX60" i="4"/>
  <c r="LY60" i="4"/>
  <c r="LN61" i="4"/>
  <c r="LQ61" i="4"/>
  <c r="LW61" i="4"/>
  <c r="LN62" i="4"/>
  <c r="LO62" i="4"/>
  <c r="LP62" i="4"/>
  <c r="LQ62" i="4"/>
  <c r="LR62" i="4"/>
  <c r="LS62" i="4"/>
  <c r="LT62" i="4"/>
  <c r="LU62" i="4"/>
  <c r="LV62" i="4"/>
  <c r="LW62" i="4"/>
  <c r="LX62" i="4"/>
  <c r="LY62" i="4"/>
  <c r="LN63" i="4"/>
  <c r="LO63" i="4"/>
  <c r="LP63" i="4"/>
  <c r="LQ63" i="4"/>
  <c r="LR63" i="4"/>
  <c r="LS63" i="4"/>
  <c r="LT63" i="4"/>
  <c r="LU63" i="4"/>
  <c r="LV63" i="4"/>
  <c r="LW63" i="4"/>
  <c r="LX63" i="4"/>
  <c r="LY63" i="4"/>
  <c r="LO58" i="4"/>
  <c r="LP58" i="4"/>
  <c r="LQ58" i="4"/>
  <c r="LR58" i="4"/>
  <c r="LS58" i="4"/>
  <c r="LT58" i="4"/>
  <c r="LU58" i="4"/>
  <c r="LV58" i="4"/>
  <c r="LW58" i="4"/>
  <c r="LX58" i="4"/>
  <c r="LY58" i="4"/>
  <c r="LS62" i="3"/>
  <c r="LN58" i="3"/>
  <c r="LO55" i="3"/>
  <c r="LZ55" i="3" s="1"/>
  <c r="LP55" i="3"/>
  <c r="LP61" i="3" s="1"/>
  <c r="LQ55" i="3"/>
  <c r="LR55" i="3"/>
  <c r="LN55" i="3"/>
  <c r="LO49" i="3"/>
  <c r="LP49" i="3"/>
  <c r="LQ49" i="3"/>
  <c r="LR49" i="3"/>
  <c r="LS49" i="3"/>
  <c r="LT49" i="3"/>
  <c r="LU49" i="3"/>
  <c r="LV49" i="3"/>
  <c r="LW49" i="3"/>
  <c r="LX49" i="3"/>
  <c r="LY49" i="3"/>
  <c r="LN49" i="3"/>
  <c r="LO43" i="3"/>
  <c r="LP43" i="3"/>
  <c r="LQ43" i="3"/>
  <c r="LR43" i="3"/>
  <c r="LZ43" i="3" s="1"/>
  <c r="LS43" i="3"/>
  <c r="LT43" i="3"/>
  <c r="LU43" i="3"/>
  <c r="LV43" i="3"/>
  <c r="LW43" i="3"/>
  <c r="LX43" i="3"/>
  <c r="LY43" i="3"/>
  <c r="LN43" i="3"/>
  <c r="LO37" i="3"/>
  <c r="LZ37" i="3" s="1"/>
  <c r="LP37" i="3"/>
  <c r="LQ37" i="3"/>
  <c r="LR37" i="3"/>
  <c r="LS37" i="3"/>
  <c r="LS61" i="3" s="1"/>
  <c r="LT37" i="3"/>
  <c r="LU37" i="3"/>
  <c r="LV37" i="3"/>
  <c r="LW37" i="3"/>
  <c r="LX37" i="3"/>
  <c r="LY37" i="3"/>
  <c r="LN37" i="3"/>
  <c r="LO31" i="3"/>
  <c r="LP31" i="3"/>
  <c r="LQ31" i="3"/>
  <c r="LR31" i="3"/>
  <c r="LZ31" i="3" s="1"/>
  <c r="LS31" i="3"/>
  <c r="LT31" i="3"/>
  <c r="LU31" i="3"/>
  <c r="LU61" i="3" s="1"/>
  <c r="LV31" i="3"/>
  <c r="LW31" i="3"/>
  <c r="LX31" i="3"/>
  <c r="LY31" i="3"/>
  <c r="LN31" i="3"/>
  <c r="LO25" i="3"/>
  <c r="LP25" i="3"/>
  <c r="LZ25" i="3" s="1"/>
  <c r="LQ25" i="3"/>
  <c r="LR25" i="3"/>
  <c r="LS25" i="3"/>
  <c r="LT25" i="3"/>
  <c r="LU25" i="3"/>
  <c r="LV25" i="3"/>
  <c r="LW25" i="3"/>
  <c r="LX25" i="3"/>
  <c r="LY25" i="3"/>
  <c r="LN25" i="3"/>
  <c r="LO19" i="3"/>
  <c r="LP19" i="3"/>
  <c r="LZ19" i="3" s="1"/>
  <c r="LQ19" i="3"/>
  <c r="LR19" i="3"/>
  <c r="LS19" i="3"/>
  <c r="LT19" i="3"/>
  <c r="LU19" i="3"/>
  <c r="LV19" i="3"/>
  <c r="LW19" i="3"/>
  <c r="LX19" i="3"/>
  <c r="LX61" i="3" s="1"/>
  <c r="LY19" i="3"/>
  <c r="LN19" i="3"/>
  <c r="LO13" i="3"/>
  <c r="LP13" i="3"/>
  <c r="LQ13" i="3"/>
  <c r="LR13" i="3"/>
  <c r="LS13" i="3"/>
  <c r="LT13" i="3"/>
  <c r="LU13" i="3"/>
  <c r="LV13" i="3"/>
  <c r="LV61" i="3" s="1"/>
  <c r="LW13" i="3"/>
  <c r="LX13" i="3"/>
  <c r="LY13" i="3"/>
  <c r="LN13" i="3"/>
  <c r="LN61" i="3" s="1"/>
  <c r="LN59" i="3"/>
  <c r="LO59" i="3"/>
  <c r="LP59" i="3"/>
  <c r="LQ59" i="3"/>
  <c r="LR59" i="3"/>
  <c r="LS59" i="3"/>
  <c r="LT59" i="3"/>
  <c r="LU59" i="3"/>
  <c r="LV59" i="3"/>
  <c r="LW59" i="3"/>
  <c r="LX59" i="3"/>
  <c r="LY59" i="3"/>
  <c r="LN60" i="3"/>
  <c r="LO60" i="3"/>
  <c r="LP60" i="3"/>
  <c r="LQ60" i="3"/>
  <c r="LR60" i="3"/>
  <c r="LS60" i="3"/>
  <c r="LT60" i="3"/>
  <c r="LU60" i="3"/>
  <c r="LV60" i="3"/>
  <c r="LW60" i="3"/>
  <c r="LX60" i="3"/>
  <c r="LY60" i="3"/>
  <c r="LO61" i="3"/>
  <c r="LQ61" i="3"/>
  <c r="LT61" i="3"/>
  <c r="LW61" i="3"/>
  <c r="LY61" i="3"/>
  <c r="LN62" i="3"/>
  <c r="LO62" i="3"/>
  <c r="LP62" i="3"/>
  <c r="LQ62" i="3"/>
  <c r="LR62" i="3"/>
  <c r="LT62" i="3"/>
  <c r="LU62" i="3"/>
  <c r="LV62" i="3"/>
  <c r="LW62" i="3"/>
  <c r="LX62" i="3"/>
  <c r="LY62" i="3"/>
  <c r="LN63" i="3"/>
  <c r="LO63" i="3"/>
  <c r="LP63" i="3"/>
  <c r="LQ63" i="3"/>
  <c r="LR63" i="3"/>
  <c r="LS63" i="3"/>
  <c r="LT63" i="3"/>
  <c r="LU63" i="3"/>
  <c r="LV63" i="3"/>
  <c r="LW63" i="3"/>
  <c r="LX63" i="3"/>
  <c r="LY63" i="3"/>
  <c r="LO58" i="3"/>
  <c r="LP58" i="3"/>
  <c r="LZ58" i="3" s="1"/>
  <c r="LQ58" i="3"/>
  <c r="LR58" i="3"/>
  <c r="LS58" i="3"/>
  <c r="LT58" i="3"/>
  <c r="LU58" i="3"/>
  <c r="LV58" i="3"/>
  <c r="LW58" i="3"/>
  <c r="LX58" i="3"/>
  <c r="LY58" i="3"/>
  <c r="LZ10" i="3"/>
  <c r="LZ11" i="3"/>
  <c r="LZ12" i="3"/>
  <c r="LZ14" i="3"/>
  <c r="LZ15" i="3"/>
  <c r="LZ16" i="3"/>
  <c r="LZ17" i="3"/>
  <c r="LZ18" i="3"/>
  <c r="LZ20" i="3"/>
  <c r="LZ21" i="3"/>
  <c r="LZ22" i="3"/>
  <c r="LZ23" i="3"/>
  <c r="LZ24" i="3"/>
  <c r="LZ26" i="3"/>
  <c r="LZ27" i="3"/>
  <c r="LZ28" i="3"/>
  <c r="LZ29" i="3"/>
  <c r="LZ30" i="3"/>
  <c r="LZ32" i="3"/>
  <c r="LZ33" i="3"/>
  <c r="LZ34" i="3"/>
  <c r="LZ35" i="3"/>
  <c r="LZ36" i="3"/>
  <c r="LZ38" i="3"/>
  <c r="LZ39" i="3"/>
  <c r="LZ40" i="3"/>
  <c r="LZ41" i="3"/>
  <c r="LZ42" i="3"/>
  <c r="LZ44" i="3"/>
  <c r="LZ45" i="3"/>
  <c r="LZ46" i="3"/>
  <c r="LZ47" i="3"/>
  <c r="LZ48" i="3"/>
  <c r="LZ49" i="3"/>
  <c r="LZ50" i="3"/>
  <c r="LZ51" i="3"/>
  <c r="LZ52" i="3"/>
  <c r="LZ53" i="3"/>
  <c r="LZ54" i="3"/>
  <c r="LZ56" i="3"/>
  <c r="LZ57" i="3"/>
  <c r="LV61" i="4" l="1"/>
  <c r="LX61" i="4"/>
  <c r="LT61" i="4"/>
  <c r="LP61" i="4"/>
  <c r="LR61" i="4"/>
  <c r="LR61" i="3"/>
  <c r="LZ13" i="3"/>
  <c r="ND59" i="4" l="1"/>
  <c r="NE59" i="4"/>
  <c r="NF59" i="4"/>
  <c r="NG59" i="4"/>
  <c r="NH59" i="4"/>
  <c r="NI59" i="4"/>
  <c r="NJ59" i="4"/>
  <c r="NK59" i="4"/>
  <c r="NL59" i="4"/>
  <c r="NM59" i="4"/>
  <c r="NN59" i="4"/>
  <c r="NO59" i="4"/>
  <c r="ND60" i="4"/>
  <c r="NE60" i="4"/>
  <c r="NF60" i="4"/>
  <c r="NG60" i="4"/>
  <c r="NH60" i="4"/>
  <c r="NI60" i="4"/>
  <c r="NJ60" i="4"/>
  <c r="NK60" i="4"/>
  <c r="NL60" i="4"/>
  <c r="NM60" i="4"/>
  <c r="NN60" i="4"/>
  <c r="NO60" i="4"/>
  <c r="ND61" i="4"/>
  <c r="NE61" i="4"/>
  <c r="NF61" i="4"/>
  <c r="NG61" i="4"/>
  <c r="NH61" i="4"/>
  <c r="NI61" i="4"/>
  <c r="NJ61" i="4"/>
  <c r="NK61" i="4"/>
  <c r="NL61" i="4"/>
  <c r="NM61" i="4"/>
  <c r="NN61" i="4"/>
  <c r="NO61" i="4"/>
  <c r="ND62" i="4"/>
  <c r="NE62" i="4"/>
  <c r="NF62" i="4"/>
  <c r="NG62" i="4"/>
  <c r="NH62" i="4"/>
  <c r="NI62" i="4"/>
  <c r="NJ62" i="4"/>
  <c r="NK62" i="4"/>
  <c r="NL62" i="4"/>
  <c r="NM62" i="4"/>
  <c r="NN62" i="4"/>
  <c r="NO62" i="4"/>
  <c r="ND63" i="4"/>
  <c r="NE63" i="4"/>
  <c r="NF63" i="4"/>
  <c r="NG63" i="4"/>
  <c r="NH63" i="4"/>
  <c r="NI63" i="4"/>
  <c r="NJ63" i="4"/>
  <c r="NK63" i="4"/>
  <c r="NL63" i="4"/>
  <c r="NM63" i="4"/>
  <c r="NN63" i="4"/>
  <c r="NO63" i="4"/>
  <c r="NE58" i="4"/>
  <c r="NF58" i="4"/>
  <c r="NG58" i="4"/>
  <c r="NH58" i="4"/>
  <c r="NI58" i="4"/>
  <c r="NJ58" i="4"/>
  <c r="NK58" i="4"/>
  <c r="NL58" i="4"/>
  <c r="NM58" i="4"/>
  <c r="NN58" i="4"/>
  <c r="NO58" i="4"/>
  <c r="ND58" i="4"/>
  <c r="NH55" i="4"/>
  <c r="NG55" i="4"/>
  <c r="NF55" i="4"/>
  <c r="NE55" i="4"/>
  <c r="ND55" i="4"/>
  <c r="NO49" i="4"/>
  <c r="NN49" i="4"/>
  <c r="NM49" i="4"/>
  <c r="NL49" i="4"/>
  <c r="NK49" i="4"/>
  <c r="NJ49" i="4"/>
  <c r="NI49" i="4"/>
  <c r="NH49" i="4"/>
  <c r="NG49" i="4"/>
  <c r="NF49" i="4"/>
  <c r="NE49" i="4"/>
  <c r="ND49" i="4"/>
  <c r="NO43" i="4"/>
  <c r="NN43" i="4"/>
  <c r="NM43" i="4"/>
  <c r="NL43" i="4"/>
  <c r="NK43" i="4"/>
  <c r="NJ43" i="4"/>
  <c r="NI43" i="4"/>
  <c r="NH43" i="4"/>
  <c r="NG43" i="4"/>
  <c r="NF43" i="4"/>
  <c r="NE43" i="4"/>
  <c r="ND43" i="4"/>
  <c r="NO37" i="4"/>
  <c r="NN37" i="4"/>
  <c r="NM37" i="4"/>
  <c r="NL37" i="4"/>
  <c r="NK37" i="4"/>
  <c r="NJ37" i="4"/>
  <c r="NI37" i="4"/>
  <c r="NH37" i="4"/>
  <c r="NG37" i="4"/>
  <c r="NF37" i="4"/>
  <c r="NE37" i="4"/>
  <c r="ND37" i="4"/>
  <c r="NO31" i="4"/>
  <c r="NN31" i="4"/>
  <c r="NM31" i="4"/>
  <c r="NL31" i="4"/>
  <c r="NK31" i="4"/>
  <c r="NJ31" i="4"/>
  <c r="NI31" i="4"/>
  <c r="NH31" i="4"/>
  <c r="NG31" i="4"/>
  <c r="NF31" i="4"/>
  <c r="NE31" i="4"/>
  <c r="ND31" i="4"/>
  <c r="NO25" i="4"/>
  <c r="NN25" i="4"/>
  <c r="NM25" i="4"/>
  <c r="NL25" i="4"/>
  <c r="NK25" i="4"/>
  <c r="NJ25" i="4"/>
  <c r="NI25" i="4"/>
  <c r="NH25" i="4"/>
  <c r="NG25" i="4"/>
  <c r="NF25" i="4"/>
  <c r="NE25" i="4"/>
  <c r="ND25" i="4"/>
  <c r="NO19" i="4"/>
  <c r="NN19" i="4"/>
  <c r="NM19" i="4"/>
  <c r="NL19" i="4"/>
  <c r="NK19" i="4"/>
  <c r="NJ19" i="4"/>
  <c r="NI19" i="4"/>
  <c r="NH19" i="4"/>
  <c r="NG19" i="4"/>
  <c r="NF19" i="4"/>
  <c r="NE19" i="4"/>
  <c r="ND19" i="4"/>
  <c r="NO13" i="4"/>
  <c r="NN13" i="4"/>
  <c r="NM13" i="4"/>
  <c r="NL13" i="4"/>
  <c r="NK13" i="4"/>
  <c r="NJ13" i="4"/>
  <c r="NI13" i="4"/>
  <c r="NH13" i="4"/>
  <c r="NG13" i="4"/>
  <c r="NF13" i="4"/>
  <c r="NE13" i="4"/>
  <c r="ND13" i="4"/>
  <c r="NP10" i="3"/>
  <c r="NP11" i="3"/>
  <c r="NP12" i="3"/>
  <c r="NP13" i="3"/>
  <c r="NP14" i="3"/>
  <c r="NP15" i="3"/>
  <c r="NP16" i="3"/>
  <c r="NP17" i="3"/>
  <c r="NP18" i="3"/>
  <c r="NP19" i="3"/>
  <c r="NP20" i="3"/>
  <c r="NP21" i="3"/>
  <c r="NP22" i="3"/>
  <c r="NP23" i="3"/>
  <c r="NP24" i="3"/>
  <c r="NP25" i="3"/>
  <c r="NP26" i="3"/>
  <c r="NP27" i="3"/>
  <c r="NP28" i="3"/>
  <c r="NP29" i="3"/>
  <c r="NP30" i="3"/>
  <c r="NP31" i="3"/>
  <c r="NP32" i="3"/>
  <c r="NP33" i="3"/>
  <c r="NP34" i="3"/>
  <c r="NP35" i="3"/>
  <c r="NP36" i="3"/>
  <c r="NP37" i="3"/>
  <c r="NP38" i="3"/>
  <c r="NP39" i="3"/>
  <c r="NP40" i="3"/>
  <c r="NP41" i="3"/>
  <c r="NP42" i="3"/>
  <c r="NP43" i="3"/>
  <c r="NP44" i="3"/>
  <c r="NP45" i="3"/>
  <c r="NP46" i="3"/>
  <c r="NP47" i="3"/>
  <c r="NP48" i="3"/>
  <c r="NP49" i="3"/>
  <c r="NP50" i="3"/>
  <c r="NP51" i="3"/>
  <c r="NP52" i="3"/>
  <c r="NP53" i="3"/>
  <c r="NP54" i="3"/>
  <c r="NP55" i="3"/>
  <c r="NP56" i="3"/>
  <c r="NP57" i="3"/>
  <c r="NP58" i="3"/>
  <c r="ND59" i="3"/>
  <c r="NE59" i="3"/>
  <c r="NF59" i="3"/>
  <c r="NG59" i="3"/>
  <c r="NH59" i="3"/>
  <c r="NI59" i="3"/>
  <c r="NJ59" i="3"/>
  <c r="NK59" i="3"/>
  <c r="NL59" i="3"/>
  <c r="NM59" i="3"/>
  <c r="NN59" i="3"/>
  <c r="NO59" i="3"/>
  <c r="ND60" i="3"/>
  <c r="NE60" i="3"/>
  <c r="NF60" i="3"/>
  <c r="NG60" i="3"/>
  <c r="NH60" i="3"/>
  <c r="NI60" i="3"/>
  <c r="NJ60" i="3"/>
  <c r="NK60" i="3"/>
  <c r="NL60" i="3"/>
  <c r="NM60" i="3"/>
  <c r="NN60" i="3"/>
  <c r="NO60" i="3"/>
  <c r="ND61" i="3"/>
  <c r="NE61" i="3"/>
  <c r="NF61" i="3"/>
  <c r="NG61" i="3"/>
  <c r="NH61" i="3"/>
  <c r="NI61" i="3"/>
  <c r="NJ61" i="3"/>
  <c r="NK61" i="3"/>
  <c r="NL61" i="3"/>
  <c r="NM61" i="3"/>
  <c r="NN61" i="3"/>
  <c r="NO61" i="3"/>
  <c r="ND62" i="3"/>
  <c r="NE62" i="3"/>
  <c r="NF62" i="3"/>
  <c r="NG62" i="3"/>
  <c r="NH62" i="3"/>
  <c r="NI62" i="3"/>
  <c r="NJ62" i="3"/>
  <c r="NK62" i="3"/>
  <c r="NL62" i="3"/>
  <c r="NM62" i="3"/>
  <c r="NN62" i="3"/>
  <c r="NO62" i="3"/>
  <c r="ND63" i="3"/>
  <c r="NE63" i="3"/>
  <c r="NF63" i="3"/>
  <c r="NG63" i="3"/>
  <c r="NH63" i="3"/>
  <c r="NI63" i="3"/>
  <c r="NJ63" i="3"/>
  <c r="NK63" i="3"/>
  <c r="NL63" i="3"/>
  <c r="NM63" i="3"/>
  <c r="NN63" i="3"/>
  <c r="NO63" i="3"/>
  <c r="NE58" i="3"/>
  <c r="NF58" i="3"/>
  <c r="NG58" i="3"/>
  <c r="NH58" i="3"/>
  <c r="NI58" i="3"/>
  <c r="NJ58" i="3"/>
  <c r="NK58" i="3"/>
  <c r="NL58" i="3"/>
  <c r="NM58" i="3"/>
  <c r="NN58" i="3"/>
  <c r="NO58" i="3"/>
  <c r="ND58" i="3"/>
  <c r="NH55" i="3"/>
  <c r="NG55" i="3"/>
  <c r="NF55" i="3"/>
  <c r="NE55" i="3"/>
  <c r="ND55" i="3"/>
  <c r="NO49" i="3"/>
  <c r="NN49" i="3"/>
  <c r="NM49" i="3"/>
  <c r="NL49" i="3"/>
  <c r="NK49" i="3"/>
  <c r="NJ49" i="3"/>
  <c r="NI49" i="3"/>
  <c r="NH49" i="3"/>
  <c r="NG49" i="3"/>
  <c r="NF49" i="3"/>
  <c r="NE49" i="3"/>
  <c r="ND49" i="3"/>
  <c r="NO43" i="3"/>
  <c r="NN43" i="3"/>
  <c r="NM43" i="3"/>
  <c r="NL43" i="3"/>
  <c r="NK43" i="3"/>
  <c r="NJ43" i="3"/>
  <c r="NI43" i="3"/>
  <c r="NH43" i="3"/>
  <c r="NG43" i="3"/>
  <c r="NF43" i="3"/>
  <c r="NE43" i="3"/>
  <c r="ND43" i="3"/>
  <c r="NO37" i="3"/>
  <c r="NN37" i="3"/>
  <c r="NM37" i="3"/>
  <c r="NL37" i="3"/>
  <c r="NK37" i="3"/>
  <c r="NJ37" i="3"/>
  <c r="NI37" i="3"/>
  <c r="NH37" i="3"/>
  <c r="NG37" i="3"/>
  <c r="NF37" i="3"/>
  <c r="NE37" i="3"/>
  <c r="ND37" i="3"/>
  <c r="NO31" i="3"/>
  <c r="NN31" i="3"/>
  <c r="NM31" i="3"/>
  <c r="NL31" i="3"/>
  <c r="NK31" i="3"/>
  <c r="NJ31" i="3"/>
  <c r="NI31" i="3"/>
  <c r="NH31" i="3"/>
  <c r="NG31" i="3"/>
  <c r="NF31" i="3"/>
  <c r="NE31" i="3"/>
  <c r="ND31" i="3"/>
  <c r="NO25" i="3"/>
  <c r="NN25" i="3"/>
  <c r="NM25" i="3"/>
  <c r="NL25" i="3"/>
  <c r="NK25" i="3"/>
  <c r="NJ25" i="3"/>
  <c r="NI25" i="3"/>
  <c r="NH25" i="3"/>
  <c r="NG25" i="3"/>
  <c r="NF25" i="3"/>
  <c r="NE25" i="3"/>
  <c r="ND25" i="3"/>
  <c r="NO19" i="3"/>
  <c r="NN19" i="3"/>
  <c r="NM19" i="3"/>
  <c r="NL19" i="3"/>
  <c r="NK19" i="3"/>
  <c r="NJ19" i="3"/>
  <c r="NI19" i="3"/>
  <c r="NH19" i="3"/>
  <c r="NG19" i="3"/>
  <c r="NF19" i="3"/>
  <c r="NE19" i="3"/>
  <c r="ND19" i="3"/>
  <c r="NO13" i="3"/>
  <c r="NN13" i="3"/>
  <c r="NM13" i="3"/>
  <c r="NL13" i="3"/>
  <c r="NK13" i="3"/>
  <c r="NJ13" i="3"/>
  <c r="NI13" i="3"/>
  <c r="NH13" i="3"/>
  <c r="NG13" i="3"/>
  <c r="NF13" i="3"/>
  <c r="NE13" i="3"/>
  <c r="ND13" i="3"/>
  <c r="KZ59" i="4" l="1"/>
  <c r="LA59" i="4"/>
  <c r="LB59" i="4"/>
  <c r="LC59" i="4"/>
  <c r="LD59" i="4"/>
  <c r="LE59" i="4"/>
  <c r="LF59" i="4"/>
  <c r="LG59" i="4"/>
  <c r="LH59" i="4"/>
  <c r="LI59" i="4"/>
  <c r="LJ59" i="4"/>
  <c r="LK59" i="4"/>
  <c r="KZ60" i="4"/>
  <c r="LA60" i="4"/>
  <c r="LB60" i="4"/>
  <c r="LC60" i="4"/>
  <c r="LD60" i="4"/>
  <c r="LE60" i="4"/>
  <c r="LF60" i="4"/>
  <c r="LG60" i="4"/>
  <c r="LH60" i="4"/>
  <c r="LI60" i="4"/>
  <c r="LJ60" i="4"/>
  <c r="LK60" i="4"/>
  <c r="KZ61" i="4"/>
  <c r="LA61" i="4"/>
  <c r="LB61" i="4"/>
  <c r="LC61" i="4"/>
  <c r="LD61" i="4"/>
  <c r="LE61" i="4"/>
  <c r="LF61" i="4"/>
  <c r="LG61" i="4"/>
  <c r="LH61" i="4"/>
  <c r="LI61" i="4"/>
  <c r="LJ61" i="4"/>
  <c r="LK61" i="4"/>
  <c r="KZ62" i="4"/>
  <c r="LA62" i="4"/>
  <c r="LB62" i="4"/>
  <c r="LC62" i="4"/>
  <c r="LD62" i="4"/>
  <c r="LE62" i="4"/>
  <c r="LF62" i="4"/>
  <c r="LG62" i="4"/>
  <c r="LH62" i="4"/>
  <c r="LI62" i="4"/>
  <c r="LJ62" i="4"/>
  <c r="LK62" i="4"/>
  <c r="KZ63" i="4"/>
  <c r="LA63" i="4"/>
  <c r="LB63" i="4"/>
  <c r="LC63" i="4"/>
  <c r="LD63" i="4"/>
  <c r="LE63" i="4"/>
  <c r="LF63" i="4"/>
  <c r="LG63" i="4"/>
  <c r="LH63" i="4"/>
  <c r="LI63" i="4"/>
  <c r="LJ63" i="4"/>
  <c r="LK63" i="4"/>
  <c r="LA58" i="4"/>
  <c r="LB58" i="4"/>
  <c r="LC58" i="4"/>
  <c r="LD58" i="4"/>
  <c r="LE58" i="4"/>
  <c r="LF58" i="4"/>
  <c r="LG58" i="4"/>
  <c r="LH58" i="4"/>
  <c r="LI58" i="4"/>
  <c r="LJ58" i="4"/>
  <c r="LK58" i="4"/>
  <c r="KZ58" i="4"/>
  <c r="LD55" i="4"/>
  <c r="LC55" i="4"/>
  <c r="LB55" i="4"/>
  <c r="LA55" i="4"/>
  <c r="KZ55" i="4"/>
  <c r="LK49" i="4"/>
  <c r="LJ49" i="4"/>
  <c r="LI49" i="4"/>
  <c r="LH49" i="4"/>
  <c r="LG49" i="4"/>
  <c r="LF49" i="4"/>
  <c r="LE49" i="4"/>
  <c r="LD49" i="4"/>
  <c r="LC49" i="4"/>
  <c r="LB49" i="4"/>
  <c r="LA49" i="4"/>
  <c r="KZ49" i="4"/>
  <c r="LK43" i="4"/>
  <c r="LJ43" i="4"/>
  <c r="LI43" i="4"/>
  <c r="LH43" i="4"/>
  <c r="LG43" i="4"/>
  <c r="LF43" i="4"/>
  <c r="LE43" i="4"/>
  <c r="LD43" i="4"/>
  <c r="LC43" i="4"/>
  <c r="LB43" i="4"/>
  <c r="LA43" i="4"/>
  <c r="KZ43" i="4"/>
  <c r="LK37" i="4"/>
  <c r="LJ37" i="4"/>
  <c r="LI37" i="4"/>
  <c r="LH37" i="4"/>
  <c r="LG37" i="4"/>
  <c r="LF37" i="4"/>
  <c r="LE37" i="4"/>
  <c r="LD37" i="4"/>
  <c r="LC37" i="4"/>
  <c r="LB37" i="4"/>
  <c r="LA37" i="4"/>
  <c r="KZ37" i="4"/>
  <c r="LK31" i="4"/>
  <c r="LJ31" i="4"/>
  <c r="LI31" i="4"/>
  <c r="LH31" i="4"/>
  <c r="LG31" i="4"/>
  <c r="LF31" i="4"/>
  <c r="LE31" i="4"/>
  <c r="LD31" i="4"/>
  <c r="LC31" i="4"/>
  <c r="LB31" i="4"/>
  <c r="LA31" i="4"/>
  <c r="KZ31" i="4"/>
  <c r="LK25" i="4"/>
  <c r="LJ25" i="4"/>
  <c r="LI25" i="4"/>
  <c r="LH25" i="4"/>
  <c r="LG25" i="4"/>
  <c r="LF25" i="4"/>
  <c r="LE25" i="4"/>
  <c r="LD25" i="4"/>
  <c r="LC25" i="4"/>
  <c r="LB25" i="4"/>
  <c r="LA25" i="4"/>
  <c r="KZ25" i="4"/>
  <c r="LK19" i="4"/>
  <c r="LJ19" i="4"/>
  <c r="LI19" i="4"/>
  <c r="LH19" i="4"/>
  <c r="LG19" i="4"/>
  <c r="LF19" i="4"/>
  <c r="LE19" i="4"/>
  <c r="LD19" i="4"/>
  <c r="LC19" i="4"/>
  <c r="LB19" i="4"/>
  <c r="LA19" i="4"/>
  <c r="KZ19" i="4"/>
  <c r="LK13" i="4"/>
  <c r="LJ13" i="4"/>
  <c r="LI13" i="4"/>
  <c r="LH13" i="4"/>
  <c r="LG13" i="4"/>
  <c r="LF13" i="4"/>
  <c r="LE13" i="4"/>
  <c r="LD13" i="4"/>
  <c r="LC13" i="4"/>
  <c r="LB13" i="4"/>
  <c r="LA13" i="4"/>
  <c r="KZ13" i="4"/>
  <c r="KZ59" i="3"/>
  <c r="LA59" i="3"/>
  <c r="LB59" i="3"/>
  <c r="LC59" i="3"/>
  <c r="LD59" i="3"/>
  <c r="LE59" i="3"/>
  <c r="LF59" i="3"/>
  <c r="LG59" i="3"/>
  <c r="LH59" i="3"/>
  <c r="LI59" i="3"/>
  <c r="LJ59" i="3"/>
  <c r="LK59" i="3"/>
  <c r="KZ60" i="3"/>
  <c r="LA60" i="3"/>
  <c r="LB60" i="3"/>
  <c r="LC60" i="3"/>
  <c r="LD60" i="3"/>
  <c r="LE60" i="3"/>
  <c r="LF60" i="3"/>
  <c r="LG60" i="3"/>
  <c r="LH60" i="3"/>
  <c r="LI60" i="3"/>
  <c r="LJ60" i="3"/>
  <c r="LK60" i="3"/>
  <c r="KZ61" i="3"/>
  <c r="LA61" i="3"/>
  <c r="LB61" i="3"/>
  <c r="LC61" i="3"/>
  <c r="LD61" i="3"/>
  <c r="LE61" i="3"/>
  <c r="LF61" i="3"/>
  <c r="LG61" i="3"/>
  <c r="LH61" i="3"/>
  <c r="LI61" i="3"/>
  <c r="LJ61" i="3"/>
  <c r="LK61" i="3"/>
  <c r="KZ62" i="3"/>
  <c r="LA62" i="3"/>
  <c r="LB62" i="3"/>
  <c r="LC62" i="3"/>
  <c r="LD62" i="3"/>
  <c r="LE62" i="3"/>
  <c r="LF62" i="3"/>
  <c r="LG62" i="3"/>
  <c r="LH62" i="3"/>
  <c r="LI62" i="3"/>
  <c r="LJ62" i="3"/>
  <c r="LK62" i="3"/>
  <c r="KZ63" i="3"/>
  <c r="LA63" i="3"/>
  <c r="LB63" i="3"/>
  <c r="LC63" i="3"/>
  <c r="LD63" i="3"/>
  <c r="LE63" i="3"/>
  <c r="LF63" i="3"/>
  <c r="LG63" i="3"/>
  <c r="LH63" i="3"/>
  <c r="LI63" i="3"/>
  <c r="LJ63" i="3"/>
  <c r="LK63" i="3"/>
  <c r="LA58" i="3"/>
  <c r="LB58" i="3"/>
  <c r="LC58" i="3"/>
  <c r="LD58" i="3"/>
  <c r="LE58" i="3"/>
  <c r="LF58" i="3"/>
  <c r="LG58" i="3"/>
  <c r="LH58" i="3"/>
  <c r="LI58" i="3"/>
  <c r="LJ58" i="3"/>
  <c r="LK58" i="3"/>
  <c r="KZ58" i="3"/>
  <c r="LD55" i="3"/>
  <c r="LC55" i="3"/>
  <c r="LB55" i="3"/>
  <c r="LA55" i="3"/>
  <c r="KZ55" i="3"/>
  <c r="LK49" i="3"/>
  <c r="LJ49" i="3"/>
  <c r="LI49" i="3"/>
  <c r="LH49" i="3"/>
  <c r="LG49" i="3"/>
  <c r="LF49" i="3"/>
  <c r="LE49" i="3"/>
  <c r="LD49" i="3"/>
  <c r="LC49" i="3"/>
  <c r="LB49" i="3"/>
  <c r="LA49" i="3"/>
  <c r="KZ49" i="3"/>
  <c r="LK43" i="3"/>
  <c r="LJ43" i="3"/>
  <c r="LI43" i="3"/>
  <c r="LH43" i="3"/>
  <c r="LG43" i="3"/>
  <c r="LF43" i="3"/>
  <c r="LE43" i="3"/>
  <c r="LD43" i="3"/>
  <c r="LC43" i="3"/>
  <c r="LB43" i="3"/>
  <c r="LA43" i="3"/>
  <c r="KZ43" i="3"/>
  <c r="LK37" i="3"/>
  <c r="LJ37" i="3"/>
  <c r="LI37" i="3"/>
  <c r="LH37" i="3"/>
  <c r="LG37" i="3"/>
  <c r="LF37" i="3"/>
  <c r="LE37" i="3"/>
  <c r="LD37" i="3"/>
  <c r="LC37" i="3"/>
  <c r="LB37" i="3"/>
  <c r="LA37" i="3"/>
  <c r="KZ37" i="3"/>
  <c r="LK31" i="3"/>
  <c r="LJ31" i="3"/>
  <c r="LI31" i="3"/>
  <c r="LH31" i="3"/>
  <c r="LG31" i="3"/>
  <c r="LF31" i="3"/>
  <c r="LE31" i="3"/>
  <c r="LD31" i="3"/>
  <c r="LC31" i="3"/>
  <c r="LB31" i="3"/>
  <c r="LA31" i="3"/>
  <c r="KZ31" i="3"/>
  <c r="LK25" i="3"/>
  <c r="LJ25" i="3"/>
  <c r="LI25" i="3"/>
  <c r="LH25" i="3"/>
  <c r="LG25" i="3"/>
  <c r="LF25" i="3"/>
  <c r="LE25" i="3"/>
  <c r="LD25" i="3"/>
  <c r="LC25" i="3"/>
  <c r="LB25" i="3"/>
  <c r="LA25" i="3"/>
  <c r="KZ25" i="3"/>
  <c r="LK19" i="3"/>
  <c r="LJ19" i="3"/>
  <c r="LI19" i="3"/>
  <c r="LH19" i="3"/>
  <c r="LG19" i="3"/>
  <c r="LF19" i="3"/>
  <c r="LE19" i="3"/>
  <c r="LD19" i="3"/>
  <c r="LC19" i="3"/>
  <c r="LB19" i="3"/>
  <c r="LA19" i="3"/>
  <c r="KZ19" i="3"/>
  <c r="LK13" i="3"/>
  <c r="LJ13" i="3"/>
  <c r="LI13" i="3"/>
  <c r="LH13" i="3"/>
  <c r="LG13" i="3"/>
  <c r="LF13" i="3"/>
  <c r="LE13" i="3"/>
  <c r="LD13" i="3"/>
  <c r="LC13" i="3"/>
  <c r="LB13" i="3"/>
  <c r="LA13" i="3"/>
  <c r="KZ13" i="3"/>
  <c r="KW16" i="4" l="1"/>
  <c r="KW47" i="4"/>
  <c r="KK59" i="4"/>
  <c r="KL59" i="4"/>
  <c r="KM59" i="4"/>
  <c r="KN59" i="4"/>
  <c r="KO59" i="4"/>
  <c r="KP59" i="4"/>
  <c r="KQ59" i="4"/>
  <c r="KR59" i="4"/>
  <c r="KS59" i="4"/>
  <c r="KT59" i="4"/>
  <c r="KU59" i="4"/>
  <c r="KV59" i="4"/>
  <c r="KK60" i="4"/>
  <c r="KL60" i="4"/>
  <c r="KM60" i="4"/>
  <c r="KN60" i="4"/>
  <c r="KO60" i="4"/>
  <c r="KP60" i="4"/>
  <c r="KQ60" i="4"/>
  <c r="KR60" i="4"/>
  <c r="KS60" i="4"/>
  <c r="KT60" i="4"/>
  <c r="KU60" i="4"/>
  <c r="KV60" i="4"/>
  <c r="KK61" i="4"/>
  <c r="KL61" i="4"/>
  <c r="KM61" i="4"/>
  <c r="KN61" i="4"/>
  <c r="KO61" i="4"/>
  <c r="KP61" i="4"/>
  <c r="KQ61" i="4"/>
  <c r="KR61" i="4"/>
  <c r="KS61" i="4"/>
  <c r="KT61" i="4"/>
  <c r="KU61" i="4"/>
  <c r="KV61" i="4"/>
  <c r="KK62" i="4"/>
  <c r="KL62" i="4"/>
  <c r="KM62" i="4"/>
  <c r="KN62" i="4"/>
  <c r="KO62" i="4"/>
  <c r="KP62" i="4"/>
  <c r="KQ62" i="4"/>
  <c r="KR62" i="4"/>
  <c r="KS62" i="4"/>
  <c r="KT62" i="4"/>
  <c r="KU62" i="4"/>
  <c r="KV62" i="4"/>
  <c r="KK63" i="4"/>
  <c r="KL63" i="4"/>
  <c r="KM63" i="4"/>
  <c r="KN63" i="4"/>
  <c r="KO63" i="4"/>
  <c r="KP63" i="4"/>
  <c r="KQ63" i="4"/>
  <c r="KR63" i="4"/>
  <c r="KS63" i="4"/>
  <c r="KT63" i="4"/>
  <c r="KU63" i="4"/>
  <c r="KV63" i="4"/>
  <c r="KL58" i="4"/>
  <c r="KM58" i="4"/>
  <c r="KN58" i="4"/>
  <c r="KO58" i="4"/>
  <c r="KP58" i="4"/>
  <c r="KQ58" i="4"/>
  <c r="KR58" i="4"/>
  <c r="KS58" i="4"/>
  <c r="KT58" i="4"/>
  <c r="KU58" i="4"/>
  <c r="KV58" i="4"/>
  <c r="KK58" i="4"/>
  <c r="KK13" i="4"/>
  <c r="KO55" i="4"/>
  <c r="KN55" i="4"/>
  <c r="KM55" i="4"/>
  <c r="KL55" i="4"/>
  <c r="KK55" i="4"/>
  <c r="KV49" i="4"/>
  <c r="KU49" i="4"/>
  <c r="KT49" i="4"/>
  <c r="KS49" i="4"/>
  <c r="KR49" i="4"/>
  <c r="KQ49" i="4"/>
  <c r="KP49" i="4"/>
  <c r="KO49" i="4"/>
  <c r="KM49" i="4"/>
  <c r="KL49" i="4"/>
  <c r="KK49" i="4"/>
  <c r="KN48" i="4"/>
  <c r="KN49" i="4" s="1"/>
  <c r="KV43" i="4"/>
  <c r="KU43" i="4"/>
  <c r="KT43" i="4"/>
  <c r="KS43" i="4"/>
  <c r="KR43" i="4"/>
  <c r="KQ43" i="4"/>
  <c r="KP43" i="4"/>
  <c r="KO43" i="4"/>
  <c r="KN43" i="4"/>
  <c r="KM43" i="4"/>
  <c r="KL43" i="4"/>
  <c r="KK43" i="4"/>
  <c r="KV37" i="4"/>
  <c r="KU37" i="4"/>
  <c r="KT37" i="4"/>
  <c r="KS37" i="4"/>
  <c r="KR37" i="4"/>
  <c r="KQ37" i="4"/>
  <c r="KP37" i="4"/>
  <c r="KO37" i="4"/>
  <c r="KN37" i="4"/>
  <c r="KM37" i="4"/>
  <c r="KL37" i="4"/>
  <c r="KK37" i="4"/>
  <c r="KV31" i="4"/>
  <c r="KU31" i="4"/>
  <c r="KT31" i="4"/>
  <c r="KS31" i="4"/>
  <c r="KR31" i="4"/>
  <c r="KQ31" i="4"/>
  <c r="KP31" i="4"/>
  <c r="KO31" i="4"/>
  <c r="KN31" i="4"/>
  <c r="KM31" i="4"/>
  <c r="KL31" i="4"/>
  <c r="KK31" i="4"/>
  <c r="KV25" i="4"/>
  <c r="KU25" i="4"/>
  <c r="KT25" i="4"/>
  <c r="KS25" i="4"/>
  <c r="KR25" i="4"/>
  <c r="KQ25" i="4"/>
  <c r="KP25" i="4"/>
  <c r="KO25" i="4"/>
  <c r="KN25" i="4"/>
  <c r="KM25" i="4"/>
  <c r="KL25" i="4"/>
  <c r="KK25" i="4"/>
  <c r="KV19" i="4"/>
  <c r="KU19" i="4"/>
  <c r="KT19" i="4"/>
  <c r="KS19" i="4"/>
  <c r="KR19" i="4"/>
  <c r="KQ19" i="4"/>
  <c r="KP19" i="4"/>
  <c r="KO19" i="4"/>
  <c r="KN19" i="4"/>
  <c r="KM19" i="4"/>
  <c r="KL19" i="4"/>
  <c r="KK19" i="4"/>
  <c r="KV13" i="4"/>
  <c r="KU13" i="4"/>
  <c r="KT13" i="4"/>
  <c r="KS13" i="4"/>
  <c r="KR13" i="4"/>
  <c r="KQ13" i="4"/>
  <c r="KP13" i="4"/>
  <c r="KO13" i="4"/>
  <c r="KN13" i="4"/>
  <c r="KM13" i="4"/>
  <c r="KL13" i="4"/>
  <c r="KX16" i="3"/>
  <c r="KW16" i="3"/>
  <c r="KK59" i="3"/>
  <c r="KL59" i="3"/>
  <c r="KM59" i="3"/>
  <c r="KN59" i="3"/>
  <c r="KO59" i="3"/>
  <c r="KP59" i="3"/>
  <c r="KQ59" i="3"/>
  <c r="KR59" i="3"/>
  <c r="KS59" i="3"/>
  <c r="KT59" i="3"/>
  <c r="KU59" i="3"/>
  <c r="KV59" i="3"/>
  <c r="KK60" i="3"/>
  <c r="KL60" i="3"/>
  <c r="KM60" i="3"/>
  <c r="KN60" i="3"/>
  <c r="KO60" i="3"/>
  <c r="KP60" i="3"/>
  <c r="KQ60" i="3"/>
  <c r="KR60" i="3"/>
  <c r="KS60" i="3"/>
  <c r="KT60" i="3"/>
  <c r="KU60" i="3"/>
  <c r="KV60" i="3"/>
  <c r="KK61" i="3"/>
  <c r="KL61" i="3"/>
  <c r="KM61" i="3"/>
  <c r="KN61" i="3"/>
  <c r="KO61" i="3"/>
  <c r="KP61" i="3"/>
  <c r="KQ61" i="3"/>
  <c r="KR61" i="3"/>
  <c r="KS61" i="3"/>
  <c r="KT61" i="3"/>
  <c r="KU61" i="3"/>
  <c r="KV61" i="3"/>
  <c r="KK62" i="3"/>
  <c r="KL62" i="3"/>
  <c r="KM62" i="3"/>
  <c r="KN62" i="3"/>
  <c r="KO62" i="3"/>
  <c r="KP62" i="3"/>
  <c r="KQ62" i="3"/>
  <c r="KR62" i="3"/>
  <c r="KS62" i="3"/>
  <c r="KT62" i="3"/>
  <c r="KU62" i="3"/>
  <c r="KV62" i="3"/>
  <c r="KK63" i="3"/>
  <c r="KL63" i="3"/>
  <c r="KM63" i="3"/>
  <c r="KN63" i="3"/>
  <c r="KO63" i="3"/>
  <c r="KP63" i="3"/>
  <c r="KQ63" i="3"/>
  <c r="KR63" i="3"/>
  <c r="KS63" i="3"/>
  <c r="KT63" i="3"/>
  <c r="KU63" i="3"/>
  <c r="KV63" i="3"/>
  <c r="KL58" i="3"/>
  <c r="KM58" i="3"/>
  <c r="KN58" i="3"/>
  <c r="KO58" i="3"/>
  <c r="KP58" i="3"/>
  <c r="KW58" i="3" s="1"/>
  <c r="KQ58" i="3"/>
  <c r="KR58" i="3"/>
  <c r="KS58" i="3"/>
  <c r="KT58" i="3"/>
  <c r="KU58" i="3"/>
  <c r="KV58" i="3"/>
  <c r="KK58" i="3"/>
  <c r="KW10" i="3"/>
  <c r="KW11" i="3"/>
  <c r="KW12" i="3"/>
  <c r="KW13" i="3"/>
  <c r="KW14" i="3"/>
  <c r="KW15" i="3"/>
  <c r="KW17" i="3"/>
  <c r="KW18" i="3"/>
  <c r="KW19" i="3"/>
  <c r="KW20" i="3"/>
  <c r="KW21" i="3"/>
  <c r="KW22" i="3"/>
  <c r="KW23" i="3"/>
  <c r="KW24" i="3"/>
  <c r="KW25" i="3"/>
  <c r="KW26" i="3"/>
  <c r="KW27" i="3"/>
  <c r="KW28" i="3"/>
  <c r="KW29" i="3"/>
  <c r="KW30" i="3"/>
  <c r="KW31" i="3"/>
  <c r="KW32" i="3"/>
  <c r="KW33" i="3"/>
  <c r="KW34" i="3"/>
  <c r="KW35" i="3"/>
  <c r="KW36" i="3"/>
  <c r="KW37" i="3"/>
  <c r="KW38" i="3"/>
  <c r="KW39" i="3"/>
  <c r="KW40" i="3"/>
  <c r="KW41" i="3"/>
  <c r="KW42" i="3"/>
  <c r="KW43" i="3"/>
  <c r="KW44" i="3"/>
  <c r="KW45" i="3"/>
  <c r="KW46" i="3"/>
  <c r="KW47" i="3"/>
  <c r="KW48" i="3"/>
  <c r="KW49" i="3"/>
  <c r="KW50" i="3"/>
  <c r="KW51" i="3"/>
  <c r="KW52" i="3"/>
  <c r="KW53" i="3"/>
  <c r="KW54" i="3"/>
  <c r="KW55" i="3"/>
  <c r="KW56" i="3"/>
  <c r="KW57" i="3"/>
  <c r="KO55" i="3"/>
  <c r="KN55" i="3"/>
  <c r="KM55" i="3"/>
  <c r="KL55" i="3"/>
  <c r="KK55" i="3"/>
  <c r="KV49" i="3"/>
  <c r="KU49" i="3"/>
  <c r="KT49" i="3"/>
  <c r="KS49" i="3"/>
  <c r="KR49" i="3"/>
  <c r="KQ49" i="3"/>
  <c r="KP49" i="3"/>
  <c r="KO49" i="3"/>
  <c r="KN49" i="3"/>
  <c r="KM49" i="3"/>
  <c r="KL49" i="3"/>
  <c r="KK49" i="3"/>
  <c r="KV43" i="3"/>
  <c r="KU43" i="3"/>
  <c r="KT43" i="3"/>
  <c r="KS43" i="3"/>
  <c r="KR43" i="3"/>
  <c r="KQ43" i="3"/>
  <c r="KP43" i="3"/>
  <c r="KO43" i="3"/>
  <c r="KN43" i="3"/>
  <c r="KM43" i="3"/>
  <c r="KL43" i="3"/>
  <c r="KK43" i="3"/>
  <c r="KV37" i="3"/>
  <c r="KU37" i="3"/>
  <c r="KT37" i="3"/>
  <c r="KS37" i="3"/>
  <c r="KR37" i="3"/>
  <c r="KQ37" i="3"/>
  <c r="KP37" i="3"/>
  <c r="KO37" i="3"/>
  <c r="KN37" i="3"/>
  <c r="KM37" i="3"/>
  <c r="KL37" i="3"/>
  <c r="KK37" i="3"/>
  <c r="KV31" i="3"/>
  <c r="KU31" i="3"/>
  <c r="KT31" i="3"/>
  <c r="KS31" i="3"/>
  <c r="KR31" i="3"/>
  <c r="KQ31" i="3"/>
  <c r="KP31" i="3"/>
  <c r="KO31" i="3"/>
  <c r="KN31" i="3"/>
  <c r="KM31" i="3"/>
  <c r="KL31" i="3"/>
  <c r="KK31" i="3"/>
  <c r="KV25" i="3"/>
  <c r="KU25" i="3"/>
  <c r="KT25" i="3"/>
  <c r="KS25" i="3"/>
  <c r="KR25" i="3"/>
  <c r="KQ25" i="3"/>
  <c r="KP25" i="3"/>
  <c r="KO25" i="3"/>
  <c r="KN25" i="3"/>
  <c r="KM25" i="3"/>
  <c r="KL25" i="3"/>
  <c r="KK25" i="3"/>
  <c r="KV19" i="3"/>
  <c r="KU19" i="3"/>
  <c r="KT19" i="3"/>
  <c r="KS19" i="3"/>
  <c r="KR19" i="3"/>
  <c r="KQ19" i="3"/>
  <c r="KP19" i="3"/>
  <c r="KO19" i="3"/>
  <c r="KN19" i="3"/>
  <c r="KM19" i="3"/>
  <c r="KL19" i="3"/>
  <c r="KK19" i="3"/>
  <c r="KV13" i="3"/>
  <c r="KU13" i="3"/>
  <c r="KT13" i="3"/>
  <c r="KS13" i="3"/>
  <c r="KR13" i="3"/>
  <c r="KQ13" i="3"/>
  <c r="KP13" i="3"/>
  <c r="KO13" i="3"/>
  <c r="KN13" i="3"/>
  <c r="KM13" i="3"/>
  <c r="KL13" i="3"/>
  <c r="KK13" i="3"/>
  <c r="JV61" i="4" l="1"/>
  <c r="IV59" i="4"/>
  <c r="IW59" i="4"/>
  <c r="IX59" i="4"/>
  <c r="IY59" i="4"/>
  <c r="IZ59" i="4"/>
  <c r="JA59" i="4"/>
  <c r="JB59" i="4"/>
  <c r="JC59" i="4"/>
  <c r="JD59" i="4"/>
  <c r="JE59" i="4"/>
  <c r="JF59" i="4"/>
  <c r="JG59" i="4"/>
  <c r="IV60" i="4"/>
  <c r="IW60" i="4"/>
  <c r="IX60" i="4"/>
  <c r="IY60" i="4"/>
  <c r="IZ60" i="4"/>
  <c r="JA60" i="4"/>
  <c r="JB60" i="4"/>
  <c r="JC60" i="4"/>
  <c r="JD60" i="4"/>
  <c r="JE60" i="4"/>
  <c r="JF60" i="4"/>
  <c r="JG60" i="4"/>
  <c r="IV61" i="4"/>
  <c r="IW61" i="4"/>
  <c r="IX61" i="4"/>
  <c r="IY61" i="4"/>
  <c r="IZ61" i="4"/>
  <c r="JA61" i="4"/>
  <c r="JB61" i="4"/>
  <c r="JC61" i="4"/>
  <c r="JD61" i="4"/>
  <c r="JE61" i="4"/>
  <c r="JF61" i="4"/>
  <c r="JG61" i="4"/>
  <c r="IV62" i="4"/>
  <c r="IW62" i="4"/>
  <c r="IX62" i="4"/>
  <c r="IY62" i="4"/>
  <c r="IZ62" i="4"/>
  <c r="JA62" i="4"/>
  <c r="JB62" i="4"/>
  <c r="JC62" i="4"/>
  <c r="JD62" i="4"/>
  <c r="JE62" i="4"/>
  <c r="JF62" i="4"/>
  <c r="JG62" i="4"/>
  <c r="IV63" i="4"/>
  <c r="IW63" i="4"/>
  <c r="IX63" i="4"/>
  <c r="IY63" i="4"/>
  <c r="IZ63" i="4"/>
  <c r="JA63" i="4"/>
  <c r="JB63" i="4"/>
  <c r="JC63" i="4"/>
  <c r="JD63" i="4"/>
  <c r="JE63" i="4"/>
  <c r="JF63" i="4"/>
  <c r="JG63" i="4"/>
  <c r="IW58" i="4"/>
  <c r="IX58" i="4"/>
  <c r="IY58" i="4"/>
  <c r="IZ58" i="4"/>
  <c r="JA58" i="4"/>
  <c r="JB58" i="4"/>
  <c r="JC58" i="4"/>
  <c r="JD58" i="4"/>
  <c r="JE58" i="4"/>
  <c r="JF58" i="4"/>
  <c r="JG58" i="4"/>
  <c r="IV58" i="4"/>
  <c r="JH10" i="4"/>
  <c r="IZ55" i="4"/>
  <c r="IY55" i="4"/>
  <c r="IX55" i="4"/>
  <c r="IW55" i="4"/>
  <c r="IV55" i="4"/>
  <c r="JG49" i="4"/>
  <c r="JF49" i="4"/>
  <c r="JE49" i="4"/>
  <c r="JD49" i="4"/>
  <c r="JC49" i="4"/>
  <c r="JB49" i="4"/>
  <c r="JA49" i="4"/>
  <c r="IZ49" i="4"/>
  <c r="IY49" i="4"/>
  <c r="IX49" i="4"/>
  <c r="IW49" i="4"/>
  <c r="IV49" i="4"/>
  <c r="JG43" i="4"/>
  <c r="JF43" i="4"/>
  <c r="JE43" i="4"/>
  <c r="JD43" i="4"/>
  <c r="JC43" i="4"/>
  <c r="JB43" i="4"/>
  <c r="JA43" i="4"/>
  <c r="IZ43" i="4"/>
  <c r="IY43" i="4"/>
  <c r="IX43" i="4"/>
  <c r="IW43" i="4"/>
  <c r="IV43" i="4"/>
  <c r="JG37" i="4"/>
  <c r="JF37" i="4"/>
  <c r="JE37" i="4"/>
  <c r="JD37" i="4"/>
  <c r="JC37" i="4"/>
  <c r="JB37" i="4"/>
  <c r="JA37" i="4"/>
  <c r="IZ37" i="4"/>
  <c r="IY37" i="4"/>
  <c r="IX37" i="4"/>
  <c r="IW37" i="4"/>
  <c r="IV37" i="4"/>
  <c r="JG31" i="4"/>
  <c r="JF31" i="4"/>
  <c r="JE31" i="4"/>
  <c r="JD31" i="4"/>
  <c r="JC31" i="4"/>
  <c r="JB31" i="4"/>
  <c r="JA31" i="4"/>
  <c r="IZ31" i="4"/>
  <c r="IY31" i="4"/>
  <c r="IX31" i="4"/>
  <c r="IW31" i="4"/>
  <c r="IV31" i="4"/>
  <c r="JG25" i="4"/>
  <c r="JF25" i="4"/>
  <c r="JE25" i="4"/>
  <c r="JD25" i="4"/>
  <c r="JC25" i="4"/>
  <c r="JB25" i="4"/>
  <c r="JA25" i="4"/>
  <c r="IZ25" i="4"/>
  <c r="IY25" i="4"/>
  <c r="IX25" i="4"/>
  <c r="IW25" i="4"/>
  <c r="IV25" i="4"/>
  <c r="JG19" i="4"/>
  <c r="JF19" i="4"/>
  <c r="JE19" i="4"/>
  <c r="JD19" i="4"/>
  <c r="JC19" i="4"/>
  <c r="JB19" i="4"/>
  <c r="JA19" i="4"/>
  <c r="IZ19" i="4"/>
  <c r="IY19" i="4"/>
  <c r="IX19" i="4"/>
  <c r="IW19" i="4"/>
  <c r="IV19" i="4"/>
  <c r="JG13" i="4"/>
  <c r="JF13" i="4"/>
  <c r="JE13" i="4"/>
  <c r="JD13" i="4"/>
  <c r="JC13" i="4"/>
  <c r="JB13" i="4"/>
  <c r="JA13" i="4"/>
  <c r="IZ13" i="4"/>
  <c r="IY13" i="4"/>
  <c r="IX13" i="4"/>
  <c r="IW13" i="4"/>
  <c r="IV13" i="4"/>
  <c r="IV43" i="3"/>
  <c r="IV61" i="3" s="1"/>
  <c r="IV13" i="3"/>
  <c r="IV59" i="3"/>
  <c r="IW59" i="3"/>
  <c r="IX59" i="3"/>
  <c r="IY59" i="3"/>
  <c r="IZ59" i="3"/>
  <c r="JA59" i="3"/>
  <c r="JB59" i="3"/>
  <c r="JC59" i="3"/>
  <c r="JD59" i="3"/>
  <c r="JE59" i="3"/>
  <c r="JF59" i="3"/>
  <c r="JG59" i="3"/>
  <c r="IV60" i="3"/>
  <c r="IW60" i="3"/>
  <c r="IX60" i="3"/>
  <c r="IY60" i="3"/>
  <c r="IZ60" i="3"/>
  <c r="JA60" i="3"/>
  <c r="JB60" i="3"/>
  <c r="JC60" i="3"/>
  <c r="JD60" i="3"/>
  <c r="JE60" i="3"/>
  <c r="JF60" i="3"/>
  <c r="JG60" i="3"/>
  <c r="IW61" i="3"/>
  <c r="IX61" i="3"/>
  <c r="IY61" i="3"/>
  <c r="IZ61" i="3"/>
  <c r="JA61" i="3"/>
  <c r="JB61" i="3"/>
  <c r="JC61" i="3"/>
  <c r="JD61" i="3"/>
  <c r="JE61" i="3"/>
  <c r="JF61" i="3"/>
  <c r="JG61" i="3"/>
  <c r="IV62" i="3"/>
  <c r="IW62" i="3"/>
  <c r="IX62" i="3"/>
  <c r="IY62" i="3"/>
  <c r="IZ62" i="3"/>
  <c r="JA62" i="3"/>
  <c r="JB62" i="3"/>
  <c r="JC62" i="3"/>
  <c r="JD62" i="3"/>
  <c r="JE62" i="3"/>
  <c r="JF62" i="3"/>
  <c r="JG62" i="3"/>
  <c r="IV63" i="3"/>
  <c r="IW63" i="3"/>
  <c r="IX63" i="3"/>
  <c r="IY63" i="3"/>
  <c r="IZ63" i="3"/>
  <c r="JA63" i="3"/>
  <c r="JB63" i="3"/>
  <c r="JC63" i="3"/>
  <c r="JD63" i="3"/>
  <c r="JE63" i="3"/>
  <c r="JF63" i="3"/>
  <c r="JG63" i="3"/>
  <c r="IW58" i="3"/>
  <c r="IX58" i="3"/>
  <c r="IY58" i="3"/>
  <c r="IZ58" i="3"/>
  <c r="JA58" i="3"/>
  <c r="JB58" i="3"/>
  <c r="JC58" i="3"/>
  <c r="JD58" i="3"/>
  <c r="JE58" i="3"/>
  <c r="JF58" i="3"/>
  <c r="JG58" i="3"/>
  <c r="IV58" i="3"/>
  <c r="JH58" i="3" s="1"/>
  <c r="JH10" i="3"/>
  <c r="JH11" i="3"/>
  <c r="JH12" i="3"/>
  <c r="JH13" i="3"/>
  <c r="JH14" i="3"/>
  <c r="JH15" i="3"/>
  <c r="JH16" i="3"/>
  <c r="JH17" i="3"/>
  <c r="JH18" i="3"/>
  <c r="JH19" i="3"/>
  <c r="JH20" i="3"/>
  <c r="JH21" i="3"/>
  <c r="JH22" i="3"/>
  <c r="JH23" i="3"/>
  <c r="JH24" i="3"/>
  <c r="JH25" i="3"/>
  <c r="JH26" i="3"/>
  <c r="JH27" i="3"/>
  <c r="JH28" i="3"/>
  <c r="JH29" i="3"/>
  <c r="JH30" i="3"/>
  <c r="JH31" i="3"/>
  <c r="JH32" i="3"/>
  <c r="JH33" i="3"/>
  <c r="JH34" i="3"/>
  <c r="JH35" i="3"/>
  <c r="JH36" i="3"/>
  <c r="JH37" i="3"/>
  <c r="JH38" i="3"/>
  <c r="JH39" i="3"/>
  <c r="JH40" i="3"/>
  <c r="JH41" i="3"/>
  <c r="JH42" i="3"/>
  <c r="JH44" i="3"/>
  <c r="JH45" i="3"/>
  <c r="JH46" i="3"/>
  <c r="JH47" i="3"/>
  <c r="JH48" i="3"/>
  <c r="JH49" i="3"/>
  <c r="JH50" i="3"/>
  <c r="JH51" i="3"/>
  <c r="JH52" i="3"/>
  <c r="JH53" i="3"/>
  <c r="JH54" i="3"/>
  <c r="JH55" i="3"/>
  <c r="JH56" i="3"/>
  <c r="JH57" i="3"/>
  <c r="IZ55" i="3"/>
  <c r="IY55" i="3"/>
  <c r="IX55" i="3"/>
  <c r="IW55" i="3"/>
  <c r="IV55" i="3"/>
  <c r="JG49" i="3"/>
  <c r="JF49" i="3"/>
  <c r="JE49" i="3"/>
  <c r="JD49" i="3"/>
  <c r="JC49" i="3"/>
  <c r="JB49" i="3"/>
  <c r="JA49" i="3"/>
  <c r="IZ49" i="3"/>
  <c r="IY49" i="3"/>
  <c r="IX49" i="3"/>
  <c r="IW49" i="3"/>
  <c r="IV49" i="3"/>
  <c r="JG43" i="3"/>
  <c r="JF43" i="3"/>
  <c r="JE43" i="3"/>
  <c r="JD43" i="3"/>
  <c r="JC43" i="3"/>
  <c r="JB43" i="3"/>
  <c r="JA43" i="3"/>
  <c r="IZ43" i="3"/>
  <c r="IY43" i="3"/>
  <c r="IX43" i="3"/>
  <c r="IW43" i="3"/>
  <c r="JG37" i="3"/>
  <c r="JF37" i="3"/>
  <c r="JE37" i="3"/>
  <c r="JD37" i="3"/>
  <c r="JC37" i="3"/>
  <c r="JB37" i="3"/>
  <c r="JA37" i="3"/>
  <c r="IZ37" i="3"/>
  <c r="IY37" i="3"/>
  <c r="IX37" i="3"/>
  <c r="IW37" i="3"/>
  <c r="IV37" i="3"/>
  <c r="JG31" i="3"/>
  <c r="JF31" i="3"/>
  <c r="JE31" i="3"/>
  <c r="JD31" i="3"/>
  <c r="JC31" i="3"/>
  <c r="JB31" i="3"/>
  <c r="JA31" i="3"/>
  <c r="IZ31" i="3"/>
  <c r="IY31" i="3"/>
  <c r="IX31" i="3"/>
  <c r="IW31" i="3"/>
  <c r="IV31" i="3"/>
  <c r="JG25" i="3"/>
  <c r="JF25" i="3"/>
  <c r="JE25" i="3"/>
  <c r="JD25" i="3"/>
  <c r="JC25" i="3"/>
  <c r="JB25" i="3"/>
  <c r="JA25" i="3"/>
  <c r="IZ25" i="3"/>
  <c r="IY25" i="3"/>
  <c r="IX25" i="3"/>
  <c r="IW25" i="3"/>
  <c r="IV25" i="3"/>
  <c r="JG19" i="3"/>
  <c r="JF19" i="3"/>
  <c r="JE19" i="3"/>
  <c r="JD19" i="3"/>
  <c r="JC19" i="3"/>
  <c r="JB19" i="3"/>
  <c r="JA19" i="3"/>
  <c r="IZ19" i="3"/>
  <c r="IY19" i="3"/>
  <c r="IX19" i="3"/>
  <c r="IW19" i="3"/>
  <c r="IV19" i="3"/>
  <c r="JG13" i="3"/>
  <c r="JF13" i="3"/>
  <c r="JE13" i="3"/>
  <c r="JD13" i="3"/>
  <c r="JC13" i="3"/>
  <c r="JB13" i="3"/>
  <c r="JA13" i="3"/>
  <c r="IZ13" i="3"/>
  <c r="IY13" i="3"/>
  <c r="IX13" i="3"/>
  <c r="IW13" i="3"/>
  <c r="JH43" i="3" l="1"/>
  <c r="IG59" i="4" l="1"/>
  <c r="IH59" i="4"/>
  <c r="II59" i="4"/>
  <c r="IJ59" i="4"/>
  <c r="IK59" i="4"/>
  <c r="IL59" i="4"/>
  <c r="IM59" i="4"/>
  <c r="IN59" i="4"/>
  <c r="IO59" i="4"/>
  <c r="IP59" i="4"/>
  <c r="IQ59" i="4"/>
  <c r="IR59" i="4"/>
  <c r="IG60" i="4"/>
  <c r="IH60" i="4"/>
  <c r="II60" i="4"/>
  <c r="IJ60" i="4"/>
  <c r="IK60" i="4"/>
  <c r="IL60" i="4"/>
  <c r="IM60" i="4"/>
  <c r="IN60" i="4"/>
  <c r="IO60" i="4"/>
  <c r="IP60" i="4"/>
  <c r="IQ60" i="4"/>
  <c r="IR60" i="4"/>
  <c r="IG61" i="4"/>
  <c r="IH61" i="4"/>
  <c r="II61" i="4"/>
  <c r="IJ61" i="4"/>
  <c r="IK61" i="4"/>
  <c r="IL61" i="4"/>
  <c r="IM61" i="4"/>
  <c r="IN61" i="4"/>
  <c r="IO61" i="4"/>
  <c r="IP61" i="4"/>
  <c r="IQ61" i="4"/>
  <c r="IR61" i="4"/>
  <c r="IG62" i="4"/>
  <c r="IH62" i="4"/>
  <c r="II62" i="4"/>
  <c r="IJ62" i="4"/>
  <c r="IK62" i="4"/>
  <c r="IL62" i="4"/>
  <c r="IM62" i="4"/>
  <c r="IN62" i="4"/>
  <c r="IO62" i="4"/>
  <c r="IP62" i="4"/>
  <c r="IQ62" i="4"/>
  <c r="IR62" i="4"/>
  <c r="IG63" i="4"/>
  <c r="IH63" i="4"/>
  <c r="II63" i="4"/>
  <c r="IJ63" i="4"/>
  <c r="IK63" i="4"/>
  <c r="IL63" i="4"/>
  <c r="IM63" i="4"/>
  <c r="IN63" i="4"/>
  <c r="IO63" i="4"/>
  <c r="IP63" i="4"/>
  <c r="IQ63" i="4"/>
  <c r="IR63" i="4"/>
  <c r="IH58" i="4"/>
  <c r="II58" i="4"/>
  <c r="IJ58" i="4"/>
  <c r="IK58" i="4"/>
  <c r="IL58" i="4"/>
  <c r="IM58" i="4"/>
  <c r="IN58" i="4"/>
  <c r="IO58" i="4"/>
  <c r="IP58" i="4"/>
  <c r="IQ58" i="4"/>
  <c r="IR58" i="4"/>
  <c r="IG58" i="4"/>
  <c r="IH55" i="4"/>
  <c r="II55" i="4"/>
  <c r="IJ55" i="4"/>
  <c r="IK55" i="4"/>
  <c r="IG55" i="4"/>
  <c r="IH49" i="4"/>
  <c r="II49" i="4"/>
  <c r="IJ49" i="4"/>
  <c r="IK49" i="4"/>
  <c r="IL49" i="4"/>
  <c r="IM49" i="4"/>
  <c r="IN49" i="4"/>
  <c r="IO49" i="4"/>
  <c r="IP49" i="4"/>
  <c r="IQ49" i="4"/>
  <c r="IR49" i="4"/>
  <c r="IG49" i="4"/>
  <c r="IH43" i="4"/>
  <c r="II43" i="4"/>
  <c r="IJ43" i="4"/>
  <c r="IK43" i="4"/>
  <c r="IL43" i="4"/>
  <c r="IM43" i="4"/>
  <c r="IN43" i="4"/>
  <c r="IO43" i="4"/>
  <c r="IP43" i="4"/>
  <c r="IQ43" i="4"/>
  <c r="IR43" i="4"/>
  <c r="IG43" i="4"/>
  <c r="IH37" i="4"/>
  <c r="II37" i="4"/>
  <c r="IJ37" i="4"/>
  <c r="IK37" i="4"/>
  <c r="IL37" i="4"/>
  <c r="IM37" i="4"/>
  <c r="IN37" i="4"/>
  <c r="IO37" i="4"/>
  <c r="IP37" i="4"/>
  <c r="IQ37" i="4"/>
  <c r="IR37" i="4"/>
  <c r="IG37" i="4"/>
  <c r="IH31" i="4"/>
  <c r="II31" i="4"/>
  <c r="IJ31" i="4"/>
  <c r="IK31" i="4"/>
  <c r="IL31" i="4"/>
  <c r="IM31" i="4"/>
  <c r="IN31" i="4"/>
  <c r="IO31" i="4"/>
  <c r="IP31" i="4"/>
  <c r="IQ31" i="4"/>
  <c r="IR31" i="4"/>
  <c r="IG31" i="4"/>
  <c r="IH25" i="4"/>
  <c r="II25" i="4"/>
  <c r="IJ25" i="4"/>
  <c r="IK25" i="4"/>
  <c r="IL25" i="4"/>
  <c r="IM25" i="4"/>
  <c r="IN25" i="4"/>
  <c r="IO25" i="4"/>
  <c r="IP25" i="4"/>
  <c r="IQ25" i="4"/>
  <c r="IR25" i="4"/>
  <c r="IG25" i="4"/>
  <c r="IH19" i="4"/>
  <c r="II19" i="4"/>
  <c r="IJ19" i="4"/>
  <c r="IK19" i="4"/>
  <c r="IL19" i="4"/>
  <c r="IM19" i="4"/>
  <c r="IN19" i="4"/>
  <c r="IO19" i="4"/>
  <c r="IP19" i="4"/>
  <c r="IQ19" i="4"/>
  <c r="IR19" i="4"/>
  <c r="IG19" i="4"/>
  <c r="IH13" i="4"/>
  <c r="II13" i="4"/>
  <c r="IJ13" i="4"/>
  <c r="IK13" i="4"/>
  <c r="IL13" i="4"/>
  <c r="IM13" i="4"/>
  <c r="IN13" i="4"/>
  <c r="IO13" i="4"/>
  <c r="IP13" i="4"/>
  <c r="IQ13" i="4"/>
  <c r="IR13" i="4"/>
  <c r="IG13" i="4"/>
  <c r="IS10" i="4"/>
  <c r="IG59" i="3"/>
  <c r="IH59" i="3"/>
  <c r="II59" i="3"/>
  <c r="IJ59" i="3"/>
  <c r="IK59" i="3"/>
  <c r="IL59" i="3"/>
  <c r="IM59" i="3"/>
  <c r="IN59" i="3"/>
  <c r="IO59" i="3"/>
  <c r="IP59" i="3"/>
  <c r="IQ59" i="3"/>
  <c r="IR59" i="3"/>
  <c r="IG60" i="3"/>
  <c r="IH60" i="3"/>
  <c r="II60" i="3"/>
  <c r="IJ60" i="3"/>
  <c r="IK60" i="3"/>
  <c r="IL60" i="3"/>
  <c r="IM60" i="3"/>
  <c r="IN60" i="3"/>
  <c r="IO60" i="3"/>
  <c r="IP60" i="3"/>
  <c r="IQ60" i="3"/>
  <c r="IR60" i="3"/>
  <c r="IG61" i="3"/>
  <c r="IH61" i="3"/>
  <c r="II61" i="3"/>
  <c r="IJ61" i="3"/>
  <c r="IK61" i="3"/>
  <c r="IL61" i="3"/>
  <c r="IM61" i="3"/>
  <c r="IN61" i="3"/>
  <c r="IO61" i="3"/>
  <c r="IP61" i="3"/>
  <c r="IQ61" i="3"/>
  <c r="IR61" i="3"/>
  <c r="IG62" i="3"/>
  <c r="IH62" i="3"/>
  <c r="II62" i="3"/>
  <c r="IJ62" i="3"/>
  <c r="IK62" i="3"/>
  <c r="IL62" i="3"/>
  <c r="IM62" i="3"/>
  <c r="IN62" i="3"/>
  <c r="IO62" i="3"/>
  <c r="IP62" i="3"/>
  <c r="IQ62" i="3"/>
  <c r="IR62" i="3"/>
  <c r="IG63" i="3"/>
  <c r="IH63" i="3"/>
  <c r="II63" i="3"/>
  <c r="IJ63" i="3"/>
  <c r="IK63" i="3"/>
  <c r="IL63" i="3"/>
  <c r="IM63" i="3"/>
  <c r="IN63" i="3"/>
  <c r="IO63" i="3"/>
  <c r="IP63" i="3"/>
  <c r="IQ63" i="3"/>
  <c r="IR63" i="3"/>
  <c r="IH58" i="3"/>
  <c r="II58" i="3"/>
  <c r="IJ58" i="3"/>
  <c r="IK58" i="3"/>
  <c r="IL58" i="3"/>
  <c r="IM58" i="3"/>
  <c r="IN58" i="3"/>
  <c r="IO58" i="3"/>
  <c r="IP58" i="3"/>
  <c r="IQ58" i="3"/>
  <c r="IR58" i="3"/>
  <c r="IG58" i="3"/>
  <c r="IH55" i="3"/>
  <c r="II55" i="3"/>
  <c r="IJ55" i="3"/>
  <c r="IK55" i="3"/>
  <c r="IG55" i="3"/>
  <c r="IH49" i="3"/>
  <c r="II49" i="3"/>
  <c r="IS49" i="3" s="1"/>
  <c r="IJ49" i="3"/>
  <c r="IK49" i="3"/>
  <c r="IL49" i="3"/>
  <c r="IM49" i="3"/>
  <c r="IN49" i="3"/>
  <c r="IO49" i="3"/>
  <c r="IP49" i="3"/>
  <c r="IQ49" i="3"/>
  <c r="IR49" i="3"/>
  <c r="IG49" i="3"/>
  <c r="IH43" i="3"/>
  <c r="II43" i="3"/>
  <c r="IJ43" i="3"/>
  <c r="IK43" i="3"/>
  <c r="IS43" i="3" s="1"/>
  <c r="IL43" i="3"/>
  <c r="IM43" i="3"/>
  <c r="IN43" i="3"/>
  <c r="IO43" i="3"/>
  <c r="IP43" i="3"/>
  <c r="IQ43" i="3"/>
  <c r="IR43" i="3"/>
  <c r="IG43" i="3"/>
  <c r="IH37" i="3"/>
  <c r="II37" i="3"/>
  <c r="IS37" i="3" s="1"/>
  <c r="IJ37" i="3"/>
  <c r="IK37" i="3"/>
  <c r="IL37" i="3"/>
  <c r="IM37" i="3"/>
  <c r="IN37" i="3"/>
  <c r="IO37" i="3"/>
  <c r="IP37" i="3"/>
  <c r="IQ37" i="3"/>
  <c r="IR37" i="3"/>
  <c r="IG37" i="3"/>
  <c r="IH31" i="3"/>
  <c r="II31" i="3"/>
  <c r="IS31" i="3" s="1"/>
  <c r="IJ31" i="3"/>
  <c r="IK31" i="3"/>
  <c r="IL31" i="3"/>
  <c r="IM31" i="3"/>
  <c r="IN31" i="3"/>
  <c r="IO31" i="3"/>
  <c r="IP31" i="3"/>
  <c r="IQ31" i="3"/>
  <c r="IR31" i="3"/>
  <c r="IG31" i="3"/>
  <c r="IH25" i="3"/>
  <c r="II25" i="3"/>
  <c r="IS25" i="3" s="1"/>
  <c r="IJ25" i="3"/>
  <c r="IK25" i="3"/>
  <c r="IL25" i="3"/>
  <c r="IM25" i="3"/>
  <c r="IN25" i="3"/>
  <c r="IO25" i="3"/>
  <c r="IP25" i="3"/>
  <c r="IQ25" i="3"/>
  <c r="IR25" i="3"/>
  <c r="IG25" i="3"/>
  <c r="IH19" i="3"/>
  <c r="II19" i="3"/>
  <c r="IJ19" i="3"/>
  <c r="IK19" i="3"/>
  <c r="IL19" i="3"/>
  <c r="IM19" i="3"/>
  <c r="IN19" i="3"/>
  <c r="IO19" i="3"/>
  <c r="IP19" i="3"/>
  <c r="IQ19" i="3"/>
  <c r="IR19" i="3"/>
  <c r="IG19" i="3"/>
  <c r="IS19" i="3" s="1"/>
  <c r="IH13" i="3"/>
  <c r="II13" i="3"/>
  <c r="IJ13" i="3"/>
  <c r="IK13" i="3"/>
  <c r="IL13" i="3"/>
  <c r="IM13" i="3"/>
  <c r="IN13" i="3"/>
  <c r="IO13" i="3"/>
  <c r="IP13" i="3"/>
  <c r="IQ13" i="3"/>
  <c r="IR13" i="3"/>
  <c r="IG13" i="3"/>
  <c r="IS10" i="3"/>
  <c r="IS11" i="3"/>
  <c r="IS12" i="3"/>
  <c r="IS13" i="3"/>
  <c r="IS14" i="3"/>
  <c r="IS15" i="3"/>
  <c r="IS16" i="3"/>
  <c r="IS17" i="3"/>
  <c r="IS18" i="3"/>
  <c r="IS20" i="3"/>
  <c r="IS21" i="3"/>
  <c r="IS22" i="3"/>
  <c r="IS23" i="3"/>
  <c r="IS24" i="3"/>
  <c r="IS26" i="3"/>
  <c r="IS27" i="3"/>
  <c r="IS28" i="3"/>
  <c r="IS29" i="3"/>
  <c r="IS30" i="3"/>
  <c r="IS32" i="3"/>
  <c r="IS33" i="3"/>
  <c r="IS34" i="3"/>
  <c r="IS35" i="3"/>
  <c r="IS36" i="3"/>
  <c r="IS38" i="3"/>
  <c r="IS39" i="3"/>
  <c r="IS40" i="3"/>
  <c r="IS41" i="3"/>
  <c r="IS42" i="3"/>
  <c r="IS44" i="3"/>
  <c r="IS45" i="3"/>
  <c r="IS46" i="3"/>
  <c r="IS47" i="3"/>
  <c r="IS48" i="3"/>
  <c r="IS50" i="3"/>
  <c r="IS51" i="3"/>
  <c r="IS52" i="3"/>
  <c r="IS53" i="3"/>
  <c r="IS54" i="3"/>
  <c r="IS55" i="3"/>
  <c r="IS56" i="3"/>
  <c r="IS57" i="3"/>
  <c r="IS58" i="3"/>
  <c r="HF59" i="4" l="1"/>
  <c r="HG59" i="4"/>
  <c r="HH59" i="4"/>
  <c r="HI59" i="4"/>
  <c r="HJ59" i="4"/>
  <c r="HK59" i="4"/>
  <c r="HL59" i="4"/>
  <c r="HM59" i="4"/>
  <c r="HN59" i="4"/>
  <c r="HO59" i="4"/>
  <c r="HP59" i="4"/>
  <c r="HQ59" i="4"/>
  <c r="HF60" i="4"/>
  <c r="HG60" i="4"/>
  <c r="HH60" i="4"/>
  <c r="HI60" i="4"/>
  <c r="HJ60" i="4"/>
  <c r="HK60" i="4"/>
  <c r="HL60" i="4"/>
  <c r="HM60" i="4"/>
  <c r="HN60" i="4"/>
  <c r="HO60" i="4"/>
  <c r="HP60" i="4"/>
  <c r="HQ60" i="4"/>
  <c r="HF61" i="4"/>
  <c r="HG61" i="4"/>
  <c r="HH61" i="4"/>
  <c r="HI61" i="4"/>
  <c r="HJ61" i="4"/>
  <c r="HK61" i="4"/>
  <c r="HL61" i="4"/>
  <c r="HM61" i="4"/>
  <c r="HN61" i="4"/>
  <c r="HO61" i="4"/>
  <c r="HP61" i="4"/>
  <c r="HQ61" i="4"/>
  <c r="HF62" i="4"/>
  <c r="HG62" i="4"/>
  <c r="HH62" i="4"/>
  <c r="HI62" i="4"/>
  <c r="HJ62" i="4"/>
  <c r="HK62" i="4"/>
  <c r="HL62" i="4"/>
  <c r="HM62" i="4"/>
  <c r="HN62" i="4"/>
  <c r="HO62" i="4"/>
  <c r="HP62" i="4"/>
  <c r="HQ62" i="4"/>
  <c r="HF63" i="4"/>
  <c r="HG63" i="4"/>
  <c r="HH63" i="4"/>
  <c r="HI63" i="4"/>
  <c r="HJ63" i="4"/>
  <c r="HK63" i="4"/>
  <c r="HL63" i="4"/>
  <c r="HM63" i="4"/>
  <c r="HN63" i="4"/>
  <c r="HO63" i="4"/>
  <c r="HP63" i="4"/>
  <c r="HQ63" i="4"/>
  <c r="HG58" i="4"/>
  <c r="HH58" i="4"/>
  <c r="HI58" i="4"/>
  <c r="HJ58" i="4"/>
  <c r="HK58" i="4"/>
  <c r="HL58" i="4"/>
  <c r="HM58" i="4"/>
  <c r="HN58" i="4"/>
  <c r="HO58" i="4"/>
  <c r="HP58" i="4"/>
  <c r="HQ58" i="4"/>
  <c r="HF58" i="4"/>
  <c r="HR55" i="4"/>
  <c r="HG55" i="4"/>
  <c r="HH55" i="4"/>
  <c r="HI55" i="4"/>
  <c r="HJ55" i="4"/>
  <c r="HF55" i="4"/>
  <c r="HG49" i="4"/>
  <c r="HH49" i="4"/>
  <c r="HI49" i="4"/>
  <c r="HJ49" i="4"/>
  <c r="HK49" i="4"/>
  <c r="HL49" i="4"/>
  <c r="HM49" i="4"/>
  <c r="HN49" i="4"/>
  <c r="HO49" i="4"/>
  <c r="HP49" i="4"/>
  <c r="HQ49" i="4"/>
  <c r="HF49" i="4"/>
  <c r="HG43" i="4"/>
  <c r="HH43" i="4"/>
  <c r="HI43" i="4"/>
  <c r="HJ43" i="4"/>
  <c r="HK43" i="4"/>
  <c r="HL43" i="4"/>
  <c r="HM43" i="4"/>
  <c r="HN43" i="4"/>
  <c r="HO43" i="4"/>
  <c r="HP43" i="4"/>
  <c r="HQ43" i="4"/>
  <c r="HF43" i="4"/>
  <c r="HG37" i="4"/>
  <c r="HH37" i="4"/>
  <c r="HI37" i="4"/>
  <c r="HJ37" i="4"/>
  <c r="HK37" i="4"/>
  <c r="HL37" i="4"/>
  <c r="HM37" i="4"/>
  <c r="HN37" i="4"/>
  <c r="HO37" i="4"/>
  <c r="HP37" i="4"/>
  <c r="HQ37" i="4"/>
  <c r="HF37" i="4"/>
  <c r="HG31" i="4"/>
  <c r="HH31" i="4"/>
  <c r="HI31" i="4"/>
  <c r="HJ31" i="4"/>
  <c r="HK31" i="4"/>
  <c r="HL31" i="4"/>
  <c r="HM31" i="4"/>
  <c r="HN31" i="4"/>
  <c r="HO31" i="4"/>
  <c r="HP31" i="4"/>
  <c r="HQ31" i="4"/>
  <c r="HF31" i="4"/>
  <c r="HG25" i="4"/>
  <c r="HH25" i="4"/>
  <c r="HI25" i="4"/>
  <c r="HJ25" i="4"/>
  <c r="HK25" i="4"/>
  <c r="HL25" i="4"/>
  <c r="HM25" i="4"/>
  <c r="HN25" i="4"/>
  <c r="HO25" i="4"/>
  <c r="HP25" i="4"/>
  <c r="HQ25" i="4"/>
  <c r="HF25" i="4"/>
  <c r="HG19" i="4"/>
  <c r="HH19" i="4"/>
  <c r="HI19" i="4"/>
  <c r="HJ19" i="4"/>
  <c r="HK19" i="4"/>
  <c r="HL19" i="4"/>
  <c r="HM19" i="4"/>
  <c r="HN19" i="4"/>
  <c r="HO19" i="4"/>
  <c r="HP19" i="4"/>
  <c r="HQ19" i="4"/>
  <c r="HF19" i="4"/>
  <c r="HG13" i="4"/>
  <c r="HH13" i="4"/>
  <c r="HI13" i="4"/>
  <c r="HJ13" i="4"/>
  <c r="HK13" i="4"/>
  <c r="HL13" i="4"/>
  <c r="HM13" i="4"/>
  <c r="HN13" i="4"/>
  <c r="HO13" i="4"/>
  <c r="HP13" i="4"/>
  <c r="HQ13" i="4"/>
  <c r="HF13" i="4"/>
  <c r="HR10" i="4"/>
  <c r="HG55" i="3"/>
  <c r="HH55" i="3"/>
  <c r="HH61" i="3" s="1"/>
  <c r="HI55" i="3"/>
  <c r="HJ55" i="3"/>
  <c r="HF55" i="3"/>
  <c r="HG49" i="3"/>
  <c r="HH49" i="3"/>
  <c r="HI49" i="3"/>
  <c r="HJ49" i="3"/>
  <c r="HK49" i="3"/>
  <c r="HL49" i="3"/>
  <c r="HM49" i="3"/>
  <c r="HN49" i="3"/>
  <c r="HO49" i="3"/>
  <c r="HP49" i="3"/>
  <c r="HQ49" i="3"/>
  <c r="HF49" i="3"/>
  <c r="HG43" i="3"/>
  <c r="HH43" i="3"/>
  <c r="HI43" i="3"/>
  <c r="HJ43" i="3"/>
  <c r="HK43" i="3"/>
  <c r="HL43" i="3"/>
  <c r="HM43" i="3"/>
  <c r="HN43" i="3"/>
  <c r="HO43" i="3"/>
  <c r="HP43" i="3"/>
  <c r="HQ43" i="3"/>
  <c r="HF43" i="3"/>
  <c r="HG37" i="3"/>
  <c r="HH37" i="3"/>
  <c r="HI37" i="3"/>
  <c r="HJ37" i="3"/>
  <c r="HK37" i="3"/>
  <c r="HL37" i="3"/>
  <c r="HM37" i="3"/>
  <c r="HN37" i="3"/>
  <c r="HO37" i="3"/>
  <c r="HP37" i="3"/>
  <c r="HQ37" i="3"/>
  <c r="HF37" i="3"/>
  <c r="HG31" i="3"/>
  <c r="HH31" i="3"/>
  <c r="HI31" i="3"/>
  <c r="HJ31" i="3"/>
  <c r="HK31" i="3"/>
  <c r="HL31" i="3"/>
  <c r="HL61" i="3" s="1"/>
  <c r="HM31" i="3"/>
  <c r="HN31" i="3"/>
  <c r="HO31" i="3"/>
  <c r="HP31" i="3"/>
  <c r="HQ31" i="3"/>
  <c r="HF31" i="3"/>
  <c r="HG25" i="3"/>
  <c r="HG61" i="3" s="1"/>
  <c r="HH25" i="3"/>
  <c r="HI25" i="3"/>
  <c r="HJ25" i="3"/>
  <c r="HK25" i="3"/>
  <c r="HL25" i="3"/>
  <c r="HM25" i="3"/>
  <c r="HN25" i="3"/>
  <c r="HO25" i="3"/>
  <c r="HP25" i="3"/>
  <c r="HQ25" i="3"/>
  <c r="HF25" i="3"/>
  <c r="HG19" i="3"/>
  <c r="HH19" i="3"/>
  <c r="HI19" i="3"/>
  <c r="HJ19" i="3"/>
  <c r="HK19" i="3"/>
  <c r="HL19" i="3"/>
  <c r="HM19" i="3"/>
  <c r="HN19" i="3"/>
  <c r="HO19" i="3"/>
  <c r="HP19" i="3"/>
  <c r="HP61" i="3" s="1"/>
  <c r="HQ19" i="3"/>
  <c r="HQ61" i="3" s="1"/>
  <c r="HF19" i="3"/>
  <c r="HF61" i="3" s="1"/>
  <c r="HR10" i="3"/>
  <c r="HG13" i="3"/>
  <c r="HH13" i="3"/>
  <c r="HI13" i="3"/>
  <c r="HJ13" i="3"/>
  <c r="HK13" i="3"/>
  <c r="HL13" i="3"/>
  <c r="HM13" i="3"/>
  <c r="HN13" i="3"/>
  <c r="HO13" i="3"/>
  <c r="HP13" i="3"/>
  <c r="HQ13" i="3"/>
  <c r="HF13" i="3"/>
  <c r="HF59" i="3"/>
  <c r="HG59" i="3"/>
  <c r="HH59" i="3"/>
  <c r="HI59" i="3"/>
  <c r="HJ59" i="3"/>
  <c r="HK59" i="3"/>
  <c r="HL59" i="3"/>
  <c r="HM59" i="3"/>
  <c r="HN59" i="3"/>
  <c r="HO59" i="3"/>
  <c r="HP59" i="3"/>
  <c r="HQ59" i="3"/>
  <c r="HF60" i="3"/>
  <c r="HG60" i="3"/>
  <c r="HH60" i="3"/>
  <c r="HI60" i="3"/>
  <c r="HJ60" i="3"/>
  <c r="HK60" i="3"/>
  <c r="HL60" i="3"/>
  <c r="HM60" i="3"/>
  <c r="HN60" i="3"/>
  <c r="HO60" i="3"/>
  <c r="HP60" i="3"/>
  <c r="HQ60" i="3"/>
  <c r="HI61" i="3"/>
  <c r="HK61" i="3"/>
  <c r="HM61" i="3"/>
  <c r="HO61" i="3"/>
  <c r="HF62" i="3"/>
  <c r="HG62" i="3"/>
  <c r="HH62" i="3"/>
  <c r="HI62" i="3"/>
  <c r="HJ62" i="3"/>
  <c r="HK62" i="3"/>
  <c r="HL62" i="3"/>
  <c r="HM62" i="3"/>
  <c r="HN62" i="3"/>
  <c r="HO62" i="3"/>
  <c r="HP62" i="3"/>
  <c r="HQ62" i="3"/>
  <c r="HF63" i="3"/>
  <c r="HG63" i="3"/>
  <c r="HH63" i="3"/>
  <c r="HI63" i="3"/>
  <c r="HJ63" i="3"/>
  <c r="HK63" i="3"/>
  <c r="HL63" i="3"/>
  <c r="HM63" i="3"/>
  <c r="HN63" i="3"/>
  <c r="HO63" i="3"/>
  <c r="HP63" i="3"/>
  <c r="HQ63" i="3"/>
  <c r="HG58" i="3"/>
  <c r="HH58" i="3"/>
  <c r="HI58" i="3"/>
  <c r="HJ58" i="3"/>
  <c r="HK58" i="3"/>
  <c r="HL58" i="3"/>
  <c r="HM58" i="3"/>
  <c r="HN58" i="3"/>
  <c r="HO58" i="3"/>
  <c r="HP58" i="3"/>
  <c r="HQ58" i="3"/>
  <c r="HF58" i="3"/>
  <c r="HN61" i="3" l="1"/>
  <c r="HJ61" i="3"/>
  <c r="GD59" i="4" l="1"/>
  <c r="GE59" i="4"/>
  <c r="GF59" i="4"/>
  <c r="GG59" i="4"/>
  <c r="GH59" i="4"/>
  <c r="GI59" i="4"/>
  <c r="GJ59" i="4"/>
  <c r="GK59" i="4"/>
  <c r="GL59" i="4"/>
  <c r="GM59" i="4"/>
  <c r="GN59" i="4"/>
  <c r="GO59" i="4"/>
  <c r="GD60" i="4"/>
  <c r="GE60" i="4"/>
  <c r="GF60" i="4"/>
  <c r="GG60" i="4"/>
  <c r="GH60" i="4"/>
  <c r="GI60" i="4"/>
  <c r="GJ60" i="4"/>
  <c r="GK60" i="4"/>
  <c r="GL60" i="4"/>
  <c r="GM60" i="4"/>
  <c r="GN60" i="4"/>
  <c r="GO60" i="4"/>
  <c r="GD61" i="4"/>
  <c r="GE61" i="4"/>
  <c r="GF61" i="4"/>
  <c r="GG61" i="4"/>
  <c r="GH61" i="4"/>
  <c r="GI61" i="4"/>
  <c r="GJ61" i="4"/>
  <c r="GK61" i="4"/>
  <c r="GL61" i="4"/>
  <c r="GM61" i="4"/>
  <c r="GN61" i="4"/>
  <c r="GO61" i="4"/>
  <c r="GD62" i="4"/>
  <c r="GE62" i="4"/>
  <c r="GF62" i="4"/>
  <c r="GG62" i="4"/>
  <c r="GH62" i="4"/>
  <c r="GI62" i="4"/>
  <c r="GJ62" i="4"/>
  <c r="GK62" i="4"/>
  <c r="GL62" i="4"/>
  <c r="GM62" i="4"/>
  <c r="GN62" i="4"/>
  <c r="GO62" i="4"/>
  <c r="GD63" i="4"/>
  <c r="GE63" i="4"/>
  <c r="GF63" i="4"/>
  <c r="GG63" i="4"/>
  <c r="GH63" i="4"/>
  <c r="GI63" i="4"/>
  <c r="GJ63" i="4"/>
  <c r="GK63" i="4"/>
  <c r="GL63" i="4"/>
  <c r="GM63" i="4"/>
  <c r="GN63" i="4"/>
  <c r="GO63" i="4"/>
  <c r="GE58" i="4"/>
  <c r="GF58" i="4"/>
  <c r="GG58" i="4"/>
  <c r="GH58" i="4"/>
  <c r="GI58" i="4"/>
  <c r="GJ58" i="4"/>
  <c r="GK58" i="4"/>
  <c r="GL58" i="4"/>
  <c r="GM58" i="4"/>
  <c r="GN58" i="4"/>
  <c r="GO58" i="4"/>
  <c r="GD58" i="4"/>
  <c r="GH55" i="4"/>
  <c r="GG55" i="4"/>
  <c r="GF55" i="4"/>
  <c r="GE55" i="4"/>
  <c r="GD55" i="4"/>
  <c r="GO49" i="4"/>
  <c r="GN49" i="4"/>
  <c r="GM49" i="4"/>
  <c r="GL49" i="4"/>
  <c r="GK49" i="4"/>
  <c r="GJ49" i="4"/>
  <c r="GI49" i="4"/>
  <c r="GH49" i="4"/>
  <c r="GG49" i="4"/>
  <c r="GF49" i="4"/>
  <c r="GE49" i="4"/>
  <c r="GD49" i="4"/>
  <c r="GO43" i="4"/>
  <c r="GN43" i="4"/>
  <c r="GM43" i="4"/>
  <c r="GL43" i="4"/>
  <c r="GK43" i="4"/>
  <c r="GJ43" i="4"/>
  <c r="GI43" i="4"/>
  <c r="GH43" i="4"/>
  <c r="GG43" i="4"/>
  <c r="GF43" i="4"/>
  <c r="GE43" i="4"/>
  <c r="GD43" i="4"/>
  <c r="GO37" i="4"/>
  <c r="GN37" i="4"/>
  <c r="GM37" i="4"/>
  <c r="GL37" i="4"/>
  <c r="GK37" i="4"/>
  <c r="GJ37" i="4"/>
  <c r="GI37" i="4"/>
  <c r="GH37" i="4"/>
  <c r="GG37" i="4"/>
  <c r="GF37" i="4"/>
  <c r="GE37" i="4"/>
  <c r="GD37" i="4"/>
  <c r="GO31" i="4"/>
  <c r="GN31" i="4"/>
  <c r="GM31" i="4"/>
  <c r="GL31" i="4"/>
  <c r="GK31" i="4"/>
  <c r="GJ31" i="4"/>
  <c r="GI31" i="4"/>
  <c r="GH31" i="4"/>
  <c r="GG31" i="4"/>
  <c r="GF31" i="4"/>
  <c r="GE31" i="4"/>
  <c r="GD31" i="4"/>
  <c r="GO25" i="4"/>
  <c r="GN25" i="4"/>
  <c r="GM25" i="4"/>
  <c r="GL25" i="4"/>
  <c r="GK25" i="4"/>
  <c r="GJ25" i="4"/>
  <c r="GI25" i="4"/>
  <c r="GH25" i="4"/>
  <c r="GG25" i="4"/>
  <c r="GF25" i="4"/>
  <c r="GE25" i="4"/>
  <c r="GD25" i="4"/>
  <c r="GO19" i="4"/>
  <c r="GN19" i="4"/>
  <c r="GM19" i="4"/>
  <c r="GL19" i="4"/>
  <c r="GK19" i="4"/>
  <c r="GJ19" i="4"/>
  <c r="GI19" i="4"/>
  <c r="GH19" i="4"/>
  <c r="GG19" i="4"/>
  <c r="GF19" i="4"/>
  <c r="GE19" i="4"/>
  <c r="GD19" i="4"/>
  <c r="GO13" i="4"/>
  <c r="GN13" i="4"/>
  <c r="GM13" i="4"/>
  <c r="GL13" i="4"/>
  <c r="GK13" i="4"/>
  <c r="GJ13" i="4"/>
  <c r="GI13" i="4"/>
  <c r="GH13" i="4"/>
  <c r="GG13" i="4"/>
  <c r="GF13" i="4"/>
  <c r="GE13" i="4"/>
  <c r="GD13" i="4"/>
  <c r="GD59" i="3"/>
  <c r="GE59" i="3"/>
  <c r="GF59" i="3"/>
  <c r="GG59" i="3"/>
  <c r="GH59" i="3"/>
  <c r="GI59" i="3"/>
  <c r="GJ59" i="3"/>
  <c r="GK59" i="3"/>
  <c r="GL59" i="3"/>
  <c r="GM59" i="3"/>
  <c r="GN59" i="3"/>
  <c r="GO59" i="3"/>
  <c r="GD60" i="3"/>
  <c r="GE60" i="3"/>
  <c r="GF60" i="3"/>
  <c r="GG60" i="3"/>
  <c r="GH60" i="3"/>
  <c r="GI60" i="3"/>
  <c r="GJ60" i="3"/>
  <c r="GK60" i="3"/>
  <c r="GL60" i="3"/>
  <c r="GM60" i="3"/>
  <c r="GN60" i="3"/>
  <c r="GO60" i="3"/>
  <c r="GD61" i="3"/>
  <c r="GE61" i="3"/>
  <c r="GF61" i="3"/>
  <c r="GG61" i="3"/>
  <c r="GH61" i="3"/>
  <c r="GI61" i="3"/>
  <c r="GJ61" i="3"/>
  <c r="GK61" i="3"/>
  <c r="GL61" i="3"/>
  <c r="GM61" i="3"/>
  <c r="GN61" i="3"/>
  <c r="GO61" i="3"/>
  <c r="GD62" i="3"/>
  <c r="GE62" i="3"/>
  <c r="GF62" i="3"/>
  <c r="GG62" i="3"/>
  <c r="GH62" i="3"/>
  <c r="GI62" i="3"/>
  <c r="GJ62" i="3"/>
  <c r="GK62" i="3"/>
  <c r="GL62" i="3"/>
  <c r="GM62" i="3"/>
  <c r="GN62" i="3"/>
  <c r="GO62" i="3"/>
  <c r="GD63" i="3"/>
  <c r="GE63" i="3"/>
  <c r="GF63" i="3"/>
  <c r="GG63" i="3"/>
  <c r="GH63" i="3"/>
  <c r="GI63" i="3"/>
  <c r="GJ63" i="3"/>
  <c r="GK63" i="3"/>
  <c r="GL63" i="3"/>
  <c r="GM63" i="3"/>
  <c r="GN63" i="3"/>
  <c r="GO63" i="3"/>
  <c r="GE58" i="3"/>
  <c r="GF58" i="3"/>
  <c r="GG58" i="3"/>
  <c r="GH58" i="3"/>
  <c r="GI58" i="3"/>
  <c r="GJ58" i="3"/>
  <c r="GK58" i="3"/>
  <c r="GL58" i="3"/>
  <c r="GM58" i="3"/>
  <c r="GN58" i="3"/>
  <c r="GO58" i="3"/>
  <c r="GD58" i="3"/>
  <c r="GH55" i="3"/>
  <c r="GG55" i="3"/>
  <c r="GF55" i="3"/>
  <c r="GE55" i="3"/>
  <c r="GD55" i="3"/>
  <c r="GO49" i="3"/>
  <c r="GN49" i="3"/>
  <c r="GM49" i="3"/>
  <c r="GL49" i="3"/>
  <c r="GK49" i="3"/>
  <c r="GJ49" i="3"/>
  <c r="GI49" i="3"/>
  <c r="GH49" i="3"/>
  <c r="GG49" i="3"/>
  <c r="GF49" i="3"/>
  <c r="GE49" i="3"/>
  <c r="GD49" i="3"/>
  <c r="GO43" i="3"/>
  <c r="GN43" i="3"/>
  <c r="GM43" i="3"/>
  <c r="GL43" i="3"/>
  <c r="GK43" i="3"/>
  <c r="GJ43" i="3"/>
  <c r="GI43" i="3"/>
  <c r="GH43" i="3"/>
  <c r="GG43" i="3"/>
  <c r="GF43" i="3"/>
  <c r="GE43" i="3"/>
  <c r="GD43" i="3"/>
  <c r="GO37" i="3"/>
  <c r="GN37" i="3"/>
  <c r="GM37" i="3"/>
  <c r="GL37" i="3"/>
  <c r="GK37" i="3"/>
  <c r="GJ37" i="3"/>
  <c r="GI37" i="3"/>
  <c r="GH37" i="3"/>
  <c r="GG37" i="3"/>
  <c r="GF37" i="3"/>
  <c r="GE37" i="3"/>
  <c r="GD37" i="3"/>
  <c r="GO31" i="3"/>
  <c r="GN31" i="3"/>
  <c r="GM31" i="3"/>
  <c r="GL31" i="3"/>
  <c r="GK31" i="3"/>
  <c r="GJ31" i="3"/>
  <c r="GI31" i="3"/>
  <c r="GH31" i="3"/>
  <c r="GG31" i="3"/>
  <c r="GF31" i="3"/>
  <c r="GE31" i="3"/>
  <c r="GD31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O19" i="3"/>
  <c r="GN19" i="3"/>
  <c r="GM19" i="3"/>
  <c r="GL19" i="3"/>
  <c r="GK19" i="3"/>
  <c r="GJ19" i="3"/>
  <c r="GI19" i="3"/>
  <c r="GH19" i="3"/>
  <c r="GG19" i="3"/>
  <c r="GF19" i="3"/>
  <c r="GE19" i="3"/>
  <c r="GD19" i="3"/>
  <c r="GO13" i="3"/>
  <c r="GN13" i="3"/>
  <c r="GM13" i="3"/>
  <c r="GL13" i="3"/>
  <c r="GK13" i="3"/>
  <c r="GJ13" i="3"/>
  <c r="GI13" i="3"/>
  <c r="GH13" i="3"/>
  <c r="GG13" i="3"/>
  <c r="GF13" i="3"/>
  <c r="GE13" i="3"/>
  <c r="GD13" i="3"/>
  <c r="FP59" i="4" l="1"/>
  <c r="FQ59" i="4"/>
  <c r="FR59" i="4"/>
  <c r="FS59" i="4"/>
  <c r="FT59" i="4"/>
  <c r="FU59" i="4"/>
  <c r="FV59" i="4"/>
  <c r="FW59" i="4"/>
  <c r="FX59" i="4"/>
  <c r="FY59" i="4"/>
  <c r="FZ59" i="4"/>
  <c r="GA59" i="4"/>
  <c r="FP60" i="4"/>
  <c r="FQ60" i="4"/>
  <c r="FR60" i="4"/>
  <c r="FS60" i="4"/>
  <c r="FT60" i="4"/>
  <c r="FU60" i="4"/>
  <c r="FV60" i="4"/>
  <c r="FW60" i="4"/>
  <c r="FX60" i="4"/>
  <c r="FY60" i="4"/>
  <c r="FZ60" i="4"/>
  <c r="GA60" i="4"/>
  <c r="FP61" i="4"/>
  <c r="FQ61" i="4"/>
  <c r="FR61" i="4"/>
  <c r="FS61" i="4"/>
  <c r="FT61" i="4"/>
  <c r="FU61" i="4"/>
  <c r="FV61" i="4"/>
  <c r="FW61" i="4"/>
  <c r="FX61" i="4"/>
  <c r="FY61" i="4"/>
  <c r="FZ61" i="4"/>
  <c r="GA61" i="4"/>
  <c r="FP62" i="4"/>
  <c r="FQ62" i="4"/>
  <c r="FR62" i="4"/>
  <c r="FS62" i="4"/>
  <c r="FT62" i="4"/>
  <c r="FU62" i="4"/>
  <c r="FV62" i="4"/>
  <c r="FW62" i="4"/>
  <c r="FX62" i="4"/>
  <c r="FY62" i="4"/>
  <c r="FZ62" i="4"/>
  <c r="GA62" i="4"/>
  <c r="FP63" i="4"/>
  <c r="FQ63" i="4"/>
  <c r="FR63" i="4"/>
  <c r="FS63" i="4"/>
  <c r="FT63" i="4"/>
  <c r="FU63" i="4"/>
  <c r="FV63" i="4"/>
  <c r="FW63" i="4"/>
  <c r="FX63" i="4"/>
  <c r="FY63" i="4"/>
  <c r="FZ63" i="4"/>
  <c r="GA63" i="4"/>
  <c r="FQ58" i="4"/>
  <c r="FR58" i="4"/>
  <c r="FS58" i="4"/>
  <c r="FT58" i="4"/>
  <c r="FU58" i="4"/>
  <c r="FV58" i="4"/>
  <c r="FW58" i="4"/>
  <c r="FX58" i="4"/>
  <c r="FY58" i="4"/>
  <c r="FZ58" i="4"/>
  <c r="GA58" i="4"/>
  <c r="FP58" i="4"/>
  <c r="GB10" i="3"/>
  <c r="GB10" i="4"/>
  <c r="FT55" i="4"/>
  <c r="FS55" i="4"/>
  <c r="FR55" i="4"/>
  <c r="FQ55" i="4"/>
  <c r="FP55" i="4"/>
  <c r="GA49" i="4"/>
  <c r="FZ49" i="4"/>
  <c r="FY49" i="4"/>
  <c r="FX49" i="4"/>
  <c r="FW49" i="4"/>
  <c r="FV49" i="4"/>
  <c r="FU49" i="4"/>
  <c r="FT49" i="4"/>
  <c r="FS49" i="4"/>
  <c r="FR49" i="4"/>
  <c r="FQ49" i="4"/>
  <c r="FP49" i="4"/>
  <c r="GA43" i="4"/>
  <c r="FZ43" i="4"/>
  <c r="FY43" i="4"/>
  <c r="FX43" i="4"/>
  <c r="FW43" i="4"/>
  <c r="FV43" i="4"/>
  <c r="FU43" i="4"/>
  <c r="FT43" i="4"/>
  <c r="FS43" i="4"/>
  <c r="FR43" i="4"/>
  <c r="FQ43" i="4"/>
  <c r="FP43" i="4"/>
  <c r="GA37" i="4"/>
  <c r="FZ37" i="4"/>
  <c r="FY37" i="4"/>
  <c r="FX37" i="4"/>
  <c r="FW37" i="4"/>
  <c r="FV37" i="4"/>
  <c r="FU37" i="4"/>
  <c r="FT37" i="4"/>
  <c r="FS37" i="4"/>
  <c r="FR37" i="4"/>
  <c r="FQ37" i="4"/>
  <c r="FP37" i="4"/>
  <c r="GA31" i="4"/>
  <c r="FZ31" i="4"/>
  <c r="FY31" i="4"/>
  <c r="FX31" i="4"/>
  <c r="FW31" i="4"/>
  <c r="FV31" i="4"/>
  <c r="FU31" i="4"/>
  <c r="FT31" i="4"/>
  <c r="FS31" i="4"/>
  <c r="FR31" i="4"/>
  <c r="FQ31" i="4"/>
  <c r="FP31" i="4"/>
  <c r="GA25" i="4"/>
  <c r="FZ25" i="4"/>
  <c r="FY25" i="4"/>
  <c r="FX25" i="4"/>
  <c r="FW25" i="4"/>
  <c r="FV25" i="4"/>
  <c r="FU25" i="4"/>
  <c r="FT25" i="4"/>
  <c r="FS25" i="4"/>
  <c r="FR25" i="4"/>
  <c r="FQ25" i="4"/>
  <c r="FP25" i="4"/>
  <c r="GA19" i="4"/>
  <c r="FZ19" i="4"/>
  <c r="FY19" i="4"/>
  <c r="FX19" i="4"/>
  <c r="FW19" i="4"/>
  <c r="FV19" i="4"/>
  <c r="FU19" i="4"/>
  <c r="FT19" i="4"/>
  <c r="FS19" i="4"/>
  <c r="FR19" i="4"/>
  <c r="FQ19" i="4"/>
  <c r="FP19" i="4"/>
  <c r="GA13" i="4"/>
  <c r="FZ13" i="4"/>
  <c r="FY13" i="4"/>
  <c r="FX13" i="4"/>
  <c r="FW13" i="4"/>
  <c r="FV13" i="4"/>
  <c r="FU13" i="4"/>
  <c r="FT13" i="4"/>
  <c r="FS13" i="4"/>
  <c r="FR13" i="4"/>
  <c r="FQ13" i="4"/>
  <c r="FP13" i="4"/>
  <c r="FP59" i="3"/>
  <c r="FQ59" i="3"/>
  <c r="FR59" i="3"/>
  <c r="FS59" i="3"/>
  <c r="FT59" i="3"/>
  <c r="FU59" i="3"/>
  <c r="FV59" i="3"/>
  <c r="FW59" i="3"/>
  <c r="FX59" i="3"/>
  <c r="FY59" i="3"/>
  <c r="FZ59" i="3"/>
  <c r="GA59" i="3"/>
  <c r="FP60" i="3"/>
  <c r="FQ60" i="3"/>
  <c r="FR60" i="3"/>
  <c r="FS60" i="3"/>
  <c r="FT60" i="3"/>
  <c r="FU60" i="3"/>
  <c r="FV60" i="3"/>
  <c r="FW60" i="3"/>
  <c r="FX60" i="3"/>
  <c r="FY60" i="3"/>
  <c r="FZ60" i="3"/>
  <c r="GA60" i="3"/>
  <c r="FP61" i="3"/>
  <c r="FQ61" i="3"/>
  <c r="FR61" i="3"/>
  <c r="FS61" i="3"/>
  <c r="FT61" i="3"/>
  <c r="FU61" i="3"/>
  <c r="FV61" i="3"/>
  <c r="FW61" i="3"/>
  <c r="FX61" i="3"/>
  <c r="FY61" i="3"/>
  <c r="FZ61" i="3"/>
  <c r="GA61" i="3"/>
  <c r="FP62" i="3"/>
  <c r="FQ62" i="3"/>
  <c r="FR62" i="3"/>
  <c r="FS62" i="3"/>
  <c r="FT62" i="3"/>
  <c r="FU62" i="3"/>
  <c r="FV62" i="3"/>
  <c r="FW62" i="3"/>
  <c r="FX62" i="3"/>
  <c r="FY62" i="3"/>
  <c r="FZ62" i="3"/>
  <c r="GA62" i="3"/>
  <c r="FP63" i="3"/>
  <c r="FQ63" i="3"/>
  <c r="FR63" i="3"/>
  <c r="FS63" i="3"/>
  <c r="FT63" i="3"/>
  <c r="FU63" i="3"/>
  <c r="FV63" i="3"/>
  <c r="FW63" i="3"/>
  <c r="FX63" i="3"/>
  <c r="FY63" i="3"/>
  <c r="FZ63" i="3"/>
  <c r="GA63" i="3"/>
  <c r="FQ58" i="3"/>
  <c r="FR58" i="3"/>
  <c r="FS58" i="3"/>
  <c r="FT58" i="3"/>
  <c r="FU58" i="3"/>
  <c r="FV58" i="3"/>
  <c r="FW58" i="3"/>
  <c r="FX58" i="3"/>
  <c r="FY58" i="3"/>
  <c r="FZ58" i="3"/>
  <c r="GA58" i="3"/>
  <c r="FP58" i="3"/>
  <c r="FT55" i="3"/>
  <c r="FS55" i="3"/>
  <c r="FR55" i="3"/>
  <c r="FQ55" i="3"/>
  <c r="FP55" i="3"/>
  <c r="GA49" i="3"/>
  <c r="FZ49" i="3"/>
  <c r="FY49" i="3"/>
  <c r="FX49" i="3"/>
  <c r="FW49" i="3"/>
  <c r="FV49" i="3"/>
  <c r="FU49" i="3"/>
  <c r="FT49" i="3"/>
  <c r="FS49" i="3"/>
  <c r="FR49" i="3"/>
  <c r="FQ49" i="3"/>
  <c r="FP49" i="3"/>
  <c r="GA43" i="3"/>
  <c r="FZ43" i="3"/>
  <c r="FY43" i="3"/>
  <c r="FX43" i="3"/>
  <c r="FW43" i="3"/>
  <c r="FV43" i="3"/>
  <c r="FU43" i="3"/>
  <c r="FT43" i="3"/>
  <c r="FS43" i="3"/>
  <c r="FR43" i="3"/>
  <c r="FQ43" i="3"/>
  <c r="FP43" i="3"/>
  <c r="GA37" i="3"/>
  <c r="FZ37" i="3"/>
  <c r="FY37" i="3"/>
  <c r="FX37" i="3"/>
  <c r="FW37" i="3"/>
  <c r="FV37" i="3"/>
  <c r="FU37" i="3"/>
  <c r="FT37" i="3"/>
  <c r="FS37" i="3"/>
  <c r="FR37" i="3"/>
  <c r="FQ37" i="3"/>
  <c r="FP37" i="3"/>
  <c r="GA31" i="3"/>
  <c r="FZ31" i="3"/>
  <c r="FY31" i="3"/>
  <c r="FX31" i="3"/>
  <c r="FW31" i="3"/>
  <c r="FV31" i="3"/>
  <c r="FU31" i="3"/>
  <c r="FT31" i="3"/>
  <c r="FS31" i="3"/>
  <c r="FR31" i="3"/>
  <c r="FQ31" i="3"/>
  <c r="FP31" i="3"/>
  <c r="GA25" i="3"/>
  <c r="FZ25" i="3"/>
  <c r="FY25" i="3"/>
  <c r="FX25" i="3"/>
  <c r="FW25" i="3"/>
  <c r="FV25" i="3"/>
  <c r="FU25" i="3"/>
  <c r="FT25" i="3"/>
  <c r="FS25" i="3"/>
  <c r="FR25" i="3"/>
  <c r="FQ25" i="3"/>
  <c r="FP25" i="3"/>
  <c r="GA19" i="3"/>
  <c r="FZ19" i="3"/>
  <c r="FY19" i="3"/>
  <c r="FX19" i="3"/>
  <c r="FW19" i="3"/>
  <c r="FV19" i="3"/>
  <c r="FU19" i="3"/>
  <c r="FT19" i="3"/>
  <c r="FS19" i="3"/>
  <c r="FR19" i="3"/>
  <c r="FQ19" i="3"/>
  <c r="FP19" i="3"/>
  <c r="GA13" i="3"/>
  <c r="FZ13" i="3"/>
  <c r="FY13" i="3"/>
  <c r="FX13" i="3"/>
  <c r="FW13" i="3"/>
  <c r="FV13" i="3"/>
  <c r="FU13" i="3"/>
  <c r="FT13" i="3"/>
  <c r="FS13" i="3"/>
  <c r="FR13" i="3"/>
  <c r="FQ13" i="3"/>
  <c r="FP13" i="3"/>
  <c r="FC55" i="4" l="1"/>
  <c r="FD55" i="4"/>
  <c r="FE55" i="4"/>
  <c r="FF55" i="4"/>
  <c r="FB55" i="4"/>
  <c r="FC49" i="4"/>
  <c r="FD49" i="4"/>
  <c r="FE49" i="4"/>
  <c r="FE61" i="4" s="1"/>
  <c r="FF49" i="4"/>
  <c r="FG49" i="4"/>
  <c r="FH49" i="4"/>
  <c r="FI49" i="4"/>
  <c r="FJ49" i="4"/>
  <c r="FK49" i="4"/>
  <c r="FL49" i="4"/>
  <c r="FM49" i="4"/>
  <c r="FB49" i="4"/>
  <c r="FC43" i="4"/>
  <c r="FD43" i="4"/>
  <c r="FE43" i="4"/>
  <c r="FF43" i="4"/>
  <c r="FG43" i="4"/>
  <c r="FH43" i="4"/>
  <c r="FI43" i="4"/>
  <c r="FJ43" i="4"/>
  <c r="FK43" i="4"/>
  <c r="FL43" i="4"/>
  <c r="FM43" i="4"/>
  <c r="FB43" i="4"/>
  <c r="FC37" i="4"/>
  <c r="FD37" i="4"/>
  <c r="FE37" i="4"/>
  <c r="FF37" i="4"/>
  <c r="FG37" i="4"/>
  <c r="FH37" i="4"/>
  <c r="FI37" i="4"/>
  <c r="FJ37" i="4"/>
  <c r="FK37" i="4"/>
  <c r="FL37" i="4"/>
  <c r="FM37" i="4"/>
  <c r="FB37" i="4"/>
  <c r="FC31" i="4"/>
  <c r="FD31" i="4"/>
  <c r="FE31" i="4"/>
  <c r="FF31" i="4"/>
  <c r="FG31" i="4"/>
  <c r="FH31" i="4"/>
  <c r="FI31" i="4"/>
  <c r="FJ31" i="4"/>
  <c r="FK31" i="4"/>
  <c r="FL31" i="4"/>
  <c r="FM31" i="4"/>
  <c r="FM61" i="4" s="1"/>
  <c r="FB31" i="4"/>
  <c r="FC25" i="4"/>
  <c r="FD25" i="4"/>
  <c r="FE25" i="4"/>
  <c r="FF25" i="4"/>
  <c r="FG25" i="4"/>
  <c r="FH25" i="4"/>
  <c r="FI25" i="4"/>
  <c r="FI61" i="4" s="1"/>
  <c r="FJ25" i="4"/>
  <c r="FK25" i="4"/>
  <c r="FL25" i="4"/>
  <c r="FM25" i="4"/>
  <c r="FB25" i="4"/>
  <c r="FC19" i="4"/>
  <c r="FD19" i="4"/>
  <c r="FE19" i="4"/>
  <c r="FF19" i="4"/>
  <c r="FG19" i="4"/>
  <c r="FH19" i="4"/>
  <c r="FI19" i="4"/>
  <c r="FJ19" i="4"/>
  <c r="FK19" i="4"/>
  <c r="FL19" i="4"/>
  <c r="FM19" i="4"/>
  <c r="FB19" i="4"/>
  <c r="FC13" i="4"/>
  <c r="FD13" i="4"/>
  <c r="FD61" i="4" s="1"/>
  <c r="FE13" i="4"/>
  <c r="FF13" i="4"/>
  <c r="FG13" i="4"/>
  <c r="FH13" i="4"/>
  <c r="FH61" i="4" s="1"/>
  <c r="FI13" i="4"/>
  <c r="FJ13" i="4"/>
  <c r="FK13" i="4"/>
  <c r="FL13" i="4"/>
  <c r="FL61" i="4" s="1"/>
  <c r="FM13" i="4"/>
  <c r="FB13" i="4"/>
  <c r="FB59" i="4"/>
  <c r="FC59" i="4"/>
  <c r="FD59" i="4"/>
  <c r="FE59" i="4"/>
  <c r="FF59" i="4"/>
  <c r="FG59" i="4"/>
  <c r="FH59" i="4"/>
  <c r="FI59" i="4"/>
  <c r="FJ59" i="4"/>
  <c r="FK59" i="4"/>
  <c r="FL59" i="4"/>
  <c r="FM59" i="4"/>
  <c r="FB60" i="4"/>
  <c r="FC60" i="4"/>
  <c r="FD60" i="4"/>
  <c r="FE60" i="4"/>
  <c r="FF60" i="4"/>
  <c r="FG60" i="4"/>
  <c r="FH60" i="4"/>
  <c r="FI60" i="4"/>
  <c r="FJ60" i="4"/>
  <c r="FK60" i="4"/>
  <c r="FL60" i="4"/>
  <c r="FM60" i="4"/>
  <c r="FC61" i="4"/>
  <c r="FG61" i="4"/>
  <c r="FK61" i="4"/>
  <c r="FB62" i="4"/>
  <c r="FC62" i="4"/>
  <c r="FD62" i="4"/>
  <c r="FE62" i="4"/>
  <c r="FF62" i="4"/>
  <c r="FG62" i="4"/>
  <c r="FH62" i="4"/>
  <c r="FI62" i="4"/>
  <c r="FJ62" i="4"/>
  <c r="FK62" i="4"/>
  <c r="FL62" i="4"/>
  <c r="FM62" i="4"/>
  <c r="FB63" i="4"/>
  <c r="FC63" i="4"/>
  <c r="FD63" i="4"/>
  <c r="FE63" i="4"/>
  <c r="FF63" i="4"/>
  <c r="FG63" i="4"/>
  <c r="FH63" i="4"/>
  <c r="FI63" i="4"/>
  <c r="FJ63" i="4"/>
  <c r="FK63" i="4"/>
  <c r="FL63" i="4"/>
  <c r="FM63" i="4"/>
  <c r="FC58" i="4"/>
  <c r="FD58" i="4"/>
  <c r="FE58" i="4"/>
  <c r="FF58" i="4"/>
  <c r="FG58" i="4"/>
  <c r="FH58" i="4"/>
  <c r="FI58" i="4"/>
  <c r="FJ58" i="4"/>
  <c r="FK58" i="4"/>
  <c r="FL58" i="4"/>
  <c r="FM58" i="4"/>
  <c r="FB58" i="4"/>
  <c r="FN10" i="4"/>
  <c r="FB58" i="3"/>
  <c r="FC55" i="3"/>
  <c r="FD55" i="3"/>
  <c r="FE55" i="3"/>
  <c r="FF55" i="3"/>
  <c r="FB55" i="3"/>
  <c r="FC49" i="3"/>
  <c r="FD49" i="3"/>
  <c r="FE49" i="3"/>
  <c r="FF49" i="3"/>
  <c r="FG49" i="3"/>
  <c r="FH49" i="3"/>
  <c r="FI49" i="3"/>
  <c r="FJ49" i="3"/>
  <c r="FK49" i="3"/>
  <c r="FL49" i="3"/>
  <c r="FM49" i="3"/>
  <c r="FB49" i="3"/>
  <c r="FC43" i="3"/>
  <c r="FD43" i="3"/>
  <c r="FE43" i="3"/>
  <c r="FF43" i="3"/>
  <c r="FG43" i="3"/>
  <c r="FH43" i="3"/>
  <c r="FI43" i="3"/>
  <c r="FJ43" i="3"/>
  <c r="FK43" i="3"/>
  <c r="FL43" i="3"/>
  <c r="FM43" i="3"/>
  <c r="FB43" i="3"/>
  <c r="FC37" i="3"/>
  <c r="FD37" i="3"/>
  <c r="FE37" i="3"/>
  <c r="FF37" i="3"/>
  <c r="FG37" i="3"/>
  <c r="FH37" i="3"/>
  <c r="FI37" i="3"/>
  <c r="FJ37" i="3"/>
  <c r="FK37" i="3"/>
  <c r="FL37" i="3"/>
  <c r="FM37" i="3"/>
  <c r="FB37" i="3"/>
  <c r="FC31" i="3"/>
  <c r="FD31" i="3"/>
  <c r="FE31" i="3"/>
  <c r="FF31" i="3"/>
  <c r="FG31" i="3"/>
  <c r="FH31" i="3"/>
  <c r="FI31" i="3"/>
  <c r="FJ31" i="3"/>
  <c r="FK31" i="3"/>
  <c r="FL31" i="3"/>
  <c r="FL61" i="3" s="1"/>
  <c r="FM31" i="3"/>
  <c r="FB31" i="3"/>
  <c r="FB61" i="3" s="1"/>
  <c r="FC25" i="3"/>
  <c r="FD25" i="3"/>
  <c r="FE25" i="3"/>
  <c r="FF25" i="3"/>
  <c r="FG25" i="3"/>
  <c r="FH25" i="3"/>
  <c r="FI25" i="3"/>
  <c r="FI61" i="3" s="1"/>
  <c r="FJ25" i="3"/>
  <c r="FK25" i="3"/>
  <c r="FK61" i="3" s="1"/>
  <c r="FL25" i="3"/>
  <c r="FM25" i="3"/>
  <c r="FB25" i="3"/>
  <c r="FC19" i="3"/>
  <c r="FC61" i="3" s="1"/>
  <c r="FD19" i="3"/>
  <c r="FE19" i="3"/>
  <c r="FF19" i="3"/>
  <c r="FG19" i="3"/>
  <c r="FG61" i="3" s="1"/>
  <c r="FH19" i="3"/>
  <c r="FH61" i="3" s="1"/>
  <c r="FI19" i="3"/>
  <c r="FJ19" i="3"/>
  <c r="FK19" i="3"/>
  <c r="FL19" i="3"/>
  <c r="FM19" i="3"/>
  <c r="FB19" i="3"/>
  <c r="FC13" i="3"/>
  <c r="FD13" i="3"/>
  <c r="FE13" i="3"/>
  <c r="FN13" i="3" s="1"/>
  <c r="FF13" i="3"/>
  <c r="FF61" i="3" s="1"/>
  <c r="FG13" i="3"/>
  <c r="FH13" i="3"/>
  <c r="FI13" i="3"/>
  <c r="FJ13" i="3"/>
  <c r="FK13" i="3"/>
  <c r="FL13" i="3"/>
  <c r="FM13" i="3"/>
  <c r="FM61" i="3" s="1"/>
  <c r="FB13" i="3"/>
  <c r="FF58" i="3"/>
  <c r="FK63" i="3"/>
  <c r="FJ63" i="3"/>
  <c r="FG63" i="3"/>
  <c r="FF63" i="3"/>
  <c r="FC63" i="3"/>
  <c r="FB63" i="3"/>
  <c r="FK62" i="3"/>
  <c r="FJ62" i="3"/>
  <c r="FG62" i="3"/>
  <c r="FF62" i="3"/>
  <c r="FC62" i="3"/>
  <c r="FB62" i="3"/>
  <c r="FK60" i="3"/>
  <c r="FJ60" i="3"/>
  <c r="FG60" i="3"/>
  <c r="FF60" i="3"/>
  <c r="FC60" i="3"/>
  <c r="FB60" i="3"/>
  <c r="FK59" i="3"/>
  <c r="FJ59" i="3"/>
  <c r="FG59" i="3"/>
  <c r="FF59" i="3"/>
  <c r="FC59" i="3"/>
  <c r="FB59" i="3"/>
  <c r="FK58" i="3"/>
  <c r="FG58" i="3"/>
  <c r="FC58" i="3"/>
  <c r="FN10" i="3"/>
  <c r="FD59" i="3"/>
  <c r="FE59" i="3"/>
  <c r="FH59" i="3"/>
  <c r="FI59" i="3"/>
  <c r="FL59" i="3"/>
  <c r="FM59" i="3"/>
  <c r="FD60" i="3"/>
  <c r="FE60" i="3"/>
  <c r="FH60" i="3"/>
  <c r="FI60" i="3"/>
  <c r="FL60" i="3"/>
  <c r="FM60" i="3"/>
  <c r="FD61" i="3"/>
  <c r="FD62" i="3"/>
  <c r="FE62" i="3"/>
  <c r="FH62" i="3"/>
  <c r="FI62" i="3"/>
  <c r="FL62" i="3"/>
  <c r="FM62" i="3"/>
  <c r="FD63" i="3"/>
  <c r="FE63" i="3"/>
  <c r="FH63" i="3"/>
  <c r="FI63" i="3"/>
  <c r="FL63" i="3"/>
  <c r="FM63" i="3"/>
  <c r="FD58" i="3"/>
  <c r="FE58" i="3"/>
  <c r="FH58" i="3"/>
  <c r="FI58" i="3"/>
  <c r="FJ58" i="3"/>
  <c r="FL58" i="3"/>
  <c r="FM58" i="3"/>
  <c r="FB61" i="4" l="1"/>
  <c r="FJ61" i="4"/>
  <c r="FF61" i="4"/>
  <c r="FJ61" i="3"/>
  <c r="FE61" i="3"/>
  <c r="EZ49" i="3" l="1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41" i="4"/>
  <c r="EZ42" i="4"/>
  <c r="EZ43" i="4"/>
  <c r="EZ44" i="4"/>
  <c r="EZ45" i="4"/>
  <c r="EZ46" i="4"/>
  <c r="EZ47" i="4"/>
  <c r="EZ48" i="4"/>
  <c r="EZ49" i="4"/>
  <c r="EZ50" i="4"/>
  <c r="EZ51" i="4"/>
  <c r="EZ52" i="4"/>
  <c r="EZ53" i="4"/>
  <c r="EZ54" i="4"/>
  <c r="EZ55" i="4"/>
  <c r="EZ56" i="4"/>
  <c r="EZ57" i="4"/>
  <c r="EZ58" i="4"/>
  <c r="EN59" i="4"/>
  <c r="EO59" i="4"/>
  <c r="EP59" i="4"/>
  <c r="EQ59" i="4"/>
  <c r="ER59" i="4"/>
  <c r="ES59" i="4"/>
  <c r="ET59" i="4"/>
  <c r="EU59" i="4"/>
  <c r="EV59" i="4"/>
  <c r="EW59" i="4"/>
  <c r="EX59" i="4"/>
  <c r="EY59" i="4"/>
  <c r="EN60" i="4"/>
  <c r="EO60" i="4"/>
  <c r="EP60" i="4"/>
  <c r="EQ60" i="4"/>
  <c r="ER60" i="4"/>
  <c r="ES60" i="4"/>
  <c r="ET60" i="4"/>
  <c r="EU60" i="4"/>
  <c r="EV60" i="4"/>
  <c r="EW60" i="4"/>
  <c r="EX60" i="4"/>
  <c r="EY60" i="4"/>
  <c r="EN61" i="4"/>
  <c r="EO61" i="4"/>
  <c r="EP61" i="4"/>
  <c r="EQ61" i="4"/>
  <c r="ER61" i="4"/>
  <c r="ES61" i="4"/>
  <c r="ET61" i="4"/>
  <c r="EU61" i="4"/>
  <c r="EV61" i="4"/>
  <c r="EW61" i="4"/>
  <c r="EX61" i="4"/>
  <c r="EY61" i="4"/>
  <c r="EN62" i="4"/>
  <c r="EO62" i="4"/>
  <c r="EP62" i="4"/>
  <c r="EQ62" i="4"/>
  <c r="ER62" i="4"/>
  <c r="ES62" i="4"/>
  <c r="ET62" i="4"/>
  <c r="EU62" i="4"/>
  <c r="EV62" i="4"/>
  <c r="EW62" i="4"/>
  <c r="EX62" i="4"/>
  <c r="EY62" i="4"/>
  <c r="EN63" i="4"/>
  <c r="EO63" i="4"/>
  <c r="EP63" i="4"/>
  <c r="EQ63" i="4"/>
  <c r="ER63" i="4"/>
  <c r="ES63" i="4"/>
  <c r="ET63" i="4"/>
  <c r="EU63" i="4"/>
  <c r="EV63" i="4"/>
  <c r="EW63" i="4"/>
  <c r="EX63" i="4"/>
  <c r="EY63" i="4"/>
  <c r="EO58" i="4"/>
  <c r="EP58" i="4"/>
  <c r="EQ58" i="4"/>
  <c r="ER58" i="4"/>
  <c r="ES58" i="4"/>
  <c r="ET58" i="4"/>
  <c r="EU58" i="4"/>
  <c r="EV58" i="4"/>
  <c r="EW58" i="4"/>
  <c r="EX58" i="4"/>
  <c r="EY58" i="4"/>
  <c r="EN58" i="4"/>
  <c r="EN58" i="3"/>
  <c r="ER55" i="4"/>
  <c r="EQ55" i="4"/>
  <c r="EP55" i="4"/>
  <c r="EO55" i="4"/>
  <c r="EN55" i="4"/>
  <c r="EY49" i="4"/>
  <c r="EX49" i="4"/>
  <c r="EW49" i="4"/>
  <c r="EV49" i="4"/>
  <c r="EU49" i="4"/>
  <c r="ET49" i="4"/>
  <c r="ES49" i="4"/>
  <c r="ER49" i="4"/>
  <c r="EQ49" i="4"/>
  <c r="EP49" i="4"/>
  <c r="EO49" i="4"/>
  <c r="EN49" i="4"/>
  <c r="EY43" i="4"/>
  <c r="EX43" i="4"/>
  <c r="EW43" i="4"/>
  <c r="EV43" i="4"/>
  <c r="EU43" i="4"/>
  <c r="ET43" i="4"/>
  <c r="ES43" i="4"/>
  <c r="ER43" i="4"/>
  <c r="EQ43" i="4"/>
  <c r="EP43" i="4"/>
  <c r="EO43" i="4"/>
  <c r="EN43" i="4"/>
  <c r="EY37" i="4"/>
  <c r="EX37" i="4"/>
  <c r="EW37" i="4"/>
  <c r="EV37" i="4"/>
  <c r="EU37" i="4"/>
  <c r="ET37" i="4"/>
  <c r="ES37" i="4"/>
  <c r="ER37" i="4"/>
  <c r="EQ37" i="4"/>
  <c r="EP37" i="4"/>
  <c r="EO37" i="4"/>
  <c r="EN37" i="4"/>
  <c r="EY31" i="4"/>
  <c r="EX31" i="4"/>
  <c r="EW31" i="4"/>
  <c r="EV31" i="4"/>
  <c r="EU31" i="4"/>
  <c r="ET31" i="4"/>
  <c r="ES31" i="4"/>
  <c r="ER31" i="4"/>
  <c r="EQ31" i="4"/>
  <c r="EP31" i="4"/>
  <c r="EO31" i="4"/>
  <c r="EN31" i="4"/>
  <c r="EY25" i="4"/>
  <c r="EX25" i="4"/>
  <c r="EW25" i="4"/>
  <c r="EV25" i="4"/>
  <c r="EU25" i="4"/>
  <c r="ET25" i="4"/>
  <c r="ES25" i="4"/>
  <c r="ER25" i="4"/>
  <c r="EQ25" i="4"/>
  <c r="EP25" i="4"/>
  <c r="EO25" i="4"/>
  <c r="EN25" i="4"/>
  <c r="EY19" i="4"/>
  <c r="EX19" i="4"/>
  <c r="EW19" i="4"/>
  <c r="EV19" i="4"/>
  <c r="EU19" i="4"/>
  <c r="ET19" i="4"/>
  <c r="ES19" i="4"/>
  <c r="ER19" i="4"/>
  <c r="EQ19" i="4"/>
  <c r="EP19" i="4"/>
  <c r="EO19" i="4"/>
  <c r="EN19" i="4"/>
  <c r="EY13" i="4"/>
  <c r="EX13" i="4"/>
  <c r="EW13" i="4"/>
  <c r="EV13" i="4"/>
  <c r="EU13" i="4"/>
  <c r="ET13" i="4"/>
  <c r="ES13" i="4"/>
  <c r="ER13" i="4"/>
  <c r="EQ13" i="4"/>
  <c r="EP13" i="4"/>
  <c r="EO13" i="4"/>
  <c r="EN13" i="4"/>
  <c r="EN59" i="3"/>
  <c r="EO59" i="3"/>
  <c r="EP59" i="3"/>
  <c r="EQ59" i="3"/>
  <c r="ER59" i="3"/>
  <c r="ES59" i="3"/>
  <c r="ET59" i="3"/>
  <c r="EU59" i="3"/>
  <c r="EV59" i="3"/>
  <c r="EW59" i="3"/>
  <c r="EX59" i="3"/>
  <c r="EY59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O58" i="3"/>
  <c r="EP58" i="3"/>
  <c r="EQ58" i="3"/>
  <c r="ER58" i="3"/>
  <c r="ES58" i="3"/>
  <c r="ET58" i="3"/>
  <c r="EU58" i="3"/>
  <c r="EV58" i="3"/>
  <c r="EW58" i="3"/>
  <c r="EX58" i="3"/>
  <c r="EY58" i="3"/>
  <c r="ER55" i="3"/>
  <c r="EQ55" i="3"/>
  <c r="EP55" i="3"/>
  <c r="EO55" i="3"/>
  <c r="EN55" i="3"/>
  <c r="EY49" i="3"/>
  <c r="EX49" i="3"/>
  <c r="EW49" i="3"/>
  <c r="EV49" i="3"/>
  <c r="EU49" i="3"/>
  <c r="ET49" i="3"/>
  <c r="ES49" i="3"/>
  <c r="ER49" i="3"/>
  <c r="EQ49" i="3"/>
  <c r="EP49" i="3"/>
  <c r="EO49" i="3"/>
  <c r="EN49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Y13" i="3"/>
  <c r="EX13" i="3"/>
  <c r="EW13" i="3"/>
  <c r="EV13" i="3"/>
  <c r="EU13" i="3"/>
  <c r="ET13" i="3"/>
  <c r="ES13" i="3"/>
  <c r="ER13" i="3"/>
  <c r="EQ13" i="3"/>
  <c r="EP13" i="3"/>
  <c r="EO13" i="3"/>
  <c r="EN13" i="3"/>
  <c r="MO59" i="4" l="1"/>
  <c r="MP59" i="4"/>
  <c r="MQ59" i="4"/>
  <c r="MR59" i="4"/>
  <c r="MS59" i="4"/>
  <c r="MT59" i="4"/>
  <c r="MU59" i="4"/>
  <c r="MV59" i="4"/>
  <c r="MW59" i="4"/>
  <c r="MX59" i="4"/>
  <c r="MY59" i="4"/>
  <c r="MZ59" i="4"/>
  <c r="MO60" i="4"/>
  <c r="MP60" i="4"/>
  <c r="MQ60" i="4"/>
  <c r="MR60" i="4"/>
  <c r="MS60" i="4"/>
  <c r="MT60" i="4"/>
  <c r="MU60" i="4"/>
  <c r="MV60" i="4"/>
  <c r="MW60" i="4"/>
  <c r="MX60" i="4"/>
  <c r="MY60" i="4"/>
  <c r="MZ60" i="4"/>
  <c r="MO61" i="4"/>
  <c r="MP61" i="4"/>
  <c r="MQ61" i="4"/>
  <c r="MR61" i="4"/>
  <c r="MS61" i="4"/>
  <c r="MT61" i="4"/>
  <c r="MU61" i="4"/>
  <c r="MV61" i="4"/>
  <c r="MW61" i="4"/>
  <c r="MX61" i="4"/>
  <c r="MY61" i="4"/>
  <c r="MZ61" i="4"/>
  <c r="MO62" i="4"/>
  <c r="MP62" i="4"/>
  <c r="MQ62" i="4"/>
  <c r="MR62" i="4"/>
  <c r="MS62" i="4"/>
  <c r="MT62" i="4"/>
  <c r="MU62" i="4"/>
  <c r="MV62" i="4"/>
  <c r="MW62" i="4"/>
  <c r="MX62" i="4"/>
  <c r="MY62" i="4"/>
  <c r="MZ62" i="4"/>
  <c r="MO63" i="4"/>
  <c r="MP63" i="4"/>
  <c r="MQ63" i="4"/>
  <c r="MR63" i="4"/>
  <c r="MS63" i="4"/>
  <c r="MT63" i="4"/>
  <c r="MU63" i="4"/>
  <c r="MV63" i="4"/>
  <c r="MW63" i="4"/>
  <c r="MX63" i="4"/>
  <c r="MY63" i="4"/>
  <c r="MZ63" i="4"/>
  <c r="MP58" i="4"/>
  <c r="MQ58" i="4"/>
  <c r="MR58" i="4"/>
  <c r="MS58" i="4"/>
  <c r="MT58" i="4"/>
  <c r="MU58" i="4"/>
  <c r="MV58" i="4"/>
  <c r="MW58" i="4"/>
  <c r="MX58" i="4"/>
  <c r="MY58" i="4"/>
  <c r="MZ58" i="4"/>
  <c r="MO58" i="4"/>
  <c r="MS55" i="4"/>
  <c r="MR55" i="4"/>
  <c r="MQ55" i="4"/>
  <c r="MP55" i="4"/>
  <c r="MO55" i="4"/>
  <c r="MZ49" i="4"/>
  <c r="MY49" i="4"/>
  <c r="MX49" i="4"/>
  <c r="MW49" i="4"/>
  <c r="MV49" i="4"/>
  <c r="MU49" i="4"/>
  <c r="MT49" i="4"/>
  <c r="MS49" i="4"/>
  <c r="MR49" i="4"/>
  <c r="MQ49" i="4"/>
  <c r="MP49" i="4"/>
  <c r="MO49" i="4"/>
  <c r="MZ43" i="4"/>
  <c r="MY43" i="4"/>
  <c r="MX43" i="4"/>
  <c r="MW43" i="4"/>
  <c r="MV43" i="4"/>
  <c r="MU43" i="4"/>
  <c r="MT43" i="4"/>
  <c r="MS43" i="4"/>
  <c r="MR43" i="4"/>
  <c r="MQ43" i="4"/>
  <c r="MP43" i="4"/>
  <c r="MO43" i="4"/>
  <c r="MZ37" i="4"/>
  <c r="MY37" i="4"/>
  <c r="MX37" i="4"/>
  <c r="MW37" i="4"/>
  <c r="MV37" i="4"/>
  <c r="MU37" i="4"/>
  <c r="MT37" i="4"/>
  <c r="MS37" i="4"/>
  <c r="MR37" i="4"/>
  <c r="MQ37" i="4"/>
  <c r="MP37" i="4"/>
  <c r="MO37" i="4"/>
  <c r="MZ31" i="4"/>
  <c r="MY31" i="4"/>
  <c r="MX31" i="4"/>
  <c r="MW31" i="4"/>
  <c r="MV31" i="4"/>
  <c r="MU31" i="4"/>
  <c r="MT31" i="4"/>
  <c r="MS31" i="4"/>
  <c r="MR31" i="4"/>
  <c r="MQ31" i="4"/>
  <c r="MP31" i="4"/>
  <c r="MO31" i="4"/>
  <c r="MZ25" i="4"/>
  <c r="MY25" i="4"/>
  <c r="MX25" i="4"/>
  <c r="MW25" i="4"/>
  <c r="MV25" i="4"/>
  <c r="MU25" i="4"/>
  <c r="MT25" i="4"/>
  <c r="MS25" i="4"/>
  <c r="MR25" i="4"/>
  <c r="MQ25" i="4"/>
  <c r="MP25" i="4"/>
  <c r="MO25" i="4"/>
  <c r="MZ19" i="4"/>
  <c r="MY19" i="4"/>
  <c r="MX19" i="4"/>
  <c r="MW19" i="4"/>
  <c r="MV19" i="4"/>
  <c r="MU19" i="4"/>
  <c r="MT19" i="4"/>
  <c r="MS19" i="4"/>
  <c r="MR19" i="4"/>
  <c r="MQ19" i="4"/>
  <c r="MP19" i="4"/>
  <c r="MO19" i="4"/>
  <c r="MZ13" i="4"/>
  <c r="MY13" i="4"/>
  <c r="MX13" i="4"/>
  <c r="MW13" i="4"/>
  <c r="MV13" i="4"/>
  <c r="MU13" i="4"/>
  <c r="MT13" i="4"/>
  <c r="MS13" i="4"/>
  <c r="MR13" i="4"/>
  <c r="MQ13" i="4"/>
  <c r="MP13" i="4"/>
  <c r="MO13" i="4"/>
  <c r="MO59" i="3"/>
  <c r="MP59" i="3"/>
  <c r="MQ59" i="3"/>
  <c r="MR59" i="3"/>
  <c r="MS59" i="3"/>
  <c r="MT59" i="3"/>
  <c r="MU59" i="3"/>
  <c r="MV59" i="3"/>
  <c r="MW59" i="3"/>
  <c r="MX59" i="3"/>
  <c r="MY59" i="3"/>
  <c r="MZ59" i="3"/>
  <c r="MO60" i="3"/>
  <c r="MP60" i="3"/>
  <c r="MQ60" i="3"/>
  <c r="MR60" i="3"/>
  <c r="MS60" i="3"/>
  <c r="MT60" i="3"/>
  <c r="MU60" i="3"/>
  <c r="MV60" i="3"/>
  <c r="MW60" i="3"/>
  <c r="MX60" i="3"/>
  <c r="MY60" i="3"/>
  <c r="MZ60" i="3"/>
  <c r="MO61" i="3"/>
  <c r="MP61" i="3"/>
  <c r="MQ61" i="3"/>
  <c r="MR61" i="3"/>
  <c r="MS61" i="3"/>
  <c r="MT61" i="3"/>
  <c r="MU61" i="3"/>
  <c r="MV61" i="3"/>
  <c r="MW61" i="3"/>
  <c r="MX61" i="3"/>
  <c r="MY61" i="3"/>
  <c r="MZ61" i="3"/>
  <c r="MO62" i="3"/>
  <c r="MP62" i="3"/>
  <c r="MQ62" i="3"/>
  <c r="MR62" i="3"/>
  <c r="MS62" i="3"/>
  <c r="MT62" i="3"/>
  <c r="MU62" i="3"/>
  <c r="MV62" i="3"/>
  <c r="MW62" i="3"/>
  <c r="MX62" i="3"/>
  <c r="MY62" i="3"/>
  <c r="MZ62" i="3"/>
  <c r="MO63" i="3"/>
  <c r="MP63" i="3"/>
  <c r="MQ63" i="3"/>
  <c r="MR63" i="3"/>
  <c r="MS63" i="3"/>
  <c r="MT63" i="3"/>
  <c r="MU63" i="3"/>
  <c r="MV63" i="3"/>
  <c r="MW63" i="3"/>
  <c r="MX63" i="3"/>
  <c r="MY63" i="3"/>
  <c r="MZ63" i="3"/>
  <c r="MP58" i="3"/>
  <c r="MQ58" i="3"/>
  <c r="MR58" i="3"/>
  <c r="MS58" i="3"/>
  <c r="MT58" i="3"/>
  <c r="MU58" i="3"/>
  <c r="MV58" i="3"/>
  <c r="MW58" i="3"/>
  <c r="MX58" i="3"/>
  <c r="MY58" i="3"/>
  <c r="MZ58" i="3"/>
  <c r="MO58" i="3"/>
  <c r="NA10" i="3"/>
  <c r="NA11" i="3"/>
  <c r="NA12" i="3"/>
  <c r="NA13" i="3"/>
  <c r="NA14" i="3"/>
  <c r="NA15" i="3"/>
  <c r="NA16" i="3"/>
  <c r="NA17" i="3"/>
  <c r="NA18" i="3"/>
  <c r="NA19" i="3"/>
  <c r="NA20" i="3"/>
  <c r="NA21" i="3"/>
  <c r="NA22" i="3"/>
  <c r="NA23" i="3"/>
  <c r="NA24" i="3"/>
  <c r="NA25" i="3"/>
  <c r="NA26" i="3"/>
  <c r="NA27" i="3"/>
  <c r="NA28" i="3"/>
  <c r="NA29" i="3"/>
  <c r="NA30" i="3"/>
  <c r="NA31" i="3"/>
  <c r="NA32" i="3"/>
  <c r="NA33" i="3"/>
  <c r="NA34" i="3"/>
  <c r="NA35" i="3"/>
  <c r="NA36" i="3"/>
  <c r="NA37" i="3"/>
  <c r="NA38" i="3"/>
  <c r="NA39" i="3"/>
  <c r="NA40" i="3"/>
  <c r="NA41" i="3"/>
  <c r="NA42" i="3"/>
  <c r="NA43" i="3"/>
  <c r="NA44" i="3"/>
  <c r="NA45" i="3"/>
  <c r="NA46" i="3"/>
  <c r="NA47" i="3"/>
  <c r="NA48" i="3"/>
  <c r="NA49" i="3"/>
  <c r="NA50" i="3"/>
  <c r="NA51" i="3"/>
  <c r="NA52" i="3"/>
  <c r="NA53" i="3"/>
  <c r="NA54" i="3"/>
  <c r="NA55" i="3"/>
  <c r="NA56" i="3"/>
  <c r="NA57" i="3"/>
  <c r="NA58" i="3"/>
  <c r="MS55" i="3"/>
  <c r="MR55" i="3"/>
  <c r="MQ55" i="3"/>
  <c r="MP55" i="3"/>
  <c r="MO55" i="3"/>
  <c r="MZ49" i="3"/>
  <c r="MY49" i="3"/>
  <c r="MX49" i="3"/>
  <c r="MW49" i="3"/>
  <c r="MV49" i="3"/>
  <c r="MU49" i="3"/>
  <c r="MT49" i="3"/>
  <c r="MS49" i="3"/>
  <c r="MR49" i="3"/>
  <c r="MQ49" i="3"/>
  <c r="MP49" i="3"/>
  <c r="MO49" i="3"/>
  <c r="MZ43" i="3"/>
  <c r="MY43" i="3"/>
  <c r="MX43" i="3"/>
  <c r="MW43" i="3"/>
  <c r="MV43" i="3"/>
  <c r="MU43" i="3"/>
  <c r="MT43" i="3"/>
  <c r="MS43" i="3"/>
  <c r="MR43" i="3"/>
  <c r="MQ43" i="3"/>
  <c r="MP43" i="3"/>
  <c r="MO43" i="3"/>
  <c r="MZ37" i="3"/>
  <c r="MY37" i="3"/>
  <c r="MX37" i="3"/>
  <c r="MW37" i="3"/>
  <c r="MV37" i="3"/>
  <c r="MU37" i="3"/>
  <c r="MT37" i="3"/>
  <c r="MS37" i="3"/>
  <c r="MR37" i="3"/>
  <c r="MQ37" i="3"/>
  <c r="MP37" i="3"/>
  <c r="MO37" i="3"/>
  <c r="MZ31" i="3"/>
  <c r="MY31" i="3"/>
  <c r="MX31" i="3"/>
  <c r="MW31" i="3"/>
  <c r="MV31" i="3"/>
  <c r="MU31" i="3"/>
  <c r="MT31" i="3"/>
  <c r="MS31" i="3"/>
  <c r="MR31" i="3"/>
  <c r="MQ31" i="3"/>
  <c r="MP31" i="3"/>
  <c r="MO31" i="3"/>
  <c r="MZ25" i="3"/>
  <c r="MY25" i="3"/>
  <c r="MX25" i="3"/>
  <c r="MW25" i="3"/>
  <c r="MV25" i="3"/>
  <c r="MU25" i="3"/>
  <c r="MT25" i="3"/>
  <c r="MS25" i="3"/>
  <c r="MR25" i="3"/>
  <c r="MQ25" i="3"/>
  <c r="MP25" i="3"/>
  <c r="MO25" i="3"/>
  <c r="MZ19" i="3"/>
  <c r="MY19" i="3"/>
  <c r="MX19" i="3"/>
  <c r="MW19" i="3"/>
  <c r="MV19" i="3"/>
  <c r="MU19" i="3"/>
  <c r="MT19" i="3"/>
  <c r="MS19" i="3"/>
  <c r="MR19" i="3"/>
  <c r="MQ19" i="3"/>
  <c r="MP19" i="3"/>
  <c r="MO19" i="3"/>
  <c r="MZ13" i="3"/>
  <c r="MY13" i="3"/>
  <c r="MX13" i="3"/>
  <c r="MW13" i="3"/>
  <c r="MV13" i="3"/>
  <c r="MU13" i="3"/>
  <c r="MT13" i="3"/>
  <c r="MS13" i="3"/>
  <c r="MR13" i="3"/>
  <c r="MQ13" i="3"/>
  <c r="MP13" i="3"/>
  <c r="MO13" i="3"/>
  <c r="JU10" i="4" l="1"/>
  <c r="JU11" i="4"/>
  <c r="JU12" i="4"/>
  <c r="JU13" i="4"/>
  <c r="JU14" i="4"/>
  <c r="JU15" i="4"/>
  <c r="JU16" i="4"/>
  <c r="JU17" i="4"/>
  <c r="JU18" i="4"/>
  <c r="JU19" i="4"/>
  <c r="JU20" i="4"/>
  <c r="JU21" i="4"/>
  <c r="JU22" i="4"/>
  <c r="JU23" i="4"/>
  <c r="JU24" i="4"/>
  <c r="JU25" i="4"/>
  <c r="JU26" i="4"/>
  <c r="JU27" i="4"/>
  <c r="JU28" i="4"/>
  <c r="JU29" i="4"/>
  <c r="JU30" i="4"/>
  <c r="JU31" i="4"/>
  <c r="JU32" i="4"/>
  <c r="JU33" i="4"/>
  <c r="JU34" i="4"/>
  <c r="JU35" i="4"/>
  <c r="JU36" i="4"/>
  <c r="JU37" i="4"/>
  <c r="JU38" i="4"/>
  <c r="JU39" i="4"/>
  <c r="JU40" i="4"/>
  <c r="JU41" i="4"/>
  <c r="JU42" i="4"/>
  <c r="JU43" i="4"/>
  <c r="JU44" i="4"/>
  <c r="JU45" i="4"/>
  <c r="JU46" i="4"/>
  <c r="JU47" i="4"/>
  <c r="JU48" i="4"/>
  <c r="JU49" i="4"/>
  <c r="JU50" i="4"/>
  <c r="JU51" i="4"/>
  <c r="JU52" i="4"/>
  <c r="JU53" i="4"/>
  <c r="JU54" i="4"/>
  <c r="JU55" i="4"/>
  <c r="JU56" i="4"/>
  <c r="JU57" i="4"/>
  <c r="JU58" i="4"/>
  <c r="JU59" i="4"/>
  <c r="JU60" i="4"/>
  <c r="JU61" i="4"/>
  <c r="JU62" i="4"/>
  <c r="JU63" i="4"/>
  <c r="JI59" i="4"/>
  <c r="JJ59" i="4"/>
  <c r="JK59" i="4"/>
  <c r="JL59" i="4"/>
  <c r="JM59" i="4"/>
  <c r="JN59" i="4"/>
  <c r="JO59" i="4"/>
  <c r="JP59" i="4"/>
  <c r="JQ59" i="4"/>
  <c r="JR59" i="4"/>
  <c r="JS59" i="4"/>
  <c r="JT59" i="4"/>
  <c r="JI60" i="4"/>
  <c r="JJ60" i="4"/>
  <c r="JK60" i="4"/>
  <c r="JL60" i="4"/>
  <c r="JM60" i="4"/>
  <c r="JN60" i="4"/>
  <c r="JO60" i="4"/>
  <c r="JP60" i="4"/>
  <c r="JQ60" i="4"/>
  <c r="JR60" i="4"/>
  <c r="JS60" i="4"/>
  <c r="JT60" i="4"/>
  <c r="JI61" i="4"/>
  <c r="JJ61" i="4"/>
  <c r="JK61" i="4"/>
  <c r="JL61" i="4"/>
  <c r="JM61" i="4"/>
  <c r="JN61" i="4"/>
  <c r="JO61" i="4"/>
  <c r="JP61" i="4"/>
  <c r="JQ61" i="4"/>
  <c r="JR61" i="4"/>
  <c r="JS61" i="4"/>
  <c r="JT61" i="4"/>
  <c r="JI62" i="4"/>
  <c r="JJ62" i="4"/>
  <c r="JK62" i="4"/>
  <c r="JL62" i="4"/>
  <c r="JM62" i="4"/>
  <c r="JN62" i="4"/>
  <c r="JO62" i="4"/>
  <c r="JP62" i="4"/>
  <c r="JQ62" i="4"/>
  <c r="JR62" i="4"/>
  <c r="JS62" i="4"/>
  <c r="JT62" i="4"/>
  <c r="JI63" i="4"/>
  <c r="JJ63" i="4"/>
  <c r="JK63" i="4"/>
  <c r="JL63" i="4"/>
  <c r="JM63" i="4"/>
  <c r="JN63" i="4"/>
  <c r="JO63" i="4"/>
  <c r="JP63" i="4"/>
  <c r="JQ63" i="4"/>
  <c r="JR63" i="4"/>
  <c r="JS63" i="4"/>
  <c r="JT63" i="4"/>
  <c r="JJ58" i="4"/>
  <c r="JK58" i="4"/>
  <c r="JL58" i="4"/>
  <c r="JM58" i="4"/>
  <c r="JN58" i="4"/>
  <c r="JO58" i="4"/>
  <c r="JP58" i="4"/>
  <c r="JQ58" i="4"/>
  <c r="JR58" i="4"/>
  <c r="JS58" i="4"/>
  <c r="JT58" i="4"/>
  <c r="JI58" i="4"/>
  <c r="JM55" i="4"/>
  <c r="JL55" i="4"/>
  <c r="JK55" i="4"/>
  <c r="JJ55" i="4"/>
  <c r="JI55" i="4"/>
  <c r="JT49" i="4"/>
  <c r="JS49" i="4"/>
  <c r="JR49" i="4"/>
  <c r="JQ49" i="4"/>
  <c r="JP49" i="4"/>
  <c r="JO49" i="4"/>
  <c r="JN49" i="4"/>
  <c r="JM49" i="4"/>
  <c r="JL49" i="4"/>
  <c r="JK49" i="4"/>
  <c r="JJ49" i="4"/>
  <c r="JI49" i="4"/>
  <c r="JT43" i="4"/>
  <c r="JS43" i="4"/>
  <c r="JR43" i="4"/>
  <c r="JQ43" i="4"/>
  <c r="JP43" i="4"/>
  <c r="JO43" i="4"/>
  <c r="JN43" i="4"/>
  <c r="JM43" i="4"/>
  <c r="JL43" i="4"/>
  <c r="JK43" i="4"/>
  <c r="JJ43" i="4"/>
  <c r="JI43" i="4"/>
  <c r="JT37" i="4"/>
  <c r="JS37" i="4"/>
  <c r="JR37" i="4"/>
  <c r="JQ37" i="4"/>
  <c r="JP37" i="4"/>
  <c r="JO37" i="4"/>
  <c r="JN37" i="4"/>
  <c r="JM37" i="4"/>
  <c r="JL37" i="4"/>
  <c r="JK37" i="4"/>
  <c r="JJ37" i="4"/>
  <c r="JI37" i="4"/>
  <c r="JT31" i="4"/>
  <c r="JS31" i="4"/>
  <c r="JR31" i="4"/>
  <c r="JQ31" i="4"/>
  <c r="JP31" i="4"/>
  <c r="JO31" i="4"/>
  <c r="JN31" i="4"/>
  <c r="JM31" i="4"/>
  <c r="JL31" i="4"/>
  <c r="JK31" i="4"/>
  <c r="JJ31" i="4"/>
  <c r="JI31" i="4"/>
  <c r="JT25" i="4"/>
  <c r="JS25" i="4"/>
  <c r="JR25" i="4"/>
  <c r="JQ25" i="4"/>
  <c r="JP25" i="4"/>
  <c r="JO25" i="4"/>
  <c r="JN25" i="4"/>
  <c r="JM25" i="4"/>
  <c r="JL25" i="4"/>
  <c r="JK25" i="4"/>
  <c r="JJ25" i="4"/>
  <c r="JI25" i="4"/>
  <c r="JT19" i="4"/>
  <c r="JS19" i="4"/>
  <c r="JR19" i="4"/>
  <c r="JQ19" i="4"/>
  <c r="JP19" i="4"/>
  <c r="JO19" i="4"/>
  <c r="JN19" i="4"/>
  <c r="JM19" i="4"/>
  <c r="JL19" i="4"/>
  <c r="JK19" i="4"/>
  <c r="JJ19" i="4"/>
  <c r="JI19" i="4"/>
  <c r="JT13" i="4"/>
  <c r="JS13" i="4"/>
  <c r="JR13" i="4"/>
  <c r="JQ13" i="4"/>
  <c r="JP13" i="4"/>
  <c r="JO13" i="4"/>
  <c r="JN13" i="4"/>
  <c r="JM13" i="4"/>
  <c r="JL13" i="4"/>
  <c r="JK13" i="4"/>
  <c r="JJ13" i="4"/>
  <c r="JI13" i="4"/>
  <c r="JU10" i="3"/>
  <c r="JU11" i="3"/>
  <c r="JU12" i="3"/>
  <c r="JU13" i="3"/>
  <c r="JU14" i="3"/>
  <c r="JU15" i="3"/>
  <c r="JU16" i="3"/>
  <c r="JU17" i="3"/>
  <c r="JU18" i="3"/>
  <c r="JU19" i="3"/>
  <c r="JU20" i="3"/>
  <c r="JU21" i="3"/>
  <c r="JU22" i="3"/>
  <c r="JU23" i="3"/>
  <c r="JU24" i="3"/>
  <c r="JU25" i="3"/>
  <c r="JU26" i="3"/>
  <c r="JU27" i="3"/>
  <c r="JU28" i="3"/>
  <c r="JU29" i="3"/>
  <c r="JU30" i="3"/>
  <c r="JU31" i="3"/>
  <c r="JU32" i="3"/>
  <c r="JU33" i="3"/>
  <c r="JU34" i="3"/>
  <c r="JU35" i="3"/>
  <c r="JU36" i="3"/>
  <c r="JU37" i="3"/>
  <c r="JU38" i="3"/>
  <c r="JU39" i="3"/>
  <c r="JU40" i="3"/>
  <c r="JU41" i="3"/>
  <c r="JU42" i="3"/>
  <c r="JU43" i="3"/>
  <c r="JU44" i="3"/>
  <c r="JU45" i="3"/>
  <c r="JU46" i="3"/>
  <c r="JU47" i="3"/>
  <c r="JU48" i="3"/>
  <c r="JU49" i="3"/>
  <c r="JU50" i="3"/>
  <c r="JU51" i="3"/>
  <c r="JU52" i="3"/>
  <c r="JU53" i="3"/>
  <c r="JU54" i="3"/>
  <c r="JU55" i="3"/>
  <c r="JU56" i="3"/>
  <c r="JU57" i="3"/>
  <c r="JU58" i="3"/>
  <c r="JU59" i="3"/>
  <c r="JU60" i="3"/>
  <c r="JU61" i="3"/>
  <c r="JU62" i="3"/>
  <c r="JU63" i="3"/>
  <c r="JI59" i="3"/>
  <c r="JJ59" i="3"/>
  <c r="JK59" i="3"/>
  <c r="JL59" i="3"/>
  <c r="JM59" i="3"/>
  <c r="JN59" i="3"/>
  <c r="JO59" i="3"/>
  <c r="JP59" i="3"/>
  <c r="JQ59" i="3"/>
  <c r="JR59" i="3"/>
  <c r="JS59" i="3"/>
  <c r="JT59" i="3"/>
  <c r="JI60" i="3"/>
  <c r="JJ60" i="3"/>
  <c r="JK60" i="3"/>
  <c r="JL60" i="3"/>
  <c r="JM60" i="3"/>
  <c r="JN60" i="3"/>
  <c r="JO60" i="3"/>
  <c r="JP60" i="3"/>
  <c r="JQ60" i="3"/>
  <c r="JR60" i="3"/>
  <c r="JS60" i="3"/>
  <c r="JT60" i="3"/>
  <c r="JI61" i="3"/>
  <c r="JJ61" i="3"/>
  <c r="JK61" i="3"/>
  <c r="JL61" i="3"/>
  <c r="JM61" i="3"/>
  <c r="JN61" i="3"/>
  <c r="JO61" i="3"/>
  <c r="JP61" i="3"/>
  <c r="JQ61" i="3"/>
  <c r="JR61" i="3"/>
  <c r="JS61" i="3"/>
  <c r="JT61" i="3"/>
  <c r="JI62" i="3"/>
  <c r="JJ62" i="3"/>
  <c r="JK62" i="3"/>
  <c r="JL62" i="3"/>
  <c r="JM62" i="3"/>
  <c r="JN62" i="3"/>
  <c r="JO62" i="3"/>
  <c r="JP62" i="3"/>
  <c r="JQ62" i="3"/>
  <c r="JR62" i="3"/>
  <c r="JS62" i="3"/>
  <c r="JT62" i="3"/>
  <c r="JI63" i="3"/>
  <c r="JJ63" i="3"/>
  <c r="JK63" i="3"/>
  <c r="JL63" i="3"/>
  <c r="JM63" i="3"/>
  <c r="JN63" i="3"/>
  <c r="JO63" i="3"/>
  <c r="JP63" i="3"/>
  <c r="JQ63" i="3"/>
  <c r="JR63" i="3"/>
  <c r="JS63" i="3"/>
  <c r="JT63" i="3"/>
  <c r="JJ58" i="3"/>
  <c r="JK58" i="3"/>
  <c r="JL58" i="3"/>
  <c r="JM58" i="3"/>
  <c r="JN58" i="3"/>
  <c r="JO58" i="3"/>
  <c r="JP58" i="3"/>
  <c r="JQ58" i="3"/>
  <c r="JR58" i="3"/>
  <c r="JS58" i="3"/>
  <c r="JT58" i="3"/>
  <c r="JI58" i="3"/>
  <c r="JM55" i="3"/>
  <c r="JL55" i="3"/>
  <c r="JK55" i="3"/>
  <c r="JJ55" i="3"/>
  <c r="JI55" i="3"/>
  <c r="JT49" i="3"/>
  <c r="JS49" i="3"/>
  <c r="JR49" i="3"/>
  <c r="JQ49" i="3"/>
  <c r="JP49" i="3"/>
  <c r="JO49" i="3"/>
  <c r="JN49" i="3"/>
  <c r="JM49" i="3"/>
  <c r="JL49" i="3"/>
  <c r="JK49" i="3"/>
  <c r="JJ49" i="3"/>
  <c r="JI49" i="3"/>
  <c r="JT43" i="3"/>
  <c r="JS43" i="3"/>
  <c r="JR43" i="3"/>
  <c r="JQ43" i="3"/>
  <c r="JP43" i="3"/>
  <c r="JO43" i="3"/>
  <c r="JN43" i="3"/>
  <c r="JM43" i="3"/>
  <c r="JL43" i="3"/>
  <c r="JK43" i="3"/>
  <c r="JJ43" i="3"/>
  <c r="JI43" i="3"/>
  <c r="JT37" i="3"/>
  <c r="JS37" i="3"/>
  <c r="JR37" i="3"/>
  <c r="JQ37" i="3"/>
  <c r="JP37" i="3"/>
  <c r="JO37" i="3"/>
  <c r="JN37" i="3"/>
  <c r="JM37" i="3"/>
  <c r="JL37" i="3"/>
  <c r="JK37" i="3"/>
  <c r="JJ37" i="3"/>
  <c r="JI37" i="3"/>
  <c r="JT31" i="3"/>
  <c r="JS31" i="3"/>
  <c r="JR31" i="3"/>
  <c r="JQ31" i="3"/>
  <c r="JP31" i="3"/>
  <c r="JO31" i="3"/>
  <c r="JN31" i="3"/>
  <c r="JM31" i="3"/>
  <c r="JL31" i="3"/>
  <c r="JK31" i="3"/>
  <c r="JJ31" i="3"/>
  <c r="JI31" i="3"/>
  <c r="JT25" i="3"/>
  <c r="JS25" i="3"/>
  <c r="JR25" i="3"/>
  <c r="JQ25" i="3"/>
  <c r="JP25" i="3"/>
  <c r="JO25" i="3"/>
  <c r="JN25" i="3"/>
  <c r="JM25" i="3"/>
  <c r="JL25" i="3"/>
  <c r="JK25" i="3"/>
  <c r="JJ25" i="3"/>
  <c r="JI25" i="3"/>
  <c r="JT19" i="3"/>
  <c r="JS19" i="3"/>
  <c r="JR19" i="3"/>
  <c r="JQ19" i="3"/>
  <c r="JP19" i="3"/>
  <c r="JO19" i="3"/>
  <c r="JN19" i="3"/>
  <c r="JM19" i="3"/>
  <c r="JL19" i="3"/>
  <c r="JK19" i="3"/>
  <c r="JJ19" i="3"/>
  <c r="JI19" i="3"/>
  <c r="JT13" i="3"/>
  <c r="JS13" i="3"/>
  <c r="JR13" i="3"/>
  <c r="JQ13" i="3"/>
  <c r="JP13" i="3"/>
  <c r="JO13" i="3"/>
  <c r="JN13" i="3"/>
  <c r="JM13" i="3"/>
  <c r="JL13" i="3"/>
  <c r="JK13" i="3"/>
  <c r="JJ13" i="3"/>
  <c r="JI13" i="3"/>
  <c r="JX59" i="4" l="1"/>
  <c r="JY59" i="4"/>
  <c r="JZ59" i="4"/>
  <c r="KA59" i="4"/>
  <c r="KB59" i="4"/>
  <c r="KC59" i="4"/>
  <c r="KD59" i="4"/>
  <c r="KE59" i="4"/>
  <c r="KF59" i="4"/>
  <c r="KG59" i="4"/>
  <c r="KH59" i="4"/>
  <c r="KI59" i="4"/>
  <c r="JX60" i="4"/>
  <c r="JY60" i="4"/>
  <c r="JZ60" i="4"/>
  <c r="KA60" i="4"/>
  <c r="KB60" i="4"/>
  <c r="KC60" i="4"/>
  <c r="KD60" i="4"/>
  <c r="KE60" i="4"/>
  <c r="KF60" i="4"/>
  <c r="KG60" i="4"/>
  <c r="KH60" i="4"/>
  <c r="KI60" i="4"/>
  <c r="JX61" i="4"/>
  <c r="JY61" i="4"/>
  <c r="JZ61" i="4"/>
  <c r="KA61" i="4"/>
  <c r="KB61" i="4"/>
  <c r="KC61" i="4"/>
  <c r="KD61" i="4"/>
  <c r="KE61" i="4"/>
  <c r="KF61" i="4"/>
  <c r="KG61" i="4"/>
  <c r="KH61" i="4"/>
  <c r="KI61" i="4"/>
  <c r="JX62" i="4"/>
  <c r="JY62" i="4"/>
  <c r="JZ62" i="4"/>
  <c r="KA62" i="4"/>
  <c r="KB62" i="4"/>
  <c r="KC62" i="4"/>
  <c r="KD62" i="4"/>
  <c r="KE62" i="4"/>
  <c r="KF62" i="4"/>
  <c r="KG62" i="4"/>
  <c r="KH62" i="4"/>
  <c r="KI62" i="4"/>
  <c r="JX63" i="4"/>
  <c r="JY63" i="4"/>
  <c r="JZ63" i="4"/>
  <c r="KA63" i="4"/>
  <c r="KB63" i="4"/>
  <c r="KC63" i="4"/>
  <c r="KD63" i="4"/>
  <c r="KE63" i="4"/>
  <c r="KF63" i="4"/>
  <c r="KG63" i="4"/>
  <c r="KH63" i="4"/>
  <c r="KI63" i="4"/>
  <c r="JY58" i="4"/>
  <c r="JZ58" i="4"/>
  <c r="KA58" i="4"/>
  <c r="KB58" i="4"/>
  <c r="KC58" i="4"/>
  <c r="KD58" i="4"/>
  <c r="KE58" i="4"/>
  <c r="KF58" i="4"/>
  <c r="KG58" i="4"/>
  <c r="KH58" i="4"/>
  <c r="KI58" i="4"/>
  <c r="JX58" i="4"/>
  <c r="KB55" i="4"/>
  <c r="KA55" i="4"/>
  <c r="JZ55" i="4"/>
  <c r="JY55" i="4"/>
  <c r="JX55" i="4"/>
  <c r="KI49" i="4"/>
  <c r="KH49" i="4"/>
  <c r="KG49" i="4"/>
  <c r="KF49" i="4"/>
  <c r="KE49" i="4"/>
  <c r="KD49" i="4"/>
  <c r="KC49" i="4"/>
  <c r="KB49" i="4"/>
  <c r="KA49" i="4"/>
  <c r="JZ49" i="4"/>
  <c r="JY49" i="4"/>
  <c r="JX49" i="4"/>
  <c r="KI43" i="4"/>
  <c r="KH43" i="4"/>
  <c r="KG43" i="4"/>
  <c r="KF43" i="4"/>
  <c r="KE43" i="4"/>
  <c r="KD43" i="4"/>
  <c r="KC43" i="4"/>
  <c r="KB43" i="4"/>
  <c r="KA43" i="4"/>
  <c r="JZ43" i="4"/>
  <c r="JY43" i="4"/>
  <c r="JX43" i="4"/>
  <c r="KI37" i="4"/>
  <c r="KH37" i="4"/>
  <c r="KG37" i="4"/>
  <c r="KF37" i="4"/>
  <c r="KE37" i="4"/>
  <c r="KD37" i="4"/>
  <c r="KC37" i="4"/>
  <c r="KB37" i="4"/>
  <c r="KA37" i="4"/>
  <c r="JZ37" i="4"/>
  <c r="JY37" i="4"/>
  <c r="JX37" i="4"/>
  <c r="KI31" i="4"/>
  <c r="KH31" i="4"/>
  <c r="KG31" i="4"/>
  <c r="KF31" i="4"/>
  <c r="KE31" i="4"/>
  <c r="KD31" i="4"/>
  <c r="KC31" i="4"/>
  <c r="KB31" i="4"/>
  <c r="KA31" i="4"/>
  <c r="JZ31" i="4"/>
  <c r="JY31" i="4"/>
  <c r="JX31" i="4"/>
  <c r="KI25" i="4"/>
  <c r="KH25" i="4"/>
  <c r="KG25" i="4"/>
  <c r="KF25" i="4"/>
  <c r="KE25" i="4"/>
  <c r="KD25" i="4"/>
  <c r="KC25" i="4"/>
  <c r="KB25" i="4"/>
  <c r="KA25" i="4"/>
  <c r="JZ25" i="4"/>
  <c r="JY25" i="4"/>
  <c r="JX25" i="4"/>
  <c r="KI19" i="4"/>
  <c r="KH19" i="4"/>
  <c r="KG19" i="4"/>
  <c r="KF19" i="4"/>
  <c r="KE19" i="4"/>
  <c r="KD19" i="4"/>
  <c r="KC19" i="4"/>
  <c r="KB19" i="4"/>
  <c r="KA19" i="4"/>
  <c r="JZ19" i="4"/>
  <c r="JY19" i="4"/>
  <c r="JX19" i="4"/>
  <c r="KI13" i="4"/>
  <c r="KH13" i="4"/>
  <c r="KG13" i="4"/>
  <c r="KF13" i="4"/>
  <c r="KE13" i="4"/>
  <c r="KD13" i="4"/>
  <c r="KC13" i="4"/>
  <c r="KB13" i="4"/>
  <c r="KA13" i="4"/>
  <c r="JZ13" i="4"/>
  <c r="JY13" i="4"/>
  <c r="JX13" i="4"/>
  <c r="KJ10" i="4"/>
  <c r="KJ10" i="3"/>
  <c r="KJ11" i="3"/>
  <c r="KJ12" i="3"/>
  <c r="KJ13" i="3"/>
  <c r="KJ14" i="3"/>
  <c r="KJ15" i="3"/>
  <c r="KJ16" i="3"/>
  <c r="KJ17" i="3"/>
  <c r="KJ18" i="3"/>
  <c r="KJ19" i="3"/>
  <c r="KJ20" i="3"/>
  <c r="KJ21" i="3"/>
  <c r="KJ22" i="3"/>
  <c r="KJ23" i="3"/>
  <c r="KJ24" i="3"/>
  <c r="KJ25" i="3"/>
  <c r="KJ26" i="3"/>
  <c r="KJ27" i="3"/>
  <c r="KJ28" i="3"/>
  <c r="KJ29" i="3"/>
  <c r="KJ30" i="3"/>
  <c r="KJ31" i="3"/>
  <c r="KJ32" i="3"/>
  <c r="KJ33" i="3"/>
  <c r="KJ34" i="3"/>
  <c r="KJ35" i="3"/>
  <c r="KJ36" i="3"/>
  <c r="KJ37" i="3"/>
  <c r="KJ38" i="3"/>
  <c r="KJ39" i="3"/>
  <c r="KJ40" i="3"/>
  <c r="KJ41" i="3"/>
  <c r="KJ42" i="3"/>
  <c r="KJ43" i="3"/>
  <c r="KJ44" i="3"/>
  <c r="KJ45" i="3"/>
  <c r="KJ46" i="3"/>
  <c r="KJ47" i="3"/>
  <c r="KJ48" i="3"/>
  <c r="KJ49" i="3"/>
  <c r="KJ50" i="3"/>
  <c r="KJ51" i="3"/>
  <c r="KJ52" i="3"/>
  <c r="KJ53" i="3"/>
  <c r="KJ54" i="3"/>
  <c r="KJ55" i="3"/>
  <c r="KJ56" i="3"/>
  <c r="KJ57" i="3"/>
  <c r="KJ58" i="3"/>
  <c r="JX59" i="3"/>
  <c r="JY59" i="3"/>
  <c r="JZ59" i="3"/>
  <c r="KA59" i="3"/>
  <c r="KB59" i="3"/>
  <c r="KC59" i="3"/>
  <c r="KD59" i="3"/>
  <c r="KE59" i="3"/>
  <c r="KF59" i="3"/>
  <c r="KG59" i="3"/>
  <c r="KH59" i="3"/>
  <c r="KI59" i="3"/>
  <c r="JX60" i="3"/>
  <c r="JY60" i="3"/>
  <c r="JZ60" i="3"/>
  <c r="KA60" i="3"/>
  <c r="KB60" i="3"/>
  <c r="KC60" i="3"/>
  <c r="KD60" i="3"/>
  <c r="KE60" i="3"/>
  <c r="KF60" i="3"/>
  <c r="KG60" i="3"/>
  <c r="KH60" i="3"/>
  <c r="KI60" i="3"/>
  <c r="JX61" i="3"/>
  <c r="JY61" i="3"/>
  <c r="JZ61" i="3"/>
  <c r="KA61" i="3"/>
  <c r="KB61" i="3"/>
  <c r="KC61" i="3"/>
  <c r="KD61" i="3"/>
  <c r="KE61" i="3"/>
  <c r="KF61" i="3"/>
  <c r="KG61" i="3"/>
  <c r="KH61" i="3"/>
  <c r="KI61" i="3"/>
  <c r="JX62" i="3"/>
  <c r="JY62" i="3"/>
  <c r="JZ62" i="3"/>
  <c r="KA62" i="3"/>
  <c r="KB62" i="3"/>
  <c r="KC62" i="3"/>
  <c r="KD62" i="3"/>
  <c r="KE62" i="3"/>
  <c r="KF62" i="3"/>
  <c r="KG62" i="3"/>
  <c r="KH62" i="3"/>
  <c r="KI62" i="3"/>
  <c r="JX63" i="3"/>
  <c r="JY63" i="3"/>
  <c r="JZ63" i="3"/>
  <c r="KA63" i="3"/>
  <c r="KB63" i="3"/>
  <c r="KC63" i="3"/>
  <c r="KD63" i="3"/>
  <c r="KE63" i="3"/>
  <c r="KF63" i="3"/>
  <c r="KG63" i="3"/>
  <c r="KH63" i="3"/>
  <c r="KI63" i="3"/>
  <c r="JY58" i="3"/>
  <c r="JZ58" i="3"/>
  <c r="KA58" i="3"/>
  <c r="KB58" i="3"/>
  <c r="KC58" i="3"/>
  <c r="KD58" i="3"/>
  <c r="KE58" i="3"/>
  <c r="KF58" i="3"/>
  <c r="KG58" i="3"/>
  <c r="KH58" i="3"/>
  <c r="KI58" i="3"/>
  <c r="JX58" i="3"/>
  <c r="KB55" i="3"/>
  <c r="KA55" i="3"/>
  <c r="JZ55" i="3"/>
  <c r="JY55" i="3"/>
  <c r="JX55" i="3"/>
  <c r="KI49" i="3"/>
  <c r="KH49" i="3"/>
  <c r="KG49" i="3"/>
  <c r="KF49" i="3"/>
  <c r="KE49" i="3"/>
  <c r="KD49" i="3"/>
  <c r="KC49" i="3"/>
  <c r="KB49" i="3"/>
  <c r="KA49" i="3"/>
  <c r="JZ49" i="3"/>
  <c r="JY49" i="3"/>
  <c r="JX49" i="3"/>
  <c r="KI43" i="3"/>
  <c r="KH43" i="3"/>
  <c r="KG43" i="3"/>
  <c r="KF43" i="3"/>
  <c r="KE43" i="3"/>
  <c r="KD43" i="3"/>
  <c r="KC43" i="3"/>
  <c r="KB43" i="3"/>
  <c r="KA43" i="3"/>
  <c r="JZ43" i="3"/>
  <c r="JY43" i="3"/>
  <c r="JX43" i="3"/>
  <c r="KI37" i="3"/>
  <c r="KH37" i="3"/>
  <c r="KG37" i="3"/>
  <c r="KF37" i="3"/>
  <c r="KE37" i="3"/>
  <c r="KD37" i="3"/>
  <c r="KC37" i="3"/>
  <c r="KB37" i="3"/>
  <c r="KA37" i="3"/>
  <c r="JZ37" i="3"/>
  <c r="JY37" i="3"/>
  <c r="JX37" i="3"/>
  <c r="KI31" i="3"/>
  <c r="KH31" i="3"/>
  <c r="KG31" i="3"/>
  <c r="KF31" i="3"/>
  <c r="KE31" i="3"/>
  <c r="KD31" i="3"/>
  <c r="KC31" i="3"/>
  <c r="KB31" i="3"/>
  <c r="KA31" i="3"/>
  <c r="JZ31" i="3"/>
  <c r="JY31" i="3"/>
  <c r="JX31" i="3"/>
  <c r="KI25" i="3"/>
  <c r="KH25" i="3"/>
  <c r="KG25" i="3"/>
  <c r="KF25" i="3"/>
  <c r="KE25" i="3"/>
  <c r="KD25" i="3"/>
  <c r="KC25" i="3"/>
  <c r="KB25" i="3"/>
  <c r="KA25" i="3"/>
  <c r="JZ25" i="3"/>
  <c r="JY25" i="3"/>
  <c r="JX25" i="3"/>
  <c r="KI19" i="3"/>
  <c r="KH19" i="3"/>
  <c r="KG19" i="3"/>
  <c r="KF19" i="3"/>
  <c r="KE19" i="3"/>
  <c r="KD19" i="3"/>
  <c r="KC19" i="3"/>
  <c r="KB19" i="3"/>
  <c r="KA19" i="3"/>
  <c r="JZ19" i="3"/>
  <c r="JY19" i="3"/>
  <c r="JX19" i="3"/>
  <c r="KI13" i="3"/>
  <c r="KH13" i="3"/>
  <c r="KG13" i="3"/>
  <c r="KF13" i="3"/>
  <c r="KE13" i="3"/>
  <c r="KD13" i="3"/>
  <c r="KC13" i="3"/>
  <c r="KB13" i="3"/>
  <c r="KA13" i="3"/>
  <c r="JZ13" i="3"/>
  <c r="JY13" i="3"/>
  <c r="JX13" i="3"/>
  <c r="HT59" i="4" l="1"/>
  <c r="HU59" i="4"/>
  <c r="HV59" i="4"/>
  <c r="HW59" i="4"/>
  <c r="HX59" i="4"/>
  <c r="HY59" i="4"/>
  <c r="HZ59" i="4"/>
  <c r="IA59" i="4"/>
  <c r="IB59" i="4"/>
  <c r="IC59" i="4"/>
  <c r="ID59" i="4"/>
  <c r="IE59" i="4"/>
  <c r="HT60" i="4"/>
  <c r="HU60" i="4"/>
  <c r="HV60" i="4"/>
  <c r="HW60" i="4"/>
  <c r="HX60" i="4"/>
  <c r="HY60" i="4"/>
  <c r="HZ60" i="4"/>
  <c r="IA60" i="4"/>
  <c r="IB60" i="4"/>
  <c r="IC60" i="4"/>
  <c r="ID60" i="4"/>
  <c r="IE60" i="4"/>
  <c r="HT61" i="4"/>
  <c r="HU61" i="4"/>
  <c r="HV61" i="4"/>
  <c r="HW61" i="4"/>
  <c r="HX61" i="4"/>
  <c r="HY61" i="4"/>
  <c r="HZ61" i="4"/>
  <c r="IA61" i="4"/>
  <c r="IB61" i="4"/>
  <c r="IC61" i="4"/>
  <c r="ID61" i="4"/>
  <c r="IE61" i="4"/>
  <c r="HT62" i="4"/>
  <c r="HU62" i="4"/>
  <c r="HV62" i="4"/>
  <c r="HW62" i="4"/>
  <c r="HX62" i="4"/>
  <c r="HY62" i="4"/>
  <c r="HZ62" i="4"/>
  <c r="IA62" i="4"/>
  <c r="IB62" i="4"/>
  <c r="IC62" i="4"/>
  <c r="ID62" i="4"/>
  <c r="IE62" i="4"/>
  <c r="HT63" i="4"/>
  <c r="HU63" i="4"/>
  <c r="HV63" i="4"/>
  <c r="HW63" i="4"/>
  <c r="HX63" i="4"/>
  <c r="HY63" i="4"/>
  <c r="HZ63" i="4"/>
  <c r="IA63" i="4"/>
  <c r="IB63" i="4"/>
  <c r="IC63" i="4"/>
  <c r="ID63" i="4"/>
  <c r="IE63" i="4"/>
  <c r="HU58" i="4"/>
  <c r="HV58" i="4"/>
  <c r="HW58" i="4"/>
  <c r="HX58" i="4"/>
  <c r="HY58" i="4"/>
  <c r="HZ58" i="4"/>
  <c r="IA58" i="4"/>
  <c r="IB58" i="4"/>
  <c r="IC58" i="4"/>
  <c r="ID58" i="4"/>
  <c r="IE58" i="4"/>
  <c r="HT58" i="4"/>
  <c r="IF10" i="4"/>
  <c r="IF11" i="4"/>
  <c r="IF12" i="4"/>
  <c r="IF13" i="4"/>
  <c r="IF14" i="4"/>
  <c r="IF15" i="4"/>
  <c r="IF16" i="4"/>
  <c r="IF17" i="4"/>
  <c r="IF18" i="4"/>
  <c r="IF19" i="4"/>
  <c r="IF20" i="4"/>
  <c r="IF21" i="4"/>
  <c r="IF22" i="4"/>
  <c r="IF23" i="4"/>
  <c r="IF24" i="4"/>
  <c r="IF25" i="4"/>
  <c r="IF26" i="4"/>
  <c r="IF27" i="4"/>
  <c r="IF28" i="4"/>
  <c r="IF29" i="4"/>
  <c r="IF30" i="4"/>
  <c r="IF31" i="4"/>
  <c r="IF32" i="4"/>
  <c r="IF33" i="4"/>
  <c r="IF34" i="4"/>
  <c r="IF35" i="4"/>
  <c r="IF36" i="4"/>
  <c r="IF37" i="4"/>
  <c r="IF38" i="4"/>
  <c r="IF39" i="4"/>
  <c r="IF40" i="4"/>
  <c r="IF41" i="4"/>
  <c r="IF42" i="4"/>
  <c r="IF43" i="4"/>
  <c r="IF44" i="4"/>
  <c r="IF45" i="4"/>
  <c r="IF46" i="4"/>
  <c r="IF47" i="4"/>
  <c r="IF48" i="4"/>
  <c r="IF49" i="4"/>
  <c r="IF50" i="4"/>
  <c r="IF51" i="4"/>
  <c r="IF52" i="4"/>
  <c r="IF53" i="4"/>
  <c r="IF54" i="4"/>
  <c r="IF55" i="4"/>
  <c r="IF56" i="4"/>
  <c r="IF57" i="4"/>
  <c r="IF58" i="4"/>
  <c r="HX55" i="4"/>
  <c r="HW55" i="4"/>
  <c r="HV55" i="4"/>
  <c r="HU55" i="4"/>
  <c r="HT55" i="4"/>
  <c r="IE49" i="4"/>
  <c r="ID49" i="4"/>
  <c r="IC49" i="4"/>
  <c r="IB49" i="4"/>
  <c r="IA49" i="4"/>
  <c r="HZ49" i="4"/>
  <c r="HY49" i="4"/>
  <c r="HX49" i="4"/>
  <c r="HW49" i="4"/>
  <c r="HV49" i="4"/>
  <c r="HU49" i="4"/>
  <c r="HT49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IE37" i="4"/>
  <c r="ID37" i="4"/>
  <c r="IC37" i="4"/>
  <c r="IB37" i="4"/>
  <c r="IA37" i="4"/>
  <c r="HZ37" i="4"/>
  <c r="HY37" i="4"/>
  <c r="HX37" i="4"/>
  <c r="HW37" i="4"/>
  <c r="HV37" i="4"/>
  <c r="HU37" i="4"/>
  <c r="HT37" i="4"/>
  <c r="IE31" i="4"/>
  <c r="ID31" i="4"/>
  <c r="IC31" i="4"/>
  <c r="IB31" i="4"/>
  <c r="IA31" i="4"/>
  <c r="HZ31" i="4"/>
  <c r="HY31" i="4"/>
  <c r="HX31" i="4"/>
  <c r="HW31" i="4"/>
  <c r="HV31" i="4"/>
  <c r="HU31" i="4"/>
  <c r="HT31" i="4"/>
  <c r="IE25" i="4"/>
  <c r="ID25" i="4"/>
  <c r="IC25" i="4"/>
  <c r="IB25" i="4"/>
  <c r="IA25" i="4"/>
  <c r="HZ25" i="4"/>
  <c r="HY25" i="4"/>
  <c r="HX25" i="4"/>
  <c r="HW25" i="4"/>
  <c r="HV25" i="4"/>
  <c r="HU25" i="4"/>
  <c r="HT25" i="4"/>
  <c r="IE19" i="4"/>
  <c r="ID19" i="4"/>
  <c r="IC19" i="4"/>
  <c r="IB19" i="4"/>
  <c r="IA19" i="4"/>
  <c r="HZ19" i="4"/>
  <c r="HY19" i="4"/>
  <c r="HX19" i="4"/>
  <c r="HW19" i="4"/>
  <c r="HV19" i="4"/>
  <c r="HU19" i="4"/>
  <c r="HT19" i="4"/>
  <c r="IE13" i="4"/>
  <c r="ID13" i="4"/>
  <c r="IC13" i="4"/>
  <c r="IB13" i="4"/>
  <c r="IA13" i="4"/>
  <c r="HZ13" i="4"/>
  <c r="HY13" i="4"/>
  <c r="HX13" i="4"/>
  <c r="HW13" i="4"/>
  <c r="HV13" i="4"/>
  <c r="HU13" i="4"/>
  <c r="HT13" i="4"/>
  <c r="IF10" i="3"/>
  <c r="IF11" i="3"/>
  <c r="IF12" i="3"/>
  <c r="IF13" i="3"/>
  <c r="IF14" i="3"/>
  <c r="IF15" i="3"/>
  <c r="IF16" i="3"/>
  <c r="IF17" i="3"/>
  <c r="IF18" i="3"/>
  <c r="IF19" i="3"/>
  <c r="IF20" i="3"/>
  <c r="IF21" i="3"/>
  <c r="IF22" i="3"/>
  <c r="IF23" i="3"/>
  <c r="IF24" i="3"/>
  <c r="IF25" i="3"/>
  <c r="IF26" i="3"/>
  <c r="IF27" i="3"/>
  <c r="IF28" i="3"/>
  <c r="IF29" i="3"/>
  <c r="IF30" i="3"/>
  <c r="IF31" i="3"/>
  <c r="IF32" i="3"/>
  <c r="IF33" i="3"/>
  <c r="IF34" i="3"/>
  <c r="IF35" i="3"/>
  <c r="IF36" i="3"/>
  <c r="IF37" i="3"/>
  <c r="IF38" i="3"/>
  <c r="IF39" i="3"/>
  <c r="IF40" i="3"/>
  <c r="IF41" i="3"/>
  <c r="IF42" i="3"/>
  <c r="IF43" i="3"/>
  <c r="IF44" i="3"/>
  <c r="IF45" i="3"/>
  <c r="IF46" i="3"/>
  <c r="IF47" i="3"/>
  <c r="IF48" i="3"/>
  <c r="IF49" i="3"/>
  <c r="IF50" i="3"/>
  <c r="IF51" i="3"/>
  <c r="IF52" i="3"/>
  <c r="IF53" i="3"/>
  <c r="IF54" i="3"/>
  <c r="IF55" i="3"/>
  <c r="IF56" i="3"/>
  <c r="IF57" i="3"/>
  <c r="IF58" i="3"/>
  <c r="HT59" i="3"/>
  <c r="HU59" i="3"/>
  <c r="HV59" i="3"/>
  <c r="HW59" i="3"/>
  <c r="HX59" i="3"/>
  <c r="HY59" i="3"/>
  <c r="HZ59" i="3"/>
  <c r="IA59" i="3"/>
  <c r="IB59" i="3"/>
  <c r="IC59" i="3"/>
  <c r="ID59" i="3"/>
  <c r="IE59" i="3"/>
  <c r="HT60" i="3"/>
  <c r="HU60" i="3"/>
  <c r="HV60" i="3"/>
  <c r="HW60" i="3"/>
  <c r="HX60" i="3"/>
  <c r="HY60" i="3"/>
  <c r="HZ60" i="3"/>
  <c r="IA60" i="3"/>
  <c r="IB60" i="3"/>
  <c r="IC60" i="3"/>
  <c r="ID60" i="3"/>
  <c r="IE60" i="3"/>
  <c r="HT61" i="3"/>
  <c r="HU61" i="3"/>
  <c r="HV61" i="3"/>
  <c r="HW61" i="3"/>
  <c r="HX61" i="3"/>
  <c r="HY61" i="3"/>
  <c r="HZ61" i="3"/>
  <c r="IA61" i="3"/>
  <c r="IB61" i="3"/>
  <c r="IC61" i="3"/>
  <c r="ID61" i="3"/>
  <c r="IE61" i="3"/>
  <c r="HT62" i="3"/>
  <c r="HU62" i="3"/>
  <c r="HV62" i="3"/>
  <c r="HW62" i="3"/>
  <c r="HX62" i="3"/>
  <c r="HY62" i="3"/>
  <c r="HZ62" i="3"/>
  <c r="IA62" i="3"/>
  <c r="IB62" i="3"/>
  <c r="IC62" i="3"/>
  <c r="ID62" i="3"/>
  <c r="IE62" i="3"/>
  <c r="HT63" i="3"/>
  <c r="HU63" i="3"/>
  <c r="HV63" i="3"/>
  <c r="HW63" i="3"/>
  <c r="HX63" i="3"/>
  <c r="HY63" i="3"/>
  <c r="HZ63" i="3"/>
  <c r="IA63" i="3"/>
  <c r="IB63" i="3"/>
  <c r="IC63" i="3"/>
  <c r="ID63" i="3"/>
  <c r="IE63" i="3"/>
  <c r="HU58" i="3"/>
  <c r="HV58" i="3"/>
  <c r="HW58" i="3"/>
  <c r="HX58" i="3"/>
  <c r="HY58" i="3"/>
  <c r="HZ58" i="3"/>
  <c r="IA58" i="3"/>
  <c r="IB58" i="3"/>
  <c r="IC58" i="3"/>
  <c r="ID58" i="3"/>
  <c r="IE58" i="3"/>
  <c r="HT58" i="3"/>
  <c r="HX55" i="3"/>
  <c r="HW55" i="3"/>
  <c r="HV55" i="3"/>
  <c r="HU55" i="3"/>
  <c r="HT55" i="3"/>
  <c r="IE49" i="3"/>
  <c r="ID49" i="3"/>
  <c r="IC49" i="3"/>
  <c r="IB49" i="3"/>
  <c r="IA49" i="3"/>
  <c r="HZ49" i="3"/>
  <c r="HY49" i="3"/>
  <c r="HX49" i="3"/>
  <c r="HW49" i="3"/>
  <c r="HV49" i="3"/>
  <c r="HU49" i="3"/>
  <c r="HT49" i="3"/>
  <c r="IE43" i="3"/>
  <c r="ID43" i="3"/>
  <c r="IC43" i="3"/>
  <c r="IB43" i="3"/>
  <c r="IA43" i="3"/>
  <c r="HZ43" i="3"/>
  <c r="HY43" i="3"/>
  <c r="HX43" i="3"/>
  <c r="HW43" i="3"/>
  <c r="HV43" i="3"/>
  <c r="HU43" i="3"/>
  <c r="HT43" i="3"/>
  <c r="IE37" i="3"/>
  <c r="ID37" i="3"/>
  <c r="IC37" i="3"/>
  <c r="IB37" i="3"/>
  <c r="IA37" i="3"/>
  <c r="HZ37" i="3"/>
  <c r="HY37" i="3"/>
  <c r="HX37" i="3"/>
  <c r="HW37" i="3"/>
  <c r="HV37" i="3"/>
  <c r="HU37" i="3"/>
  <c r="HT37" i="3"/>
  <c r="IE31" i="3"/>
  <c r="ID31" i="3"/>
  <c r="IC31" i="3"/>
  <c r="IB31" i="3"/>
  <c r="IA31" i="3"/>
  <c r="HZ31" i="3"/>
  <c r="HY31" i="3"/>
  <c r="HX31" i="3"/>
  <c r="HW31" i="3"/>
  <c r="HV31" i="3"/>
  <c r="HU31" i="3"/>
  <c r="HT31" i="3"/>
  <c r="IE25" i="3"/>
  <c r="ID25" i="3"/>
  <c r="IC25" i="3"/>
  <c r="IB25" i="3"/>
  <c r="IA25" i="3"/>
  <c r="HZ25" i="3"/>
  <c r="HY25" i="3"/>
  <c r="HX25" i="3"/>
  <c r="HW25" i="3"/>
  <c r="HV25" i="3"/>
  <c r="HU25" i="3"/>
  <c r="HT25" i="3"/>
  <c r="IE19" i="3"/>
  <c r="ID19" i="3"/>
  <c r="IC19" i="3"/>
  <c r="IB19" i="3"/>
  <c r="IA19" i="3"/>
  <c r="HZ19" i="3"/>
  <c r="HY19" i="3"/>
  <c r="HX19" i="3"/>
  <c r="HW19" i="3"/>
  <c r="HV19" i="3"/>
  <c r="HU19" i="3"/>
  <c r="HT19" i="3"/>
  <c r="IE13" i="3"/>
  <c r="ID13" i="3"/>
  <c r="IC13" i="3"/>
  <c r="IB13" i="3"/>
  <c r="IA13" i="3"/>
  <c r="HZ13" i="3"/>
  <c r="HY13" i="3"/>
  <c r="HX13" i="3"/>
  <c r="HW13" i="3"/>
  <c r="HV13" i="3"/>
  <c r="HU13" i="3"/>
  <c r="HT13" i="3"/>
  <c r="GR59" i="4" l="1"/>
  <c r="GS59" i="4"/>
  <c r="GT59" i="4"/>
  <c r="GU59" i="4"/>
  <c r="GV59" i="4"/>
  <c r="GW59" i="4"/>
  <c r="GX59" i="4"/>
  <c r="GY59" i="4"/>
  <c r="GZ59" i="4"/>
  <c r="HA59" i="4"/>
  <c r="HB59" i="4"/>
  <c r="HC59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GS58" i="4"/>
  <c r="GT58" i="4"/>
  <c r="GU58" i="4"/>
  <c r="GV58" i="4"/>
  <c r="GW58" i="4"/>
  <c r="GX58" i="4"/>
  <c r="GY58" i="4"/>
  <c r="GZ58" i="4"/>
  <c r="HA58" i="4"/>
  <c r="HB58" i="4"/>
  <c r="HC58" i="4"/>
  <c r="GR58" i="4"/>
  <c r="GV55" i="4"/>
  <c r="GU55" i="4"/>
  <c r="GT55" i="4"/>
  <c r="GS55" i="4"/>
  <c r="GR55" i="4"/>
  <c r="HC49" i="4"/>
  <c r="HB49" i="4"/>
  <c r="HA49" i="4"/>
  <c r="GZ49" i="4"/>
  <c r="GY49" i="4"/>
  <c r="GX49" i="4"/>
  <c r="GW49" i="4"/>
  <c r="GV49" i="4"/>
  <c r="GU49" i="4"/>
  <c r="GT49" i="4"/>
  <c r="GS49" i="4"/>
  <c r="GR49" i="4"/>
  <c r="HC43" i="4"/>
  <c r="HB43" i="4"/>
  <c r="HA43" i="4"/>
  <c r="GZ43" i="4"/>
  <c r="GY43" i="4"/>
  <c r="GX43" i="4"/>
  <c r="GW43" i="4"/>
  <c r="GV43" i="4"/>
  <c r="GU43" i="4"/>
  <c r="GT43" i="4"/>
  <c r="GS43" i="4"/>
  <c r="GR43" i="4"/>
  <c r="HC31" i="4"/>
  <c r="HB31" i="4"/>
  <c r="HA31" i="4"/>
  <c r="GZ31" i="4"/>
  <c r="GY31" i="4"/>
  <c r="GX31" i="4"/>
  <c r="GW31" i="4"/>
  <c r="GV31" i="4"/>
  <c r="GU31" i="4"/>
  <c r="GT31" i="4"/>
  <c r="GS31" i="4"/>
  <c r="GR31" i="4"/>
  <c r="HC25" i="4"/>
  <c r="HB25" i="4"/>
  <c r="HA25" i="4"/>
  <c r="GZ25" i="4"/>
  <c r="GY25" i="4"/>
  <c r="GX25" i="4"/>
  <c r="GW25" i="4"/>
  <c r="GV25" i="4"/>
  <c r="GU25" i="4"/>
  <c r="GT25" i="4"/>
  <c r="GS25" i="4"/>
  <c r="GR25" i="4"/>
  <c r="HC19" i="4"/>
  <c r="HB19" i="4"/>
  <c r="HA19" i="4"/>
  <c r="GZ19" i="4"/>
  <c r="GY19" i="4"/>
  <c r="GX19" i="4"/>
  <c r="GW19" i="4"/>
  <c r="GV19" i="4"/>
  <c r="GU19" i="4"/>
  <c r="GT19" i="4"/>
  <c r="GS19" i="4"/>
  <c r="GR19" i="4"/>
  <c r="HC13" i="4"/>
  <c r="HB13" i="4"/>
  <c r="HA13" i="4"/>
  <c r="GZ13" i="4"/>
  <c r="GY13" i="4"/>
  <c r="GX13" i="4"/>
  <c r="GW13" i="4"/>
  <c r="GV13" i="4"/>
  <c r="GU13" i="4"/>
  <c r="GT13" i="4"/>
  <c r="GS13" i="4"/>
  <c r="GR13" i="4"/>
  <c r="GR59" i="3"/>
  <c r="GS59" i="3"/>
  <c r="GT59" i="3"/>
  <c r="GU59" i="3"/>
  <c r="GV59" i="3"/>
  <c r="GW59" i="3"/>
  <c r="GX59" i="3"/>
  <c r="GY59" i="3"/>
  <c r="GZ59" i="3"/>
  <c r="HA59" i="3"/>
  <c r="HB59" i="3"/>
  <c r="HC59" i="3"/>
  <c r="GR60" i="3"/>
  <c r="GS60" i="3"/>
  <c r="GT60" i="3"/>
  <c r="GU60" i="3"/>
  <c r="GV60" i="3"/>
  <c r="GW60" i="3"/>
  <c r="GX60" i="3"/>
  <c r="GY60" i="3"/>
  <c r="GZ60" i="3"/>
  <c r="HA60" i="3"/>
  <c r="HB60" i="3"/>
  <c r="HC60" i="3"/>
  <c r="GR61" i="3"/>
  <c r="GS61" i="3"/>
  <c r="GT61" i="3"/>
  <c r="GU61" i="3"/>
  <c r="GV61" i="3"/>
  <c r="GW61" i="3"/>
  <c r="GX61" i="3"/>
  <c r="GY61" i="3"/>
  <c r="GZ61" i="3"/>
  <c r="HA61" i="3"/>
  <c r="HB61" i="3"/>
  <c r="HC61" i="3"/>
  <c r="GR62" i="3"/>
  <c r="GS62" i="3"/>
  <c r="GT62" i="3"/>
  <c r="GU62" i="3"/>
  <c r="GV62" i="3"/>
  <c r="GW62" i="3"/>
  <c r="GX62" i="3"/>
  <c r="GY62" i="3"/>
  <c r="GZ62" i="3"/>
  <c r="HA62" i="3"/>
  <c r="HB62" i="3"/>
  <c r="HC62" i="3"/>
  <c r="GR63" i="3"/>
  <c r="GS63" i="3"/>
  <c r="GT63" i="3"/>
  <c r="GU63" i="3"/>
  <c r="GV63" i="3"/>
  <c r="GW63" i="3"/>
  <c r="GX63" i="3"/>
  <c r="GY63" i="3"/>
  <c r="GZ63" i="3"/>
  <c r="HA63" i="3"/>
  <c r="HB63" i="3"/>
  <c r="HC63" i="3"/>
  <c r="GS58" i="3"/>
  <c r="GT58" i="3"/>
  <c r="GU58" i="3"/>
  <c r="GV58" i="3"/>
  <c r="GW58" i="3"/>
  <c r="GX58" i="3"/>
  <c r="GY58" i="3"/>
  <c r="GZ58" i="3"/>
  <c r="HA58" i="3"/>
  <c r="HB58" i="3"/>
  <c r="HC58" i="3"/>
  <c r="GR58" i="3"/>
  <c r="GV55" i="3"/>
  <c r="GU55" i="3"/>
  <c r="GT55" i="3"/>
  <c r="GS55" i="3"/>
  <c r="GR55" i="3"/>
  <c r="HC49" i="3"/>
  <c r="HB49" i="3"/>
  <c r="HA49" i="3"/>
  <c r="GZ49" i="3"/>
  <c r="GY49" i="3"/>
  <c r="GX49" i="3"/>
  <c r="GW49" i="3"/>
  <c r="GV49" i="3"/>
  <c r="GU49" i="3"/>
  <c r="GT49" i="3"/>
  <c r="GS49" i="3"/>
  <c r="GR49" i="3"/>
  <c r="HC43" i="3"/>
  <c r="HB43" i="3"/>
  <c r="HA43" i="3"/>
  <c r="GZ43" i="3"/>
  <c r="GY43" i="3"/>
  <c r="GX43" i="3"/>
  <c r="GW43" i="3"/>
  <c r="GV43" i="3"/>
  <c r="GU43" i="3"/>
  <c r="GT43" i="3"/>
  <c r="GS43" i="3"/>
  <c r="GR43" i="3"/>
  <c r="HC37" i="3"/>
  <c r="HB37" i="3"/>
  <c r="HA37" i="3"/>
  <c r="GZ37" i="3"/>
  <c r="GY37" i="3"/>
  <c r="GX37" i="3"/>
  <c r="GW37" i="3"/>
  <c r="GV37" i="3"/>
  <c r="GU37" i="3"/>
  <c r="GT37" i="3"/>
  <c r="GS37" i="3"/>
  <c r="GR37" i="3"/>
  <c r="HC31" i="3"/>
  <c r="HB31" i="3"/>
  <c r="HA31" i="3"/>
  <c r="GZ31" i="3"/>
  <c r="GY31" i="3"/>
  <c r="GX31" i="3"/>
  <c r="GW31" i="3"/>
  <c r="GV31" i="3"/>
  <c r="GU31" i="3"/>
  <c r="GT31" i="3"/>
  <c r="GS31" i="3"/>
  <c r="GR31" i="3"/>
  <c r="HC25" i="3"/>
  <c r="HB25" i="3"/>
  <c r="HA25" i="3"/>
  <c r="GZ25" i="3"/>
  <c r="GY25" i="3"/>
  <c r="GX25" i="3"/>
  <c r="GW25" i="3"/>
  <c r="GV25" i="3"/>
  <c r="GU25" i="3"/>
  <c r="GT25" i="3"/>
  <c r="GS25" i="3"/>
  <c r="GR25" i="3"/>
  <c r="HC19" i="3"/>
  <c r="HB19" i="3"/>
  <c r="HA19" i="3"/>
  <c r="GZ19" i="3"/>
  <c r="GY19" i="3"/>
  <c r="GX19" i="3"/>
  <c r="GW19" i="3"/>
  <c r="GV19" i="3"/>
  <c r="GU19" i="3"/>
  <c r="GT19" i="3"/>
  <c r="GS19" i="3"/>
  <c r="GR19" i="3"/>
  <c r="HC13" i="3"/>
  <c r="HB13" i="3"/>
  <c r="HA13" i="3"/>
  <c r="GZ13" i="3"/>
  <c r="GY13" i="3"/>
  <c r="GX13" i="3"/>
  <c r="GW13" i="3"/>
  <c r="GV13" i="3"/>
  <c r="GU13" i="3"/>
  <c r="GT13" i="3"/>
  <c r="GS13" i="3"/>
  <c r="GR13" i="3"/>
  <c r="HD10" i="3" l="1"/>
  <c r="EL61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DZ58" i="4"/>
  <c r="EA58" i="4"/>
  <c r="EB58" i="4"/>
  <c r="EC58" i="4"/>
  <c r="ED58" i="4"/>
  <c r="EE58" i="4"/>
  <c r="EF58" i="4"/>
  <c r="EG58" i="4"/>
  <c r="EH58" i="4"/>
  <c r="EI58" i="4"/>
  <c r="EJ58" i="4"/>
  <c r="DY58" i="4"/>
  <c r="EC55" i="4"/>
  <c r="EB55" i="4"/>
  <c r="EA55" i="4"/>
  <c r="DZ55" i="4"/>
  <c r="DY55" i="4"/>
  <c r="EJ49" i="4"/>
  <c r="EI49" i="4"/>
  <c r="EH49" i="4"/>
  <c r="EG49" i="4"/>
  <c r="EF49" i="4"/>
  <c r="EE49" i="4"/>
  <c r="ED49" i="4"/>
  <c r="EC49" i="4"/>
  <c r="EB49" i="4"/>
  <c r="EA49" i="4"/>
  <c r="DZ49" i="4"/>
  <c r="DY49" i="4"/>
  <c r="EJ43" i="4"/>
  <c r="EI43" i="4"/>
  <c r="EH43" i="4"/>
  <c r="EG43" i="4"/>
  <c r="EF43" i="4"/>
  <c r="EE43" i="4"/>
  <c r="ED43" i="4"/>
  <c r="EC43" i="4"/>
  <c r="EB43" i="4"/>
  <c r="EA43" i="4"/>
  <c r="DZ43" i="4"/>
  <c r="DY43" i="4"/>
  <c r="EJ37" i="4"/>
  <c r="EI37" i="4"/>
  <c r="EH37" i="4"/>
  <c r="EG37" i="4"/>
  <c r="EF37" i="4"/>
  <c r="EE37" i="4"/>
  <c r="ED37" i="4"/>
  <c r="EC37" i="4"/>
  <c r="EB37" i="4"/>
  <c r="EA37" i="4"/>
  <c r="DZ37" i="4"/>
  <c r="DY37" i="4"/>
  <c r="EJ31" i="4"/>
  <c r="EI31" i="4"/>
  <c r="EH31" i="4"/>
  <c r="EG31" i="4"/>
  <c r="EF31" i="4"/>
  <c r="EE31" i="4"/>
  <c r="ED31" i="4"/>
  <c r="EC31" i="4"/>
  <c r="EB31" i="4"/>
  <c r="EA31" i="4"/>
  <c r="DZ31" i="4"/>
  <c r="DY31" i="4"/>
  <c r="EJ25" i="4"/>
  <c r="EI25" i="4"/>
  <c r="EH25" i="4"/>
  <c r="EG25" i="4"/>
  <c r="EF25" i="4"/>
  <c r="EE25" i="4"/>
  <c r="ED25" i="4"/>
  <c r="EC25" i="4"/>
  <c r="EB25" i="4"/>
  <c r="EA25" i="4"/>
  <c r="DZ25" i="4"/>
  <c r="DY25" i="4"/>
  <c r="EJ19" i="4"/>
  <c r="EI19" i="4"/>
  <c r="EH19" i="4"/>
  <c r="EG19" i="4"/>
  <c r="EF19" i="4"/>
  <c r="EE19" i="4"/>
  <c r="ED19" i="4"/>
  <c r="EC19" i="4"/>
  <c r="EB19" i="4"/>
  <c r="EA19" i="4"/>
  <c r="DZ19" i="4"/>
  <c r="DY19" i="4"/>
  <c r="EJ13" i="4"/>
  <c r="EI13" i="4"/>
  <c r="EH13" i="4"/>
  <c r="EG13" i="4"/>
  <c r="EF13" i="4"/>
  <c r="EE13" i="4"/>
  <c r="ED13" i="4"/>
  <c r="EC13" i="4"/>
  <c r="EB13" i="4"/>
  <c r="EA13" i="4"/>
  <c r="DZ13" i="4"/>
  <c r="DY13" i="4"/>
  <c r="EK10" i="4"/>
  <c r="EL61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DY60" i="3"/>
  <c r="DZ60" i="3"/>
  <c r="EA60" i="3"/>
  <c r="EK60" i="3" s="1"/>
  <c r="EB60" i="3"/>
  <c r="EC60" i="3"/>
  <c r="ED60" i="3"/>
  <c r="EE60" i="3"/>
  <c r="EF60" i="3"/>
  <c r="EG60" i="3"/>
  <c r="EH60" i="3"/>
  <c r="EI60" i="3"/>
  <c r="EJ60" i="3"/>
  <c r="DY61" i="3"/>
  <c r="DZ61" i="3"/>
  <c r="EA61" i="3"/>
  <c r="EK61" i="3" s="1"/>
  <c r="EB61" i="3"/>
  <c r="EC61" i="3"/>
  <c r="ED61" i="3"/>
  <c r="EE61" i="3"/>
  <c r="EF61" i="3"/>
  <c r="EG61" i="3"/>
  <c r="EH61" i="3"/>
  <c r="EI61" i="3"/>
  <c r="EJ61" i="3"/>
  <c r="DY62" i="3"/>
  <c r="DZ62" i="3"/>
  <c r="EA62" i="3"/>
  <c r="EB62" i="3"/>
  <c r="EK62" i="3" s="1"/>
  <c r="EC62" i="3"/>
  <c r="ED62" i="3"/>
  <c r="EE62" i="3"/>
  <c r="EF62" i="3"/>
  <c r="EG62" i="3"/>
  <c r="EH62" i="3"/>
  <c r="EI62" i="3"/>
  <c r="EJ62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DZ58" i="3"/>
  <c r="EA58" i="3"/>
  <c r="EB58" i="3"/>
  <c r="EC58" i="3"/>
  <c r="ED58" i="3"/>
  <c r="EE58" i="3"/>
  <c r="EF58" i="3"/>
  <c r="EG58" i="3"/>
  <c r="EH58" i="3"/>
  <c r="EI58" i="3"/>
  <c r="EJ58" i="3"/>
  <c r="DY58" i="3"/>
  <c r="EK11" i="3"/>
  <c r="EK12" i="3"/>
  <c r="EK13" i="3"/>
  <c r="EK14" i="3"/>
  <c r="EK15" i="3"/>
  <c r="EK16" i="3"/>
  <c r="EK17" i="3"/>
  <c r="EK18" i="3"/>
  <c r="EK19" i="3"/>
  <c r="EK20" i="3"/>
  <c r="EK21" i="3"/>
  <c r="EK22" i="3"/>
  <c r="EK23" i="3"/>
  <c r="EK24" i="3"/>
  <c r="EK25" i="3"/>
  <c r="EK26" i="3"/>
  <c r="EK27" i="3"/>
  <c r="EK28" i="3"/>
  <c r="EK29" i="3"/>
  <c r="EK30" i="3"/>
  <c r="EK31" i="3"/>
  <c r="EK32" i="3"/>
  <c r="EK33" i="3"/>
  <c r="EK34" i="3"/>
  <c r="EK35" i="3"/>
  <c r="EK36" i="3"/>
  <c r="EK37" i="3"/>
  <c r="EK38" i="3"/>
  <c r="EK39" i="3"/>
  <c r="EK40" i="3"/>
  <c r="EK41" i="3"/>
  <c r="EK42" i="3"/>
  <c r="EK43" i="3"/>
  <c r="EK44" i="3"/>
  <c r="EK45" i="3"/>
  <c r="EK46" i="3"/>
  <c r="EK47" i="3"/>
  <c r="EK48" i="3"/>
  <c r="EK49" i="3"/>
  <c r="EK50" i="3"/>
  <c r="EK51" i="3"/>
  <c r="EK52" i="3"/>
  <c r="EK53" i="3"/>
  <c r="EK54" i="3"/>
  <c r="EK55" i="3"/>
  <c r="EK56" i="3"/>
  <c r="EK57" i="3"/>
  <c r="EK59" i="3"/>
  <c r="EK63" i="3"/>
  <c r="EK10" i="3"/>
  <c r="EC55" i="3"/>
  <c r="EB55" i="3"/>
  <c r="EA55" i="3"/>
  <c r="DZ55" i="3"/>
  <c r="DY55" i="3"/>
  <c r="EJ49" i="3"/>
  <c r="EI49" i="3"/>
  <c r="EH49" i="3"/>
  <c r="EG49" i="3"/>
  <c r="EF49" i="3"/>
  <c r="EE49" i="3"/>
  <c r="ED49" i="3"/>
  <c r="EC49" i="3"/>
  <c r="EB49" i="3"/>
  <c r="EA49" i="3"/>
  <c r="DZ49" i="3"/>
  <c r="DY49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EK58" i="3" l="1"/>
  <c r="DL63" i="4" l="1"/>
  <c r="DM63" i="4"/>
  <c r="DN63" i="4"/>
  <c r="DO63" i="4"/>
  <c r="DP63" i="4"/>
  <c r="DQ63" i="4"/>
  <c r="DR63" i="4"/>
  <c r="DS63" i="4"/>
  <c r="DT63" i="4"/>
  <c r="DU63" i="4"/>
  <c r="DV63" i="4"/>
  <c r="DW63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M58" i="4"/>
  <c r="DN58" i="4"/>
  <c r="DO58" i="4"/>
  <c r="DP58" i="4"/>
  <c r="DQ58" i="4"/>
  <c r="DR58" i="4"/>
  <c r="DS58" i="4"/>
  <c r="DT58" i="4"/>
  <c r="DU58" i="4"/>
  <c r="DV58" i="4"/>
  <c r="DW58" i="4"/>
  <c r="DL58" i="4"/>
  <c r="DP55" i="4"/>
  <c r="DO55" i="4"/>
  <c r="DN55" i="4"/>
  <c r="DM55" i="4"/>
  <c r="DL55" i="4"/>
  <c r="DW49" i="4"/>
  <c r="DV49" i="4"/>
  <c r="DU49" i="4"/>
  <c r="DT49" i="4"/>
  <c r="DS49" i="4"/>
  <c r="DR49" i="4"/>
  <c r="DQ49" i="4"/>
  <c r="DP49" i="4"/>
  <c r="DO49" i="4"/>
  <c r="DN49" i="4"/>
  <c r="DM49" i="4"/>
  <c r="DL49" i="4"/>
  <c r="DW43" i="4"/>
  <c r="DV43" i="4"/>
  <c r="DU43" i="4"/>
  <c r="DT43" i="4"/>
  <c r="DS43" i="4"/>
  <c r="DR43" i="4"/>
  <c r="DQ43" i="4"/>
  <c r="DP43" i="4"/>
  <c r="DO43" i="4"/>
  <c r="DN43" i="4"/>
  <c r="DM43" i="4"/>
  <c r="DL43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X10" i="3"/>
  <c r="DX11" i="3"/>
  <c r="DX12" i="3"/>
  <c r="DX13" i="3"/>
  <c r="DX14" i="3"/>
  <c r="DX15" i="3"/>
  <c r="DX16" i="3"/>
  <c r="DX17" i="3"/>
  <c r="DX18" i="3"/>
  <c r="DX19" i="3"/>
  <c r="DX20" i="3"/>
  <c r="DX21" i="3"/>
  <c r="DX22" i="3"/>
  <c r="DX23" i="3"/>
  <c r="DX24" i="3"/>
  <c r="DX25" i="3"/>
  <c r="DX26" i="3"/>
  <c r="DX27" i="3"/>
  <c r="DX28" i="3"/>
  <c r="DX29" i="3"/>
  <c r="DX30" i="3"/>
  <c r="DX31" i="3"/>
  <c r="DX32" i="3"/>
  <c r="DX33" i="3"/>
  <c r="DX34" i="3"/>
  <c r="DX35" i="3"/>
  <c r="DX36" i="3"/>
  <c r="DX37" i="3"/>
  <c r="DX38" i="3"/>
  <c r="DX39" i="3"/>
  <c r="DX40" i="3"/>
  <c r="DX41" i="3"/>
  <c r="DX42" i="3"/>
  <c r="DX43" i="3"/>
  <c r="DX44" i="3"/>
  <c r="DX45" i="3"/>
  <c r="DX46" i="3"/>
  <c r="DX47" i="3"/>
  <c r="DX48" i="3"/>
  <c r="DX49" i="3"/>
  <c r="DX50" i="3"/>
  <c r="DX51" i="3"/>
  <c r="DX52" i="3"/>
  <c r="DX53" i="3"/>
  <c r="DX54" i="3"/>
  <c r="DX55" i="3"/>
  <c r="DX56" i="3"/>
  <c r="DX57" i="3"/>
  <c r="DX58" i="3"/>
  <c r="DX59" i="3"/>
  <c r="DX60" i="3"/>
  <c r="DX61" i="3"/>
  <c r="DX62" i="3"/>
  <c r="DX63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M58" i="3"/>
  <c r="DN58" i="3"/>
  <c r="DO58" i="3"/>
  <c r="DP58" i="3"/>
  <c r="DQ58" i="3"/>
  <c r="DR58" i="3"/>
  <c r="DS58" i="3"/>
  <c r="DT58" i="3"/>
  <c r="DU58" i="3"/>
  <c r="DV58" i="3"/>
  <c r="DW58" i="3"/>
  <c r="DL58" i="3"/>
  <c r="DP55" i="3"/>
  <c r="DO55" i="3"/>
  <c r="DN55" i="3"/>
  <c r="DM55" i="3"/>
  <c r="DL55" i="3"/>
  <c r="DW49" i="3"/>
  <c r="DV49" i="3"/>
  <c r="DU49" i="3"/>
  <c r="DT49" i="3"/>
  <c r="DS49" i="3"/>
  <c r="DR49" i="3"/>
  <c r="DQ49" i="3"/>
  <c r="DP49" i="3"/>
  <c r="DO49" i="3"/>
  <c r="DN49" i="3"/>
  <c r="DM49" i="3"/>
  <c r="DL49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J61" i="4" l="1"/>
  <c r="DI58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CX58" i="4"/>
  <c r="CY58" i="4"/>
  <c r="CZ58" i="4"/>
  <c r="DA58" i="4"/>
  <c r="DB58" i="4"/>
  <c r="DC58" i="4"/>
  <c r="DD58" i="4"/>
  <c r="DE58" i="4"/>
  <c r="DF58" i="4"/>
  <c r="DG58" i="4"/>
  <c r="DH58" i="4"/>
  <c r="CW58" i="4"/>
  <c r="CX55" i="4"/>
  <c r="CY55" i="4"/>
  <c r="CZ55" i="4"/>
  <c r="DA55" i="4"/>
  <c r="CW55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CU13" i="4"/>
  <c r="DJ58" i="3"/>
  <c r="CW59" i="3"/>
  <c r="CX59" i="3"/>
  <c r="CY59" i="3"/>
  <c r="CZ59" i="3"/>
  <c r="DI59" i="3" s="1"/>
  <c r="DA59" i="3"/>
  <c r="DB59" i="3"/>
  <c r="DC59" i="3"/>
  <c r="DD59" i="3"/>
  <c r="DE59" i="3"/>
  <c r="DF59" i="3"/>
  <c r="DG59" i="3"/>
  <c r="DH59" i="3"/>
  <c r="CW60" i="3"/>
  <c r="CX60" i="3"/>
  <c r="CY60" i="3"/>
  <c r="CZ60" i="3"/>
  <c r="DI60" i="3" s="1"/>
  <c r="DA60" i="3"/>
  <c r="DB60" i="3"/>
  <c r="DC60" i="3"/>
  <c r="DD60" i="3"/>
  <c r="DE60" i="3"/>
  <c r="DF60" i="3"/>
  <c r="DG60" i="3"/>
  <c r="DH60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CW62" i="3"/>
  <c r="CX62" i="3"/>
  <c r="CY62" i="3"/>
  <c r="CZ62" i="3"/>
  <c r="DI62" i="3" s="1"/>
  <c r="DA62" i="3"/>
  <c r="DB62" i="3"/>
  <c r="DC62" i="3"/>
  <c r="DD62" i="3"/>
  <c r="DE62" i="3"/>
  <c r="DF62" i="3"/>
  <c r="DG62" i="3"/>
  <c r="DH62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CX58" i="3"/>
  <c r="CY58" i="3"/>
  <c r="CZ58" i="3"/>
  <c r="DA58" i="3"/>
  <c r="DI58" i="3" s="1"/>
  <c r="DB58" i="3"/>
  <c r="DC58" i="3"/>
  <c r="DD58" i="3"/>
  <c r="DE58" i="3"/>
  <c r="DF58" i="3"/>
  <c r="DG58" i="3"/>
  <c r="DH58" i="3"/>
  <c r="CW58" i="3"/>
  <c r="CX55" i="3"/>
  <c r="CY55" i="3"/>
  <c r="CZ55" i="3"/>
  <c r="DI55" i="3" s="1"/>
  <c r="DA55" i="3"/>
  <c r="CW55" i="3"/>
  <c r="CV49" i="3"/>
  <c r="CW49" i="3"/>
  <c r="CX49" i="3"/>
  <c r="CY49" i="3"/>
  <c r="DI49" i="3" s="1"/>
  <c r="CZ49" i="3"/>
  <c r="DA49" i="3"/>
  <c r="DB49" i="3"/>
  <c r="DC49" i="3"/>
  <c r="DD49" i="3"/>
  <c r="DE49" i="3"/>
  <c r="DF49" i="3"/>
  <c r="DG49" i="3"/>
  <c r="DH49" i="3"/>
  <c r="CV43" i="3"/>
  <c r="CW43" i="3"/>
  <c r="DI43" i="3" s="1"/>
  <c r="CX43" i="3"/>
  <c r="CY43" i="3"/>
  <c r="CZ43" i="3"/>
  <c r="DA43" i="3"/>
  <c r="DB43" i="3"/>
  <c r="DC43" i="3"/>
  <c r="DD43" i="3"/>
  <c r="DE43" i="3"/>
  <c r="DF43" i="3"/>
  <c r="DG43" i="3"/>
  <c r="DH43" i="3"/>
  <c r="CV31" i="3"/>
  <c r="CW31" i="3"/>
  <c r="DI31" i="3" s="1"/>
  <c r="CX31" i="3"/>
  <c r="CY31" i="3"/>
  <c r="CZ31" i="3"/>
  <c r="DA31" i="3"/>
  <c r="DB31" i="3"/>
  <c r="DC31" i="3"/>
  <c r="DD31" i="3"/>
  <c r="DE31" i="3"/>
  <c r="DF31" i="3"/>
  <c r="DG31" i="3"/>
  <c r="DH31" i="3"/>
  <c r="CV25" i="3"/>
  <c r="CW25" i="3"/>
  <c r="CX25" i="3"/>
  <c r="CY25" i="3"/>
  <c r="DI25" i="3" s="1"/>
  <c r="CZ25" i="3"/>
  <c r="DA25" i="3"/>
  <c r="DB25" i="3"/>
  <c r="DC25" i="3"/>
  <c r="DD25" i="3"/>
  <c r="DE25" i="3"/>
  <c r="DF25" i="3"/>
  <c r="DG25" i="3"/>
  <c r="DH25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CV13" i="3"/>
  <c r="CW13" i="3"/>
  <c r="CX13" i="3"/>
  <c r="CY13" i="3"/>
  <c r="DI13" i="3" s="1"/>
  <c r="CZ13" i="3"/>
  <c r="DA13" i="3"/>
  <c r="DB13" i="3"/>
  <c r="DC13" i="3"/>
  <c r="DD13" i="3"/>
  <c r="DE13" i="3"/>
  <c r="DF13" i="3"/>
  <c r="DG13" i="3"/>
  <c r="DH13" i="3"/>
  <c r="CU13" i="3"/>
  <c r="DI63" i="3"/>
  <c r="DI11" i="3"/>
  <c r="DI12" i="3"/>
  <c r="DI14" i="3"/>
  <c r="DI15" i="3"/>
  <c r="DI16" i="3"/>
  <c r="DI17" i="3"/>
  <c r="DI18" i="3"/>
  <c r="DI19" i="3"/>
  <c r="DI20" i="3"/>
  <c r="DI21" i="3"/>
  <c r="DI22" i="3"/>
  <c r="DI23" i="3"/>
  <c r="DI24" i="3"/>
  <c r="DI26" i="3"/>
  <c r="DI27" i="3"/>
  <c r="DI28" i="3"/>
  <c r="DI29" i="3"/>
  <c r="DI30" i="3"/>
  <c r="DI32" i="3"/>
  <c r="DI33" i="3"/>
  <c r="DI34" i="3"/>
  <c r="DI35" i="3"/>
  <c r="DI36" i="3"/>
  <c r="DI37" i="3"/>
  <c r="DI38" i="3"/>
  <c r="DI39" i="3"/>
  <c r="DI40" i="3"/>
  <c r="DI41" i="3"/>
  <c r="DI42" i="3"/>
  <c r="DI44" i="3"/>
  <c r="DI45" i="3"/>
  <c r="DI46" i="3"/>
  <c r="DI47" i="3"/>
  <c r="DI48" i="3"/>
  <c r="DI50" i="3"/>
  <c r="DI51" i="3"/>
  <c r="DI52" i="3"/>
  <c r="DI53" i="3"/>
  <c r="DI54" i="3"/>
  <c r="DI56" i="3"/>
  <c r="DI57" i="3"/>
  <c r="DI10" i="3"/>
  <c r="CV10" i="3"/>
  <c r="CJ59" i="4" l="1"/>
  <c r="CK59" i="4"/>
  <c r="CL59" i="4"/>
  <c r="CM59" i="4"/>
  <c r="CN59" i="4"/>
  <c r="CO59" i="4"/>
  <c r="CP59" i="4"/>
  <c r="CQ59" i="4"/>
  <c r="CR59" i="4"/>
  <c r="CS59" i="4"/>
  <c r="CT59" i="4"/>
  <c r="CU59" i="4"/>
  <c r="CJ60" i="4"/>
  <c r="CK60" i="4"/>
  <c r="CV60" i="4" s="1"/>
  <c r="CL60" i="4"/>
  <c r="CM60" i="4"/>
  <c r="CN60" i="4"/>
  <c r="CO60" i="4"/>
  <c r="CP60" i="4"/>
  <c r="CQ60" i="4"/>
  <c r="CR60" i="4"/>
  <c r="CS60" i="4"/>
  <c r="CT60" i="4"/>
  <c r="CU60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J62" i="4"/>
  <c r="CK62" i="4"/>
  <c r="CL62" i="4"/>
  <c r="CM62" i="4"/>
  <c r="CV62" i="4" s="1"/>
  <c r="CN62" i="4"/>
  <c r="CO62" i="4"/>
  <c r="CP62" i="4"/>
  <c r="CQ62" i="4"/>
  <c r="CR62" i="4"/>
  <c r="CS62" i="4"/>
  <c r="CT62" i="4"/>
  <c r="CU62" i="4"/>
  <c r="CJ63" i="4"/>
  <c r="CK63" i="4"/>
  <c r="CL63" i="4"/>
  <c r="CM63" i="4"/>
  <c r="CN63" i="4"/>
  <c r="CO63" i="4"/>
  <c r="CP63" i="4"/>
  <c r="CV63" i="4" s="1"/>
  <c r="CQ63" i="4"/>
  <c r="CR63" i="4"/>
  <c r="CS63" i="4"/>
  <c r="CT63" i="4"/>
  <c r="CU63" i="4"/>
  <c r="CK58" i="4"/>
  <c r="CL58" i="4"/>
  <c r="CM58" i="4"/>
  <c r="CN58" i="4"/>
  <c r="CO58" i="4"/>
  <c r="CP58" i="4"/>
  <c r="CQ58" i="4"/>
  <c r="CR58" i="4"/>
  <c r="CS58" i="4"/>
  <c r="CT58" i="4"/>
  <c r="CU58" i="4"/>
  <c r="CJ58" i="4"/>
  <c r="CV58" i="4" s="1"/>
  <c r="CJ55" i="4"/>
  <c r="CV55" i="4" s="1"/>
  <c r="CV11" i="4"/>
  <c r="CV12" i="4"/>
  <c r="CV14" i="4"/>
  <c r="CV15" i="4"/>
  <c r="CV16" i="4"/>
  <c r="CV17" i="4"/>
  <c r="CV18" i="4"/>
  <c r="CV20" i="4"/>
  <c r="CV21" i="4"/>
  <c r="CV22" i="4"/>
  <c r="CV23" i="4"/>
  <c r="CV24" i="4"/>
  <c r="CV26" i="4"/>
  <c r="CV27" i="4"/>
  <c r="CV28" i="4"/>
  <c r="CV29" i="4"/>
  <c r="CV30" i="4"/>
  <c r="CV32" i="4"/>
  <c r="CV33" i="4"/>
  <c r="CV34" i="4"/>
  <c r="CV35" i="4"/>
  <c r="CV36" i="4"/>
  <c r="CV38" i="4"/>
  <c r="CV39" i="4"/>
  <c r="CV40" i="4"/>
  <c r="CV41" i="4"/>
  <c r="CV42" i="4"/>
  <c r="CV44" i="4"/>
  <c r="CV45" i="4"/>
  <c r="CV46" i="4"/>
  <c r="CV47" i="4"/>
  <c r="CV48" i="4"/>
  <c r="CV50" i="4"/>
  <c r="CV51" i="4"/>
  <c r="CV52" i="4"/>
  <c r="CV53" i="4"/>
  <c r="CV54" i="4"/>
  <c r="CV56" i="4"/>
  <c r="CV57" i="4"/>
  <c r="CV59" i="4"/>
  <c r="CV10" i="4"/>
  <c r="CJ19" i="4"/>
  <c r="CJ13" i="4"/>
  <c r="CN55" i="4"/>
  <c r="CM55" i="4"/>
  <c r="CL55" i="4"/>
  <c r="CK55" i="4"/>
  <c r="CU49" i="4"/>
  <c r="CT49" i="4"/>
  <c r="CS49" i="4"/>
  <c r="CR49" i="4"/>
  <c r="CQ49" i="4"/>
  <c r="CP49" i="4"/>
  <c r="CO49" i="4"/>
  <c r="CN49" i="4"/>
  <c r="CM49" i="4"/>
  <c r="CL49" i="4"/>
  <c r="CK49" i="4"/>
  <c r="CJ49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U19" i="4"/>
  <c r="CT19" i="4"/>
  <c r="CS19" i="4"/>
  <c r="CR19" i="4"/>
  <c r="CQ19" i="4"/>
  <c r="CP19" i="4"/>
  <c r="CO19" i="4"/>
  <c r="CN19" i="4"/>
  <c r="CM19" i="4"/>
  <c r="CL19" i="4"/>
  <c r="CK19" i="4"/>
  <c r="CT13" i="4"/>
  <c r="CS13" i="4"/>
  <c r="CR13" i="4"/>
  <c r="CQ13" i="4"/>
  <c r="CP13" i="4"/>
  <c r="CO13" i="4"/>
  <c r="CN13" i="4"/>
  <c r="CM13" i="4"/>
  <c r="CL13" i="4"/>
  <c r="CK13" i="4"/>
  <c r="CJ59" i="3"/>
  <c r="CK59" i="3"/>
  <c r="CL59" i="3"/>
  <c r="CM59" i="3"/>
  <c r="CV59" i="3" s="1"/>
  <c r="CN59" i="3"/>
  <c r="CO59" i="3"/>
  <c r="CP59" i="3"/>
  <c r="CQ59" i="3"/>
  <c r="CR59" i="3"/>
  <c r="CS59" i="3"/>
  <c r="CT59" i="3"/>
  <c r="CU59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J62" i="3"/>
  <c r="CK62" i="3"/>
  <c r="CL62" i="3"/>
  <c r="CM62" i="3"/>
  <c r="CV62" i="3" s="1"/>
  <c r="CN62" i="3"/>
  <c r="CO62" i="3"/>
  <c r="CP62" i="3"/>
  <c r="CQ62" i="3"/>
  <c r="CR62" i="3"/>
  <c r="CS62" i="3"/>
  <c r="CT62" i="3"/>
  <c r="CU62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K58" i="3"/>
  <c r="CL58" i="3"/>
  <c r="CV58" i="3" s="1"/>
  <c r="CM58" i="3"/>
  <c r="CN58" i="3"/>
  <c r="CO58" i="3"/>
  <c r="CP58" i="3"/>
  <c r="CQ58" i="3"/>
  <c r="CR58" i="3"/>
  <c r="CS58" i="3"/>
  <c r="CT58" i="3"/>
  <c r="CU58" i="3"/>
  <c r="CJ58" i="3"/>
  <c r="CK55" i="3"/>
  <c r="CL55" i="3"/>
  <c r="CM55" i="3"/>
  <c r="CN55" i="3"/>
  <c r="CJ55" i="3"/>
  <c r="CK49" i="3"/>
  <c r="CL49" i="3"/>
  <c r="CM49" i="3"/>
  <c r="CN49" i="3"/>
  <c r="CO49" i="3"/>
  <c r="CP49" i="3"/>
  <c r="CQ49" i="3"/>
  <c r="CR49" i="3"/>
  <c r="CS49" i="3"/>
  <c r="CT49" i="3"/>
  <c r="CU49" i="3"/>
  <c r="CJ49" i="3"/>
  <c r="CK43" i="3"/>
  <c r="CL43" i="3"/>
  <c r="CM43" i="3"/>
  <c r="CN43" i="3"/>
  <c r="CO43" i="3"/>
  <c r="CP43" i="3"/>
  <c r="CQ43" i="3"/>
  <c r="CR43" i="3"/>
  <c r="CS43" i="3"/>
  <c r="CT43" i="3"/>
  <c r="CU43" i="3"/>
  <c r="CJ43" i="3"/>
  <c r="CK37" i="3"/>
  <c r="CV37" i="3" s="1"/>
  <c r="CL37" i="3"/>
  <c r="CM37" i="3"/>
  <c r="CN37" i="3"/>
  <c r="CO37" i="3"/>
  <c r="CP37" i="3"/>
  <c r="CQ37" i="3"/>
  <c r="CR37" i="3"/>
  <c r="CS37" i="3"/>
  <c r="CT37" i="3"/>
  <c r="CU37" i="3"/>
  <c r="CJ37" i="3"/>
  <c r="CK31" i="3"/>
  <c r="CL31" i="3"/>
  <c r="CM31" i="3"/>
  <c r="CN31" i="3"/>
  <c r="CO31" i="3"/>
  <c r="CP31" i="3"/>
  <c r="CQ31" i="3"/>
  <c r="CR31" i="3"/>
  <c r="CS31" i="3"/>
  <c r="CT31" i="3"/>
  <c r="CU31" i="3"/>
  <c r="CJ31" i="3"/>
  <c r="CK25" i="3"/>
  <c r="CL25" i="3"/>
  <c r="CM25" i="3"/>
  <c r="CN25" i="3"/>
  <c r="CO25" i="3"/>
  <c r="CP25" i="3"/>
  <c r="CQ25" i="3"/>
  <c r="CR25" i="3"/>
  <c r="CS25" i="3"/>
  <c r="CT25" i="3"/>
  <c r="CU25" i="3"/>
  <c r="CJ25" i="3"/>
  <c r="CK19" i="3"/>
  <c r="CL19" i="3"/>
  <c r="CM19" i="3"/>
  <c r="CN19" i="3"/>
  <c r="CO19" i="3"/>
  <c r="CP19" i="3"/>
  <c r="CQ19" i="3"/>
  <c r="CR19" i="3"/>
  <c r="CS19" i="3"/>
  <c r="CT19" i="3"/>
  <c r="CU19" i="3"/>
  <c r="CJ19" i="3"/>
  <c r="CV11" i="3"/>
  <c r="CV12" i="3"/>
  <c r="CV14" i="3"/>
  <c r="CV15" i="3"/>
  <c r="CV16" i="3"/>
  <c r="CV17" i="3"/>
  <c r="CV18" i="3"/>
  <c r="CV20" i="3"/>
  <c r="CV21" i="3"/>
  <c r="CV22" i="3"/>
  <c r="CV23" i="3"/>
  <c r="CV24" i="3"/>
  <c r="CV26" i="3"/>
  <c r="CV27" i="3"/>
  <c r="CV28" i="3"/>
  <c r="CV29" i="3"/>
  <c r="CV30" i="3"/>
  <c r="CV32" i="3"/>
  <c r="CV33" i="3"/>
  <c r="CV34" i="3"/>
  <c r="CV35" i="3"/>
  <c r="CV36" i="3"/>
  <c r="CV38" i="3"/>
  <c r="CV39" i="3"/>
  <c r="CV40" i="3"/>
  <c r="CV41" i="3"/>
  <c r="CV42" i="3"/>
  <c r="CV44" i="3"/>
  <c r="CV45" i="3"/>
  <c r="CV46" i="3"/>
  <c r="CV47" i="3"/>
  <c r="CV48" i="3"/>
  <c r="CV50" i="3"/>
  <c r="CV51" i="3"/>
  <c r="CV52" i="3"/>
  <c r="CV53" i="3"/>
  <c r="CV54" i="3"/>
  <c r="CV55" i="3"/>
  <c r="CV56" i="3"/>
  <c r="CV57" i="3"/>
  <c r="CV60" i="3"/>
  <c r="CJ13" i="3"/>
  <c r="CK13" i="3"/>
  <c r="CL13" i="3"/>
  <c r="CM13" i="3"/>
  <c r="CN13" i="3"/>
  <c r="CO13" i="3"/>
  <c r="CP13" i="3"/>
  <c r="CQ13" i="3"/>
  <c r="CR13" i="3"/>
  <c r="CS13" i="3"/>
  <c r="CT13" i="3"/>
  <c r="CH13" i="3"/>
  <c r="CG13" i="3"/>
  <c r="CV63" i="3" l="1"/>
  <c r="CV61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BU60" i="4"/>
  <c r="BV60" i="4"/>
  <c r="BW60" i="4"/>
  <c r="BX60" i="4"/>
  <c r="BY60" i="4"/>
  <c r="BZ60" i="4"/>
  <c r="CG60" i="4" s="1"/>
  <c r="CA60" i="4"/>
  <c r="CB60" i="4"/>
  <c r="CC60" i="4"/>
  <c r="CD60" i="4"/>
  <c r="CE60" i="4"/>
  <c r="CF60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BV58" i="4"/>
  <c r="BW58" i="4"/>
  <c r="BX58" i="4"/>
  <c r="BY58" i="4"/>
  <c r="BZ58" i="4"/>
  <c r="CA58" i="4"/>
  <c r="CB58" i="4"/>
  <c r="CC58" i="4"/>
  <c r="CD58" i="4"/>
  <c r="CE58" i="4"/>
  <c r="CF58" i="4"/>
  <c r="BU58" i="4"/>
  <c r="BU37" i="4"/>
  <c r="BU13" i="4"/>
  <c r="BT55" i="4"/>
  <c r="BU55" i="4"/>
  <c r="BV55" i="4"/>
  <c r="BW55" i="4"/>
  <c r="BX55" i="4"/>
  <c r="BY55" i="4"/>
  <c r="BT49" i="4"/>
  <c r="BU49" i="4"/>
  <c r="BV49" i="4"/>
  <c r="BW49" i="4"/>
  <c r="CG49" i="4" s="1"/>
  <c r="BX49" i="4"/>
  <c r="BY49" i="4"/>
  <c r="BZ49" i="4"/>
  <c r="CA49" i="4"/>
  <c r="CB49" i="4"/>
  <c r="CC49" i="4"/>
  <c r="CD49" i="4"/>
  <c r="CE49" i="4"/>
  <c r="CF49" i="4"/>
  <c r="BT43" i="4"/>
  <c r="BU43" i="4"/>
  <c r="CG43" i="4" s="1"/>
  <c r="BV43" i="4"/>
  <c r="BW43" i="4"/>
  <c r="BX43" i="4"/>
  <c r="BY43" i="4"/>
  <c r="BZ43" i="4"/>
  <c r="CA43" i="4"/>
  <c r="CB43" i="4"/>
  <c r="CC43" i="4"/>
  <c r="CD43" i="4"/>
  <c r="CE43" i="4"/>
  <c r="CF43" i="4"/>
  <c r="BT37" i="4"/>
  <c r="BV37" i="4"/>
  <c r="BW37" i="4"/>
  <c r="BX37" i="4"/>
  <c r="BY37" i="4"/>
  <c r="BZ37" i="4"/>
  <c r="CA37" i="4"/>
  <c r="CB37" i="4"/>
  <c r="CC37" i="4"/>
  <c r="CD37" i="4"/>
  <c r="CE37" i="4"/>
  <c r="CF37" i="4"/>
  <c r="BT31" i="4"/>
  <c r="BU31" i="4"/>
  <c r="CG31" i="4" s="1"/>
  <c r="BV31" i="4"/>
  <c r="BW31" i="4"/>
  <c r="BX31" i="4"/>
  <c r="BY31" i="4"/>
  <c r="BZ31" i="4"/>
  <c r="CA31" i="4"/>
  <c r="CB31" i="4"/>
  <c r="CC31" i="4"/>
  <c r="CD31" i="4"/>
  <c r="CE31" i="4"/>
  <c r="CF31" i="4"/>
  <c r="BT25" i="4"/>
  <c r="BU25" i="4"/>
  <c r="CG25" i="4" s="1"/>
  <c r="BV25" i="4"/>
  <c r="BW25" i="4"/>
  <c r="BX25" i="4"/>
  <c r="BY25" i="4"/>
  <c r="BZ25" i="4"/>
  <c r="CA25" i="4"/>
  <c r="CB25" i="4"/>
  <c r="CC25" i="4"/>
  <c r="CD25" i="4"/>
  <c r="CE25" i="4"/>
  <c r="CF25" i="4"/>
  <c r="BT19" i="4"/>
  <c r="BU19" i="4"/>
  <c r="CG19" i="4" s="1"/>
  <c r="BV19" i="4"/>
  <c r="BW19" i="4"/>
  <c r="BX19" i="4"/>
  <c r="BY19" i="4"/>
  <c r="BZ19" i="4"/>
  <c r="CA19" i="4"/>
  <c r="CB19" i="4"/>
  <c r="CC19" i="4"/>
  <c r="CD19" i="4"/>
  <c r="CE19" i="4"/>
  <c r="CF19" i="4"/>
  <c r="BT13" i="4"/>
  <c r="BV13" i="4"/>
  <c r="BW13" i="4"/>
  <c r="BX13" i="4"/>
  <c r="BY13" i="4"/>
  <c r="BZ13" i="4"/>
  <c r="CA13" i="4"/>
  <c r="CB13" i="4"/>
  <c r="CC13" i="4"/>
  <c r="CD13" i="4"/>
  <c r="CE13" i="4"/>
  <c r="CF13" i="4"/>
  <c r="BS13" i="4"/>
  <c r="CG11" i="4"/>
  <c r="CG12" i="4"/>
  <c r="CG14" i="4"/>
  <c r="CG15" i="4"/>
  <c r="CG16" i="4"/>
  <c r="CG17" i="4"/>
  <c r="CG18" i="4"/>
  <c r="CG20" i="4"/>
  <c r="CG21" i="4"/>
  <c r="CG22" i="4"/>
  <c r="CG23" i="4"/>
  <c r="CG24" i="4"/>
  <c r="CG26" i="4"/>
  <c r="CG27" i="4"/>
  <c r="CG28" i="4"/>
  <c r="CG29" i="4"/>
  <c r="CG30" i="4"/>
  <c r="CG32" i="4"/>
  <c r="CG33" i="4"/>
  <c r="CG34" i="4"/>
  <c r="CG35" i="4"/>
  <c r="CG36" i="4"/>
  <c r="CG38" i="4"/>
  <c r="CG39" i="4"/>
  <c r="CG40" i="4"/>
  <c r="CG41" i="4"/>
  <c r="CG42" i="4"/>
  <c r="CG44" i="4"/>
  <c r="CG45" i="4"/>
  <c r="CG46" i="4"/>
  <c r="CG47" i="4"/>
  <c r="CG48" i="4"/>
  <c r="CG50" i="4"/>
  <c r="CG51" i="4"/>
  <c r="CG52" i="4"/>
  <c r="CG53" i="4"/>
  <c r="CG54" i="4"/>
  <c r="CG55" i="4"/>
  <c r="CG56" i="4"/>
  <c r="CG57" i="4"/>
  <c r="CG10" i="4"/>
  <c r="BU59" i="3"/>
  <c r="BV59" i="3"/>
  <c r="BW59" i="3"/>
  <c r="BX59" i="3"/>
  <c r="BY59" i="3"/>
  <c r="BZ59" i="3"/>
  <c r="CA59" i="3"/>
  <c r="CB59" i="3"/>
  <c r="CC59" i="3"/>
  <c r="CD59" i="3"/>
  <c r="CE59" i="3"/>
  <c r="CF59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BU62" i="3"/>
  <c r="BV62" i="3"/>
  <c r="BW62" i="3"/>
  <c r="BX62" i="3"/>
  <c r="BY62" i="3"/>
  <c r="BZ62" i="3"/>
  <c r="CA62" i="3"/>
  <c r="CG62" i="3" s="1"/>
  <c r="CB62" i="3"/>
  <c r="CC62" i="3"/>
  <c r="CD62" i="3"/>
  <c r="CE62" i="3"/>
  <c r="CF62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BV58" i="3"/>
  <c r="BW58" i="3"/>
  <c r="BX58" i="3"/>
  <c r="BY58" i="3"/>
  <c r="BZ58" i="3"/>
  <c r="CA58" i="3"/>
  <c r="CB58" i="3"/>
  <c r="CC58" i="3"/>
  <c r="CD58" i="3"/>
  <c r="CE58" i="3"/>
  <c r="CF58" i="3"/>
  <c r="BU58" i="3"/>
  <c r="CG11" i="3"/>
  <c r="CG12" i="3"/>
  <c r="CG14" i="3"/>
  <c r="CG15" i="3"/>
  <c r="CG16" i="3"/>
  <c r="CG17" i="3"/>
  <c r="CG18" i="3"/>
  <c r="CG19" i="3"/>
  <c r="CG20" i="3"/>
  <c r="CG21" i="3"/>
  <c r="CG22" i="3"/>
  <c r="CG23" i="3"/>
  <c r="CG24" i="3"/>
  <c r="CG25" i="3"/>
  <c r="CG26" i="3"/>
  <c r="CG27" i="3"/>
  <c r="CG28" i="3"/>
  <c r="CG29" i="3"/>
  <c r="CG30" i="3"/>
  <c r="CG31" i="3"/>
  <c r="CG32" i="3"/>
  <c r="CG33" i="3"/>
  <c r="CG34" i="3"/>
  <c r="CG35" i="3"/>
  <c r="CG36" i="3"/>
  <c r="CG37" i="3"/>
  <c r="CG38" i="3"/>
  <c r="CG39" i="3"/>
  <c r="CG40" i="3"/>
  <c r="CG41" i="3"/>
  <c r="CG42" i="3"/>
  <c r="CG43" i="3"/>
  <c r="CG44" i="3"/>
  <c r="CG45" i="3"/>
  <c r="CG46" i="3"/>
  <c r="CG47" i="3"/>
  <c r="CG48" i="3"/>
  <c r="CG49" i="3"/>
  <c r="CG50" i="3"/>
  <c r="CG51" i="3"/>
  <c r="CG52" i="3"/>
  <c r="CG53" i="3"/>
  <c r="CG54" i="3"/>
  <c r="CG55" i="3"/>
  <c r="CG56" i="3"/>
  <c r="CG57" i="3"/>
  <c r="CG10" i="3"/>
  <c r="BT10" i="3"/>
  <c r="BT55" i="3"/>
  <c r="BU55" i="3"/>
  <c r="BV55" i="3"/>
  <c r="BW55" i="3"/>
  <c r="BX55" i="3"/>
  <c r="BY55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BT21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BS13" i="3"/>
  <c r="CG63" i="4" l="1"/>
  <c r="CG62" i="4"/>
  <c r="CG59" i="4"/>
  <c r="CG60" i="3"/>
  <c r="CG59" i="3"/>
  <c r="CG58" i="3"/>
  <c r="CG63" i="3"/>
  <c r="CG61" i="3"/>
  <c r="CG37" i="4"/>
  <c r="CG13" i="4"/>
  <c r="CG58" i="4"/>
  <c r="BH59" i="4" l="1"/>
  <c r="BI59" i="4"/>
  <c r="BJ59" i="4"/>
  <c r="BK59" i="4"/>
  <c r="BL59" i="4"/>
  <c r="BM59" i="4"/>
  <c r="BN59" i="4"/>
  <c r="BO59" i="4"/>
  <c r="BP59" i="4"/>
  <c r="BQ59" i="4"/>
  <c r="BR59" i="4"/>
  <c r="BS59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I58" i="4"/>
  <c r="BJ58" i="4"/>
  <c r="BK58" i="4"/>
  <c r="BL58" i="4"/>
  <c r="BM58" i="4"/>
  <c r="BN58" i="4"/>
  <c r="BO58" i="4"/>
  <c r="BP58" i="4"/>
  <c r="BQ58" i="4"/>
  <c r="BR58" i="4"/>
  <c r="BS58" i="4"/>
  <c r="BH58" i="4"/>
  <c r="BI55" i="4"/>
  <c r="BJ55" i="4"/>
  <c r="BK55" i="4"/>
  <c r="BL55" i="4"/>
  <c r="BH55" i="4"/>
  <c r="BI49" i="4"/>
  <c r="BJ49" i="4"/>
  <c r="BK49" i="4"/>
  <c r="BL49" i="4"/>
  <c r="BM49" i="4"/>
  <c r="BN49" i="4"/>
  <c r="BO49" i="4"/>
  <c r="BP49" i="4"/>
  <c r="BQ49" i="4"/>
  <c r="BR49" i="4"/>
  <c r="BS49" i="4"/>
  <c r="BH49" i="4"/>
  <c r="BI43" i="4"/>
  <c r="BJ43" i="4"/>
  <c r="BK43" i="4"/>
  <c r="BL43" i="4"/>
  <c r="BM43" i="4"/>
  <c r="BN43" i="4"/>
  <c r="BO43" i="4"/>
  <c r="BP43" i="4"/>
  <c r="BQ43" i="4"/>
  <c r="BR43" i="4"/>
  <c r="BS43" i="4"/>
  <c r="BH43" i="4"/>
  <c r="BI37" i="4"/>
  <c r="BJ37" i="4"/>
  <c r="BK37" i="4"/>
  <c r="BL37" i="4"/>
  <c r="BM37" i="4"/>
  <c r="BN37" i="4"/>
  <c r="BO37" i="4"/>
  <c r="BP37" i="4"/>
  <c r="BQ37" i="4"/>
  <c r="BR37" i="4"/>
  <c r="BS37" i="4"/>
  <c r="BH37" i="4"/>
  <c r="BI31" i="4"/>
  <c r="BJ31" i="4"/>
  <c r="BK31" i="4"/>
  <c r="BL31" i="4"/>
  <c r="BM31" i="4"/>
  <c r="BN31" i="4"/>
  <c r="BO31" i="4"/>
  <c r="BP31" i="4"/>
  <c r="BQ31" i="4"/>
  <c r="BR31" i="4"/>
  <c r="BS31" i="4"/>
  <c r="BH31" i="4"/>
  <c r="BI25" i="4"/>
  <c r="BJ25" i="4"/>
  <c r="BK25" i="4"/>
  <c r="BL25" i="4"/>
  <c r="BM25" i="4"/>
  <c r="BN25" i="4"/>
  <c r="BO25" i="4"/>
  <c r="BP25" i="4"/>
  <c r="BQ25" i="4"/>
  <c r="BR25" i="4"/>
  <c r="BS25" i="4"/>
  <c r="BH25" i="4"/>
  <c r="BI19" i="4"/>
  <c r="BJ19" i="4"/>
  <c r="BK19" i="4"/>
  <c r="BL19" i="4"/>
  <c r="BM19" i="4"/>
  <c r="BN19" i="4"/>
  <c r="BO19" i="4"/>
  <c r="BP19" i="4"/>
  <c r="BQ19" i="4"/>
  <c r="BR19" i="4"/>
  <c r="BS19" i="4"/>
  <c r="BH19" i="4"/>
  <c r="BI13" i="4"/>
  <c r="BJ13" i="4"/>
  <c r="BK13" i="4"/>
  <c r="BL13" i="4"/>
  <c r="BM13" i="4"/>
  <c r="BN13" i="4"/>
  <c r="BO13" i="4"/>
  <c r="BP13" i="4"/>
  <c r="BQ13" i="4"/>
  <c r="BR13" i="4"/>
  <c r="BH13" i="4"/>
  <c r="BT11" i="4"/>
  <c r="BT12" i="4"/>
  <c r="BT14" i="4"/>
  <c r="BT15" i="4"/>
  <c r="BT16" i="4"/>
  <c r="BT17" i="4"/>
  <c r="BT18" i="4"/>
  <c r="BT20" i="4"/>
  <c r="BT21" i="4"/>
  <c r="BT22" i="4"/>
  <c r="BT23" i="4"/>
  <c r="BT24" i="4"/>
  <c r="BT26" i="4"/>
  <c r="BT27" i="4"/>
  <c r="BT28" i="4"/>
  <c r="BT29" i="4"/>
  <c r="BT30" i="4"/>
  <c r="BT32" i="4"/>
  <c r="BT33" i="4"/>
  <c r="BT34" i="4"/>
  <c r="BT35" i="4"/>
  <c r="BT36" i="4"/>
  <c r="BT38" i="4"/>
  <c r="BT39" i="4"/>
  <c r="BT40" i="4"/>
  <c r="BT41" i="4"/>
  <c r="BT42" i="4"/>
  <c r="BT44" i="4"/>
  <c r="BT45" i="4"/>
  <c r="BT46" i="4"/>
  <c r="BT47" i="4"/>
  <c r="BT48" i="4"/>
  <c r="BT50" i="4"/>
  <c r="BT51" i="4"/>
  <c r="BT52" i="4"/>
  <c r="BT53" i="4"/>
  <c r="BT54" i="4"/>
  <c r="BT56" i="4"/>
  <c r="BT57" i="4"/>
  <c r="BT60" i="4"/>
  <c r="BT10" i="4"/>
  <c r="CH10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I58" i="3"/>
  <c r="BJ58" i="3"/>
  <c r="BK58" i="3"/>
  <c r="BL58" i="3"/>
  <c r="BM58" i="3"/>
  <c r="BN58" i="3"/>
  <c r="BO58" i="3"/>
  <c r="BP58" i="3"/>
  <c r="BQ58" i="3"/>
  <c r="BR58" i="3"/>
  <c r="BS58" i="3"/>
  <c r="BH58" i="3"/>
  <c r="BI55" i="3"/>
  <c r="BJ55" i="3"/>
  <c r="BK55" i="3"/>
  <c r="BL55" i="3"/>
  <c r="BH55" i="3"/>
  <c r="BI49" i="3"/>
  <c r="BJ49" i="3"/>
  <c r="BK49" i="3"/>
  <c r="BL49" i="3"/>
  <c r="BM49" i="3"/>
  <c r="BN49" i="3"/>
  <c r="BO49" i="3"/>
  <c r="BP49" i="3"/>
  <c r="BQ49" i="3"/>
  <c r="BR49" i="3"/>
  <c r="BS49" i="3"/>
  <c r="BH49" i="3"/>
  <c r="BI43" i="3"/>
  <c r="BJ43" i="3"/>
  <c r="BK43" i="3"/>
  <c r="BL43" i="3"/>
  <c r="BM43" i="3"/>
  <c r="BN43" i="3"/>
  <c r="BO43" i="3"/>
  <c r="BP43" i="3"/>
  <c r="BQ43" i="3"/>
  <c r="BR43" i="3"/>
  <c r="BS43" i="3"/>
  <c r="BH43" i="3"/>
  <c r="BI37" i="3"/>
  <c r="BJ37" i="3"/>
  <c r="BK37" i="3"/>
  <c r="BL37" i="3"/>
  <c r="BM37" i="3"/>
  <c r="BN37" i="3"/>
  <c r="BO37" i="3"/>
  <c r="BP37" i="3"/>
  <c r="BQ37" i="3"/>
  <c r="BR37" i="3"/>
  <c r="BS37" i="3"/>
  <c r="BH37" i="3"/>
  <c r="BI31" i="3"/>
  <c r="BJ31" i="3"/>
  <c r="BK31" i="3"/>
  <c r="BL31" i="3"/>
  <c r="BM31" i="3"/>
  <c r="BN31" i="3"/>
  <c r="BO31" i="3"/>
  <c r="BP31" i="3"/>
  <c r="BQ31" i="3"/>
  <c r="BR31" i="3"/>
  <c r="BS31" i="3"/>
  <c r="BH31" i="3"/>
  <c r="BI25" i="3"/>
  <c r="BJ25" i="3"/>
  <c r="BK25" i="3"/>
  <c r="BL25" i="3"/>
  <c r="BM25" i="3"/>
  <c r="BN25" i="3"/>
  <c r="BO25" i="3"/>
  <c r="BP25" i="3"/>
  <c r="BQ25" i="3"/>
  <c r="BR25" i="3"/>
  <c r="BS25" i="3"/>
  <c r="BH25" i="3"/>
  <c r="BI19" i="3"/>
  <c r="BJ19" i="3"/>
  <c r="BK19" i="3"/>
  <c r="BL19" i="3"/>
  <c r="BM19" i="3"/>
  <c r="BN19" i="3"/>
  <c r="BO19" i="3"/>
  <c r="BP19" i="3"/>
  <c r="BQ19" i="3"/>
  <c r="BR19" i="3"/>
  <c r="BS19" i="3"/>
  <c r="BH19" i="3"/>
  <c r="BI13" i="3"/>
  <c r="BJ13" i="3"/>
  <c r="BK13" i="3"/>
  <c r="BL13" i="3"/>
  <c r="BM13" i="3"/>
  <c r="BN13" i="3"/>
  <c r="BO13" i="3"/>
  <c r="BP13" i="3"/>
  <c r="BQ13" i="3"/>
  <c r="BR13" i="3"/>
  <c r="BH13" i="3"/>
  <c r="BT11" i="3"/>
  <c r="BT12" i="3"/>
  <c r="BT14" i="3"/>
  <c r="BT15" i="3"/>
  <c r="BT16" i="3"/>
  <c r="BT17" i="3"/>
  <c r="BT18" i="3"/>
  <c r="BT20" i="3"/>
  <c r="BT22" i="3"/>
  <c r="BT23" i="3"/>
  <c r="BT24" i="3"/>
  <c r="BT26" i="3"/>
  <c r="BT27" i="3"/>
  <c r="BT28" i="3"/>
  <c r="BT29" i="3"/>
  <c r="BT30" i="3"/>
  <c r="BT32" i="3"/>
  <c r="BT33" i="3"/>
  <c r="BT34" i="3"/>
  <c r="BT35" i="3"/>
  <c r="BT36" i="3"/>
  <c r="BT38" i="3"/>
  <c r="BT39" i="3"/>
  <c r="BT40" i="3"/>
  <c r="BT41" i="3"/>
  <c r="BT42" i="3"/>
  <c r="BT44" i="3"/>
  <c r="BT45" i="3"/>
  <c r="BT46" i="3"/>
  <c r="BT47" i="3"/>
  <c r="BT48" i="3"/>
  <c r="BT50" i="3"/>
  <c r="BT51" i="3"/>
  <c r="BT52" i="3"/>
  <c r="BT53" i="3"/>
  <c r="BT54" i="3"/>
  <c r="BT56" i="3"/>
  <c r="BT57" i="3"/>
  <c r="BT62" i="3"/>
  <c r="CH62" i="3" s="1"/>
  <c r="BT63" i="4" l="1"/>
  <c r="BT58" i="4"/>
  <c r="BT62" i="4"/>
  <c r="BT59" i="4"/>
  <c r="BT63" i="3"/>
  <c r="BT59" i="3"/>
  <c r="BT58" i="3"/>
  <c r="BT60" i="3"/>
  <c r="AR34" i="4"/>
  <c r="BF34" i="4"/>
  <c r="AF59" i="4"/>
  <c r="AG59" i="4"/>
  <c r="AH59" i="4"/>
  <c r="AI59" i="4"/>
  <c r="AR59" i="4" s="1"/>
  <c r="AJ59" i="4"/>
  <c r="AK59" i="4"/>
  <c r="AL59" i="4"/>
  <c r="AM59" i="4"/>
  <c r="AN59" i="4"/>
  <c r="AO59" i="4"/>
  <c r="AP59" i="4"/>
  <c r="AQ59" i="4"/>
  <c r="AF60" i="4"/>
  <c r="AG60" i="4"/>
  <c r="AH60" i="4"/>
  <c r="AI60" i="4"/>
  <c r="AR60" i="4" s="1"/>
  <c r="AJ60" i="4"/>
  <c r="AK60" i="4"/>
  <c r="AL60" i="4"/>
  <c r="AM60" i="4"/>
  <c r="AN60" i="4"/>
  <c r="AO60" i="4"/>
  <c r="AP60" i="4"/>
  <c r="AQ60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F62" i="4"/>
  <c r="AG62" i="4"/>
  <c r="AH62" i="4"/>
  <c r="AI62" i="4"/>
  <c r="AJ62" i="4"/>
  <c r="AK62" i="4"/>
  <c r="AR62" i="4" s="1"/>
  <c r="AL62" i="4"/>
  <c r="AM62" i="4"/>
  <c r="AN62" i="4"/>
  <c r="AO62" i="4"/>
  <c r="AP62" i="4"/>
  <c r="AQ62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G58" i="4"/>
  <c r="AH58" i="4"/>
  <c r="AI58" i="4"/>
  <c r="AJ58" i="4"/>
  <c r="AK58" i="4"/>
  <c r="AL58" i="4"/>
  <c r="AM58" i="4"/>
  <c r="AN58" i="4"/>
  <c r="AO58" i="4"/>
  <c r="AP58" i="4"/>
  <c r="AQ58" i="4"/>
  <c r="AF58" i="4"/>
  <c r="AF55" i="4"/>
  <c r="AR55" i="4" s="1"/>
  <c r="AF49" i="4"/>
  <c r="AG43" i="4"/>
  <c r="AH43" i="4"/>
  <c r="AI43" i="4"/>
  <c r="AJ43" i="4"/>
  <c r="AK43" i="4"/>
  <c r="AL43" i="4"/>
  <c r="AM43" i="4"/>
  <c r="AN43" i="4"/>
  <c r="AO43" i="4"/>
  <c r="AP43" i="4"/>
  <c r="AQ43" i="4"/>
  <c r="AF43" i="4"/>
  <c r="AG37" i="4"/>
  <c r="AR37" i="4" s="1"/>
  <c r="AH37" i="4"/>
  <c r="AI37" i="4"/>
  <c r="AJ37" i="4"/>
  <c r="AK37" i="4"/>
  <c r="AL37" i="4"/>
  <c r="AM37" i="4"/>
  <c r="AN37" i="4"/>
  <c r="AO37" i="4"/>
  <c r="AP37" i="4"/>
  <c r="AQ37" i="4"/>
  <c r="AF37" i="4"/>
  <c r="AG31" i="4"/>
  <c r="AH31" i="4"/>
  <c r="AR31" i="4" s="1"/>
  <c r="AI31" i="4"/>
  <c r="AJ31" i="4"/>
  <c r="AK31" i="4"/>
  <c r="AL31" i="4"/>
  <c r="AM31" i="4"/>
  <c r="AN31" i="4"/>
  <c r="AO31" i="4"/>
  <c r="AP31" i="4"/>
  <c r="AQ31" i="4"/>
  <c r="AF31" i="4"/>
  <c r="AG25" i="4"/>
  <c r="AH25" i="4"/>
  <c r="AI25" i="4"/>
  <c r="AJ25" i="4"/>
  <c r="AR25" i="4" s="1"/>
  <c r="AK25" i="4"/>
  <c r="AL25" i="4"/>
  <c r="AM25" i="4"/>
  <c r="AN25" i="4"/>
  <c r="AO25" i="4"/>
  <c r="AP25" i="4"/>
  <c r="AQ25" i="4"/>
  <c r="AF25" i="4"/>
  <c r="AG19" i="4"/>
  <c r="AH19" i="4"/>
  <c r="AI19" i="4"/>
  <c r="AJ19" i="4"/>
  <c r="AK19" i="4"/>
  <c r="AL19" i="4"/>
  <c r="AM19" i="4"/>
  <c r="AN19" i="4"/>
  <c r="AO19" i="4"/>
  <c r="AP19" i="4"/>
  <c r="AQ19" i="4"/>
  <c r="AF19" i="4"/>
  <c r="AG13" i="4"/>
  <c r="AH13" i="4"/>
  <c r="AI13" i="4"/>
  <c r="AJ13" i="4"/>
  <c r="AK13" i="4"/>
  <c r="AL13" i="4"/>
  <c r="AM13" i="4"/>
  <c r="AN13" i="4"/>
  <c r="AO13" i="4"/>
  <c r="AP13" i="4"/>
  <c r="AQ13" i="4"/>
  <c r="AF13" i="4"/>
  <c r="AR13" i="4" s="1"/>
  <c r="AR11" i="4"/>
  <c r="AR12" i="4"/>
  <c r="AR14" i="4"/>
  <c r="AR15" i="4"/>
  <c r="AR16" i="4"/>
  <c r="AR17" i="4"/>
  <c r="AR18" i="4"/>
  <c r="AR19" i="4"/>
  <c r="AR20" i="4"/>
  <c r="AR21" i="4"/>
  <c r="AR22" i="4"/>
  <c r="AR23" i="4"/>
  <c r="AR24" i="4"/>
  <c r="AR26" i="4"/>
  <c r="AR27" i="4"/>
  <c r="AR28" i="4"/>
  <c r="AR29" i="4"/>
  <c r="AR30" i="4"/>
  <c r="AR32" i="4"/>
  <c r="AR33" i="4"/>
  <c r="AR35" i="4"/>
  <c r="AR36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6" i="4"/>
  <c r="AR57" i="4"/>
  <c r="AR58" i="4"/>
  <c r="AR10" i="4"/>
  <c r="AJ55" i="4"/>
  <c r="AI55" i="4"/>
  <c r="AH55" i="4"/>
  <c r="AG55" i="4"/>
  <c r="AQ49" i="4"/>
  <c r="AP49" i="4"/>
  <c r="AO49" i="4"/>
  <c r="AN49" i="4"/>
  <c r="AM49" i="4"/>
  <c r="AL49" i="4"/>
  <c r="AK49" i="4"/>
  <c r="AJ49" i="4"/>
  <c r="AI49" i="4"/>
  <c r="AH49" i="4"/>
  <c r="AG49" i="4"/>
  <c r="AR58" i="3"/>
  <c r="AF59" i="3"/>
  <c r="AG59" i="3"/>
  <c r="AH59" i="3"/>
  <c r="AI59" i="3"/>
  <c r="AR59" i="3" s="1"/>
  <c r="AJ59" i="3"/>
  <c r="AK59" i="3"/>
  <c r="AL59" i="3"/>
  <c r="AM59" i="3"/>
  <c r="AN59" i="3"/>
  <c r="AO59" i="3"/>
  <c r="AP59" i="3"/>
  <c r="AQ59" i="3"/>
  <c r="AF60" i="3"/>
  <c r="AG60" i="3"/>
  <c r="AH60" i="3"/>
  <c r="AI60" i="3"/>
  <c r="AR60" i="3" s="1"/>
  <c r="AJ60" i="3"/>
  <c r="AK60" i="3"/>
  <c r="AL60" i="3"/>
  <c r="AM60" i="3"/>
  <c r="AN60" i="3"/>
  <c r="AO60" i="3"/>
  <c r="AP60" i="3"/>
  <c r="AQ60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F63" i="3"/>
  <c r="AG63" i="3"/>
  <c r="AH63" i="3"/>
  <c r="AI63" i="3"/>
  <c r="AR63" i="3" s="1"/>
  <c r="AJ63" i="3"/>
  <c r="AK63" i="3"/>
  <c r="AL63" i="3"/>
  <c r="AM63" i="3"/>
  <c r="AN63" i="3"/>
  <c r="AO63" i="3"/>
  <c r="AP63" i="3"/>
  <c r="AQ63" i="3"/>
  <c r="AG58" i="3"/>
  <c r="AH58" i="3"/>
  <c r="AI58" i="3"/>
  <c r="AJ58" i="3"/>
  <c r="AK58" i="3"/>
  <c r="AL58" i="3"/>
  <c r="AM58" i="3"/>
  <c r="AN58" i="3"/>
  <c r="AO58" i="3"/>
  <c r="AP58" i="3"/>
  <c r="AQ58" i="3"/>
  <c r="AF58" i="3"/>
  <c r="AF49" i="3"/>
  <c r="AG43" i="3"/>
  <c r="AH43" i="3"/>
  <c r="AI43" i="3"/>
  <c r="AJ43" i="3"/>
  <c r="AK43" i="3"/>
  <c r="AL43" i="3"/>
  <c r="AM43" i="3"/>
  <c r="AN43" i="3"/>
  <c r="AO43" i="3"/>
  <c r="AP43" i="3"/>
  <c r="AQ43" i="3"/>
  <c r="AF43" i="3"/>
  <c r="AG37" i="3"/>
  <c r="AH37" i="3"/>
  <c r="AI37" i="3"/>
  <c r="AJ37" i="3"/>
  <c r="AK37" i="3"/>
  <c r="AL37" i="3"/>
  <c r="AM37" i="3"/>
  <c r="AN37" i="3"/>
  <c r="AO37" i="3"/>
  <c r="AP37" i="3"/>
  <c r="AQ37" i="3"/>
  <c r="AF37" i="3"/>
  <c r="AG31" i="3"/>
  <c r="AH31" i="3"/>
  <c r="AI31" i="3"/>
  <c r="AJ31" i="3"/>
  <c r="AR31" i="3" s="1"/>
  <c r="AK31" i="3"/>
  <c r="AL31" i="3"/>
  <c r="AM31" i="3"/>
  <c r="AN31" i="3"/>
  <c r="AO31" i="3"/>
  <c r="AP31" i="3"/>
  <c r="AQ31" i="3"/>
  <c r="AF31" i="3"/>
  <c r="AG25" i="3"/>
  <c r="AH25" i="3"/>
  <c r="AI25" i="3"/>
  <c r="AJ25" i="3"/>
  <c r="AK25" i="3"/>
  <c r="AL25" i="3"/>
  <c r="AM25" i="3"/>
  <c r="AN25" i="3"/>
  <c r="AO25" i="3"/>
  <c r="AP25" i="3"/>
  <c r="AQ25" i="3"/>
  <c r="AF25" i="3"/>
  <c r="AR25" i="3" s="1"/>
  <c r="AG19" i="3"/>
  <c r="AH19" i="3"/>
  <c r="AI19" i="3"/>
  <c r="AJ19" i="3"/>
  <c r="AK19" i="3"/>
  <c r="AL19" i="3"/>
  <c r="AM19" i="3"/>
  <c r="AN19" i="3"/>
  <c r="AO19" i="3"/>
  <c r="AP19" i="3"/>
  <c r="AQ19" i="3"/>
  <c r="AF19" i="3"/>
  <c r="AG13" i="3"/>
  <c r="AH13" i="3"/>
  <c r="AI13" i="3"/>
  <c r="AJ13" i="3"/>
  <c r="AK13" i="3"/>
  <c r="AL13" i="3"/>
  <c r="AM13" i="3"/>
  <c r="AN13" i="3"/>
  <c r="AO13" i="3"/>
  <c r="AP13" i="3"/>
  <c r="AQ13" i="3"/>
  <c r="AF13" i="3"/>
  <c r="AR11" i="3"/>
  <c r="AR12" i="3"/>
  <c r="AR14" i="3"/>
  <c r="AR15" i="3"/>
  <c r="AR16" i="3"/>
  <c r="AR17" i="3"/>
  <c r="AR18" i="3"/>
  <c r="AR19" i="3"/>
  <c r="AR20" i="3"/>
  <c r="AR21" i="3"/>
  <c r="AR22" i="3"/>
  <c r="AR23" i="3"/>
  <c r="AR24" i="3"/>
  <c r="AR26" i="3"/>
  <c r="AR27" i="3"/>
  <c r="AR28" i="3"/>
  <c r="AR29" i="3"/>
  <c r="AR30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62" i="3"/>
  <c r="AR10" i="3"/>
  <c r="BE10" i="3"/>
  <c r="AJ55" i="3"/>
  <c r="AI55" i="3"/>
  <c r="AH55" i="3"/>
  <c r="AG55" i="3"/>
  <c r="AF55" i="3"/>
  <c r="AQ49" i="3"/>
  <c r="AP49" i="3"/>
  <c r="AO49" i="3"/>
  <c r="AN49" i="3"/>
  <c r="AM49" i="3"/>
  <c r="AL49" i="3"/>
  <c r="AK49" i="3"/>
  <c r="AJ49" i="3"/>
  <c r="AI49" i="3"/>
  <c r="AH49" i="3"/>
  <c r="AG49" i="3"/>
  <c r="AR63" i="4" l="1"/>
  <c r="AR13" i="3"/>
  <c r="AR61" i="3" l="1"/>
  <c r="AS59" i="4" l="1"/>
  <c r="AT59" i="4"/>
  <c r="AU59" i="4"/>
  <c r="AV59" i="4"/>
  <c r="BE59" i="4" s="1"/>
  <c r="AW59" i="4"/>
  <c r="AX59" i="4"/>
  <c r="AY59" i="4"/>
  <c r="AZ59" i="4"/>
  <c r="BA59" i="4"/>
  <c r="BB59" i="4"/>
  <c r="BC59" i="4"/>
  <c r="BD59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AT58" i="4"/>
  <c r="BE58" i="4" s="1"/>
  <c r="AU58" i="4"/>
  <c r="AV58" i="4"/>
  <c r="AW58" i="4"/>
  <c r="AX58" i="4"/>
  <c r="AY58" i="4"/>
  <c r="AZ58" i="4"/>
  <c r="BA58" i="4"/>
  <c r="BB58" i="4"/>
  <c r="BC58" i="4"/>
  <c r="BD58" i="4"/>
  <c r="AS58" i="4"/>
  <c r="AS55" i="4"/>
  <c r="AS49" i="4"/>
  <c r="AS43" i="4"/>
  <c r="BE43" i="4" s="1"/>
  <c r="BE37" i="4"/>
  <c r="AS37" i="4"/>
  <c r="AT31" i="4"/>
  <c r="AU31" i="4"/>
  <c r="AV31" i="4"/>
  <c r="AW31" i="4"/>
  <c r="BE31" i="4" s="1"/>
  <c r="AX31" i="4"/>
  <c r="AY31" i="4"/>
  <c r="AZ31" i="4"/>
  <c r="BA31" i="4"/>
  <c r="BB31" i="4"/>
  <c r="BC31" i="4"/>
  <c r="BD31" i="4"/>
  <c r="AS31" i="4"/>
  <c r="AT25" i="4"/>
  <c r="AU25" i="4"/>
  <c r="AV25" i="4"/>
  <c r="AW25" i="4"/>
  <c r="AX25" i="4"/>
  <c r="AY25" i="4"/>
  <c r="AZ25" i="4"/>
  <c r="BA25" i="4"/>
  <c r="BB25" i="4"/>
  <c r="BC25" i="4"/>
  <c r="BD25" i="4"/>
  <c r="AS25" i="4"/>
  <c r="AT19" i="4"/>
  <c r="AU19" i="4"/>
  <c r="BE19" i="4" s="1"/>
  <c r="AV19" i="4"/>
  <c r="AW19" i="4"/>
  <c r="AX19" i="4"/>
  <c r="AY19" i="4"/>
  <c r="AZ19" i="4"/>
  <c r="BA19" i="4"/>
  <c r="BB19" i="4"/>
  <c r="BC19" i="4"/>
  <c r="BD19" i="4"/>
  <c r="AS19" i="4"/>
  <c r="AS13" i="4"/>
  <c r="BE11" i="4"/>
  <c r="BE12" i="4"/>
  <c r="BE13" i="4"/>
  <c r="BE14" i="4"/>
  <c r="BE15" i="4"/>
  <c r="BE16" i="4"/>
  <c r="BE17" i="4"/>
  <c r="BE18" i="4"/>
  <c r="BE20" i="4"/>
  <c r="BE21" i="4"/>
  <c r="BE22" i="4"/>
  <c r="BE23" i="4"/>
  <c r="BE24" i="4"/>
  <c r="BE25" i="4"/>
  <c r="BE26" i="4"/>
  <c r="BE27" i="4"/>
  <c r="BE28" i="4"/>
  <c r="BE29" i="4"/>
  <c r="BE30" i="4"/>
  <c r="BE32" i="4"/>
  <c r="BE33" i="4"/>
  <c r="BE34" i="4"/>
  <c r="BE35" i="4"/>
  <c r="BE36" i="4"/>
  <c r="BE38" i="4"/>
  <c r="BE39" i="4"/>
  <c r="BE40" i="4"/>
  <c r="BE41" i="4"/>
  <c r="BE42" i="4"/>
  <c r="BE44" i="4"/>
  <c r="BE45" i="4"/>
  <c r="BE46" i="4"/>
  <c r="BE47" i="4"/>
  <c r="BE48" i="4"/>
  <c r="BE49" i="4"/>
  <c r="BE50" i="4"/>
  <c r="BE51" i="4"/>
  <c r="BE52" i="4"/>
  <c r="BE53" i="4"/>
  <c r="BE54" i="4"/>
  <c r="BE55" i="4"/>
  <c r="BE56" i="4"/>
  <c r="BE57" i="4"/>
  <c r="BE60" i="4"/>
  <c r="BE10" i="4"/>
  <c r="BD13" i="4"/>
  <c r="AT13" i="4"/>
  <c r="AU13" i="4"/>
  <c r="AV13" i="4"/>
  <c r="AW13" i="4"/>
  <c r="AX13" i="4"/>
  <c r="AY13" i="4"/>
  <c r="AZ13" i="4"/>
  <c r="BA13" i="4"/>
  <c r="BB13" i="4"/>
  <c r="BC13" i="4"/>
  <c r="AW55" i="4"/>
  <c r="AV55" i="4"/>
  <c r="AU55" i="4"/>
  <c r="AT55" i="4"/>
  <c r="BD49" i="4"/>
  <c r="BC49" i="4"/>
  <c r="BB49" i="4"/>
  <c r="BA49" i="4"/>
  <c r="AZ49" i="4"/>
  <c r="AY49" i="4"/>
  <c r="AX49" i="4"/>
  <c r="AW49" i="4"/>
  <c r="AV49" i="4"/>
  <c r="AU49" i="4"/>
  <c r="AT49" i="4"/>
  <c r="BD43" i="4"/>
  <c r="BC43" i="4"/>
  <c r="BB43" i="4"/>
  <c r="BA43" i="4"/>
  <c r="AZ43" i="4"/>
  <c r="AY43" i="4"/>
  <c r="AX43" i="4"/>
  <c r="AW43" i="4"/>
  <c r="AV43" i="4"/>
  <c r="AU43" i="4"/>
  <c r="AT43" i="4"/>
  <c r="BD37" i="4"/>
  <c r="BC37" i="4"/>
  <c r="BB37" i="4"/>
  <c r="BA37" i="4"/>
  <c r="AZ37" i="4"/>
  <c r="AY37" i="4"/>
  <c r="AX37" i="4"/>
  <c r="AW37" i="4"/>
  <c r="AV37" i="4"/>
  <c r="AU37" i="4"/>
  <c r="AT37" i="4"/>
  <c r="BE58" i="3"/>
  <c r="AS59" i="3"/>
  <c r="AT59" i="3"/>
  <c r="AU59" i="3"/>
  <c r="AV59" i="3"/>
  <c r="BE59" i="3" s="1"/>
  <c r="AW59" i="3"/>
  <c r="AX59" i="3"/>
  <c r="AY59" i="3"/>
  <c r="AZ59" i="3"/>
  <c r="BA59" i="3"/>
  <c r="BB59" i="3"/>
  <c r="BC59" i="3"/>
  <c r="BD59" i="3"/>
  <c r="AS60" i="3"/>
  <c r="AT60" i="3"/>
  <c r="AU60" i="3"/>
  <c r="AV60" i="3"/>
  <c r="BE60" i="3" s="1"/>
  <c r="AW60" i="3"/>
  <c r="AX60" i="3"/>
  <c r="AY60" i="3"/>
  <c r="AZ60" i="3"/>
  <c r="BA60" i="3"/>
  <c r="BB60" i="3"/>
  <c r="BC60" i="3"/>
  <c r="BD60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AT58" i="3"/>
  <c r="AU58" i="3"/>
  <c r="AV58" i="3"/>
  <c r="AW58" i="3"/>
  <c r="AX58" i="3"/>
  <c r="AY58" i="3"/>
  <c r="AZ58" i="3"/>
  <c r="BA58" i="3"/>
  <c r="BB58" i="3"/>
  <c r="BC58" i="3"/>
  <c r="BD58" i="3"/>
  <c r="AS58" i="3"/>
  <c r="AS55" i="3"/>
  <c r="AZ49" i="3"/>
  <c r="AS49" i="3"/>
  <c r="AS43" i="3"/>
  <c r="BE37" i="3"/>
  <c r="AS37" i="3"/>
  <c r="BE31" i="3"/>
  <c r="AT31" i="3"/>
  <c r="AU31" i="3"/>
  <c r="AV31" i="3"/>
  <c r="AW31" i="3"/>
  <c r="AX31" i="3"/>
  <c r="AY31" i="3"/>
  <c r="AZ31" i="3"/>
  <c r="BA31" i="3"/>
  <c r="BB31" i="3"/>
  <c r="BC31" i="3"/>
  <c r="BD31" i="3"/>
  <c r="AS31" i="3"/>
  <c r="BE25" i="3"/>
  <c r="AT25" i="3"/>
  <c r="AU25" i="3"/>
  <c r="AV25" i="3"/>
  <c r="AW25" i="3"/>
  <c r="AX25" i="3"/>
  <c r="AY25" i="3"/>
  <c r="AZ25" i="3"/>
  <c r="BA25" i="3"/>
  <c r="BB25" i="3"/>
  <c r="BC25" i="3"/>
  <c r="BD25" i="3"/>
  <c r="AS25" i="3"/>
  <c r="AS19" i="3"/>
  <c r="AS13" i="3"/>
  <c r="BE13" i="3" s="1"/>
  <c r="BE24" i="3"/>
  <c r="BF10" i="3"/>
  <c r="BE19" i="3"/>
  <c r="AT19" i="3"/>
  <c r="AU19" i="3"/>
  <c r="AV19" i="3"/>
  <c r="AW19" i="3"/>
  <c r="AX19" i="3"/>
  <c r="AY19" i="3"/>
  <c r="AZ19" i="3"/>
  <c r="BA19" i="3"/>
  <c r="BB19" i="3"/>
  <c r="BC19" i="3"/>
  <c r="BD19" i="3"/>
  <c r="BE63" i="3"/>
  <c r="BE11" i="3"/>
  <c r="BE12" i="3"/>
  <c r="BE14" i="3"/>
  <c r="BE15" i="3"/>
  <c r="BE16" i="3"/>
  <c r="BE17" i="3"/>
  <c r="BE18" i="3"/>
  <c r="BE20" i="3"/>
  <c r="BE21" i="3"/>
  <c r="BE22" i="3"/>
  <c r="BE23" i="3"/>
  <c r="BE26" i="3"/>
  <c r="BE27" i="3"/>
  <c r="BE28" i="3"/>
  <c r="BE29" i="3"/>
  <c r="BE30" i="3"/>
  <c r="BE32" i="3"/>
  <c r="BE33" i="3"/>
  <c r="BE34" i="3"/>
  <c r="BE35" i="3"/>
  <c r="BE36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AT13" i="3"/>
  <c r="AU13" i="3"/>
  <c r="AV13" i="3"/>
  <c r="AW13" i="3"/>
  <c r="AX13" i="3"/>
  <c r="AY13" i="3"/>
  <c r="AZ13" i="3"/>
  <c r="BA13" i="3"/>
  <c r="BB13" i="3"/>
  <c r="BC13" i="3"/>
  <c r="BD13" i="3"/>
  <c r="AW55" i="3"/>
  <c r="AV55" i="3"/>
  <c r="AU55" i="3"/>
  <c r="AT55" i="3"/>
  <c r="BD49" i="3"/>
  <c r="BC49" i="3"/>
  <c r="BB49" i="3"/>
  <c r="BA49" i="3"/>
  <c r="AY49" i="3"/>
  <c r="AX49" i="3"/>
  <c r="AW49" i="3"/>
  <c r="AV49" i="3"/>
  <c r="AU49" i="3"/>
  <c r="AT49" i="3"/>
  <c r="BD43" i="3"/>
  <c r="BC43" i="3"/>
  <c r="BB43" i="3"/>
  <c r="BA43" i="3"/>
  <c r="AZ43" i="3"/>
  <c r="AY43" i="3"/>
  <c r="AX43" i="3"/>
  <c r="AW43" i="3"/>
  <c r="AV43" i="3"/>
  <c r="AU43" i="3"/>
  <c r="AT43" i="3"/>
  <c r="BD37" i="3"/>
  <c r="BC37" i="3"/>
  <c r="BB37" i="3"/>
  <c r="BA37" i="3"/>
  <c r="AZ37" i="3"/>
  <c r="AY37" i="3"/>
  <c r="AX37" i="3"/>
  <c r="AW37" i="3"/>
  <c r="AV37" i="3"/>
  <c r="AU37" i="3"/>
  <c r="AT37" i="3"/>
  <c r="BE62" i="4" l="1"/>
  <c r="BE63" i="4"/>
  <c r="BE62" i="3"/>
  <c r="BF13" i="3"/>
  <c r="Q61" i="4"/>
  <c r="D61" i="4"/>
  <c r="E55" i="4"/>
  <c r="F55" i="4"/>
  <c r="G55" i="4"/>
  <c r="H55" i="4"/>
  <c r="D55" i="4"/>
  <c r="E49" i="4"/>
  <c r="F49" i="4"/>
  <c r="G49" i="4"/>
  <c r="H49" i="4"/>
  <c r="I49" i="4"/>
  <c r="J49" i="4"/>
  <c r="K49" i="4"/>
  <c r="L49" i="4"/>
  <c r="M49" i="4"/>
  <c r="N49" i="4"/>
  <c r="O49" i="4"/>
  <c r="D49" i="4"/>
  <c r="P43" i="4"/>
  <c r="E43" i="4"/>
  <c r="F43" i="4"/>
  <c r="G43" i="4"/>
  <c r="H43" i="4"/>
  <c r="I43" i="4"/>
  <c r="J43" i="4"/>
  <c r="K43" i="4"/>
  <c r="L43" i="4"/>
  <c r="M43" i="4"/>
  <c r="N43" i="4"/>
  <c r="O43" i="4"/>
  <c r="D43" i="4"/>
  <c r="E37" i="4"/>
  <c r="F37" i="4"/>
  <c r="G37" i="4"/>
  <c r="H37" i="4"/>
  <c r="I37" i="4"/>
  <c r="J37" i="4"/>
  <c r="K37" i="4"/>
  <c r="L37" i="4"/>
  <c r="M37" i="4"/>
  <c r="N37" i="4"/>
  <c r="O37" i="4"/>
  <c r="D37" i="4"/>
  <c r="E31" i="4"/>
  <c r="F31" i="4"/>
  <c r="G31" i="4"/>
  <c r="H31" i="4"/>
  <c r="I31" i="4"/>
  <c r="J31" i="4"/>
  <c r="K31" i="4"/>
  <c r="L31" i="4"/>
  <c r="M31" i="4"/>
  <c r="N31" i="4"/>
  <c r="O31" i="4"/>
  <c r="D31" i="4"/>
  <c r="E25" i="4"/>
  <c r="F25" i="4"/>
  <c r="G25" i="4"/>
  <c r="H25" i="4"/>
  <c r="I25" i="4"/>
  <c r="J25" i="4"/>
  <c r="K25" i="4"/>
  <c r="L25" i="4"/>
  <c r="M25" i="4"/>
  <c r="N25" i="4"/>
  <c r="O25" i="4"/>
  <c r="D25" i="4"/>
  <c r="E19" i="4"/>
  <c r="F19" i="4"/>
  <c r="G19" i="4"/>
  <c r="H19" i="4"/>
  <c r="I19" i="4"/>
  <c r="J19" i="4"/>
  <c r="K19" i="4"/>
  <c r="L19" i="4"/>
  <c r="M19" i="4"/>
  <c r="N19" i="4"/>
  <c r="O19" i="4"/>
  <c r="D19" i="4"/>
  <c r="P13" i="4"/>
  <c r="E13" i="4"/>
  <c r="F13" i="4"/>
  <c r="G13" i="4"/>
  <c r="H13" i="4"/>
  <c r="I13" i="4"/>
  <c r="J13" i="4"/>
  <c r="K13" i="4"/>
  <c r="L13" i="4"/>
  <c r="M13" i="4"/>
  <c r="N13" i="4"/>
  <c r="O13" i="4"/>
  <c r="D13" i="4"/>
  <c r="Q61" i="3"/>
  <c r="D58" i="3"/>
  <c r="P56" i="3"/>
  <c r="E55" i="3"/>
  <c r="F55" i="3"/>
  <c r="G55" i="3"/>
  <c r="H55" i="3"/>
  <c r="D55" i="3"/>
  <c r="E49" i="3"/>
  <c r="F49" i="3"/>
  <c r="G49" i="3"/>
  <c r="H49" i="3"/>
  <c r="I49" i="3"/>
  <c r="J49" i="3"/>
  <c r="K49" i="3"/>
  <c r="L49" i="3"/>
  <c r="M49" i="3"/>
  <c r="N49" i="3"/>
  <c r="O49" i="3"/>
  <c r="D49" i="3"/>
  <c r="E43" i="3"/>
  <c r="F43" i="3"/>
  <c r="G43" i="3"/>
  <c r="H43" i="3"/>
  <c r="I43" i="3"/>
  <c r="J43" i="3"/>
  <c r="K43" i="3"/>
  <c r="L43" i="3"/>
  <c r="M43" i="3"/>
  <c r="N43" i="3"/>
  <c r="O43" i="3"/>
  <c r="D43" i="3"/>
  <c r="E37" i="3"/>
  <c r="F37" i="3"/>
  <c r="G37" i="3"/>
  <c r="H37" i="3"/>
  <c r="I37" i="3"/>
  <c r="J37" i="3"/>
  <c r="K37" i="3"/>
  <c r="L37" i="3"/>
  <c r="M37" i="3"/>
  <c r="N37" i="3"/>
  <c r="O37" i="3"/>
  <c r="D37" i="3"/>
  <c r="E31" i="3"/>
  <c r="F31" i="3"/>
  <c r="G31" i="3"/>
  <c r="H31" i="3"/>
  <c r="I31" i="3"/>
  <c r="J31" i="3"/>
  <c r="K31" i="3"/>
  <c r="L31" i="3"/>
  <c r="M31" i="3"/>
  <c r="N31" i="3"/>
  <c r="O31" i="3"/>
  <c r="D31" i="3"/>
  <c r="E25" i="3"/>
  <c r="F25" i="3"/>
  <c r="G25" i="3"/>
  <c r="H25" i="3"/>
  <c r="I25" i="3"/>
  <c r="J25" i="3"/>
  <c r="K25" i="3"/>
  <c r="L25" i="3"/>
  <c r="M25" i="3"/>
  <c r="N25" i="3"/>
  <c r="O25" i="3"/>
  <c r="D25" i="3"/>
  <c r="E19" i="3"/>
  <c r="F19" i="3"/>
  <c r="G19" i="3"/>
  <c r="H19" i="3"/>
  <c r="I19" i="3"/>
  <c r="J19" i="3"/>
  <c r="K19" i="3"/>
  <c r="L19" i="3"/>
  <c r="M19" i="3"/>
  <c r="N19" i="3"/>
  <c r="O19" i="3"/>
  <c r="P19" i="3"/>
  <c r="D19" i="3"/>
  <c r="P10" i="3"/>
  <c r="E13" i="3"/>
  <c r="F13" i="3"/>
  <c r="G13" i="3"/>
  <c r="H13" i="3"/>
  <c r="I13" i="3"/>
  <c r="J13" i="3"/>
  <c r="K13" i="3"/>
  <c r="L13" i="3"/>
  <c r="M13" i="3"/>
  <c r="N13" i="3"/>
  <c r="O13" i="3"/>
  <c r="P13" i="3"/>
  <c r="D13" i="3"/>
  <c r="NS11" i="3" l="1"/>
  <c r="NS12" i="3"/>
  <c r="NS13" i="3"/>
  <c r="NS14" i="3"/>
  <c r="NS15" i="3"/>
  <c r="NS16" i="3"/>
  <c r="NS17" i="3"/>
  <c r="NS18" i="3"/>
  <c r="NS19" i="3"/>
  <c r="NS20" i="3"/>
  <c r="NS21" i="3"/>
  <c r="NS22" i="3"/>
  <c r="NS23" i="3"/>
  <c r="NS24" i="3"/>
  <c r="NS25" i="3"/>
  <c r="NS26" i="3"/>
  <c r="NS27" i="3"/>
  <c r="NS28" i="3"/>
  <c r="NS29" i="3"/>
  <c r="NS30" i="3"/>
  <c r="NS31" i="3"/>
  <c r="NS32" i="3"/>
  <c r="NS33" i="3"/>
  <c r="NS34" i="3"/>
  <c r="NS35" i="3"/>
  <c r="NS36" i="3"/>
  <c r="NS37" i="3"/>
  <c r="NS38" i="3"/>
  <c r="NS39" i="3"/>
  <c r="NS40" i="3"/>
  <c r="NS41" i="3"/>
  <c r="NS42" i="3"/>
  <c r="NS43" i="3"/>
  <c r="NS44" i="3"/>
  <c r="NS45" i="3"/>
  <c r="NS46" i="3"/>
  <c r="NS47" i="3"/>
  <c r="NS48" i="3"/>
  <c r="NS49" i="3"/>
  <c r="NS50" i="3"/>
  <c r="NS51" i="3"/>
  <c r="NS10" i="3"/>
  <c r="P11" i="4"/>
  <c r="P12" i="4"/>
  <c r="AD13" i="4"/>
  <c r="P14" i="4"/>
  <c r="AD14" i="4" s="1"/>
  <c r="P15" i="4"/>
  <c r="P16" i="4"/>
  <c r="P17" i="4"/>
  <c r="P18" i="4"/>
  <c r="AD18" i="4" s="1"/>
  <c r="P19" i="4"/>
  <c r="P20" i="4"/>
  <c r="P21" i="4"/>
  <c r="P22" i="4"/>
  <c r="AD22" i="4" s="1"/>
  <c r="P23" i="4"/>
  <c r="P24" i="4"/>
  <c r="AD24" i="4" s="1"/>
  <c r="P25" i="4"/>
  <c r="AD25" i="4" s="1"/>
  <c r="P26" i="4"/>
  <c r="P27" i="4"/>
  <c r="P28" i="4"/>
  <c r="P29" i="4"/>
  <c r="AD29" i="4" s="1"/>
  <c r="P30" i="4"/>
  <c r="AD30" i="4" s="1"/>
  <c r="P31" i="4"/>
  <c r="P32" i="4"/>
  <c r="P33" i="4"/>
  <c r="P34" i="4"/>
  <c r="P35" i="4"/>
  <c r="P36" i="4"/>
  <c r="P37" i="4"/>
  <c r="P38" i="4"/>
  <c r="AD38" i="4" s="1"/>
  <c r="P39" i="4"/>
  <c r="P40" i="4"/>
  <c r="P41" i="4"/>
  <c r="P42" i="4"/>
  <c r="AD42" i="4" s="1"/>
  <c r="P44" i="4"/>
  <c r="P45" i="4"/>
  <c r="AD45" i="4" s="1"/>
  <c r="P46" i="4"/>
  <c r="AD46" i="4" s="1"/>
  <c r="P47" i="4"/>
  <c r="P48" i="4"/>
  <c r="P49" i="4"/>
  <c r="P50" i="4"/>
  <c r="P51" i="4"/>
  <c r="P52" i="4"/>
  <c r="P53" i="4"/>
  <c r="P54" i="4"/>
  <c r="P55" i="4"/>
  <c r="P56" i="4"/>
  <c r="AD56" i="4" s="1"/>
  <c r="P57" i="4"/>
  <c r="P10" i="4"/>
  <c r="D59" i="4"/>
  <c r="E59" i="4"/>
  <c r="F59" i="4"/>
  <c r="G59" i="4"/>
  <c r="H59" i="4"/>
  <c r="I59" i="4"/>
  <c r="J59" i="4"/>
  <c r="K59" i="4"/>
  <c r="L59" i="4"/>
  <c r="M59" i="4"/>
  <c r="N59" i="4"/>
  <c r="O59" i="4"/>
  <c r="D60" i="4"/>
  <c r="E60" i="4"/>
  <c r="F60" i="4"/>
  <c r="G60" i="4"/>
  <c r="H60" i="4"/>
  <c r="I60" i="4"/>
  <c r="J60" i="4"/>
  <c r="K60" i="4"/>
  <c r="L60" i="4"/>
  <c r="M60" i="4"/>
  <c r="N60" i="4"/>
  <c r="O60" i="4"/>
  <c r="E61" i="4"/>
  <c r="F61" i="4"/>
  <c r="G61" i="4"/>
  <c r="H61" i="4"/>
  <c r="I61" i="4"/>
  <c r="J61" i="4"/>
  <c r="K61" i="4"/>
  <c r="L61" i="4"/>
  <c r="M61" i="4"/>
  <c r="N61" i="4"/>
  <c r="O61" i="4"/>
  <c r="D62" i="4"/>
  <c r="E62" i="4"/>
  <c r="F62" i="4"/>
  <c r="G62" i="4"/>
  <c r="H62" i="4"/>
  <c r="I62" i="4"/>
  <c r="J62" i="4"/>
  <c r="K62" i="4"/>
  <c r="L62" i="4"/>
  <c r="M62" i="4"/>
  <c r="N62" i="4"/>
  <c r="O62" i="4"/>
  <c r="D63" i="4"/>
  <c r="E63" i="4"/>
  <c r="F63" i="4"/>
  <c r="G63" i="4"/>
  <c r="H63" i="4"/>
  <c r="I63" i="4"/>
  <c r="J63" i="4"/>
  <c r="K63" i="4"/>
  <c r="L63" i="4"/>
  <c r="M63" i="4"/>
  <c r="N63" i="4"/>
  <c r="O63" i="4"/>
  <c r="E58" i="4"/>
  <c r="F58" i="4"/>
  <c r="G58" i="4"/>
  <c r="H58" i="4"/>
  <c r="I58" i="4"/>
  <c r="J58" i="4"/>
  <c r="K58" i="4"/>
  <c r="L58" i="4"/>
  <c r="M58" i="4"/>
  <c r="N58" i="4"/>
  <c r="O58" i="4"/>
  <c r="D58" i="4"/>
  <c r="D61" i="3"/>
  <c r="NP11" i="4"/>
  <c r="NP12" i="4"/>
  <c r="NP13" i="4"/>
  <c r="NP14" i="4"/>
  <c r="NP15" i="4"/>
  <c r="NP16" i="4"/>
  <c r="NP17" i="4"/>
  <c r="NP18" i="4"/>
  <c r="NP19" i="4"/>
  <c r="NP20" i="4"/>
  <c r="NP21" i="4"/>
  <c r="NP22" i="4"/>
  <c r="NP23" i="4"/>
  <c r="NP24" i="4"/>
  <c r="NP25" i="4"/>
  <c r="NP26" i="4"/>
  <c r="NP27" i="4"/>
  <c r="NP28" i="4"/>
  <c r="NP29" i="4"/>
  <c r="NP30" i="4"/>
  <c r="NP31" i="4"/>
  <c r="NP32" i="4"/>
  <c r="NP33" i="4"/>
  <c r="NP34" i="4"/>
  <c r="NP35" i="4"/>
  <c r="NP36" i="4"/>
  <c r="NP37" i="4"/>
  <c r="NP38" i="4"/>
  <c r="NP39" i="4"/>
  <c r="NP40" i="4"/>
  <c r="NP41" i="4"/>
  <c r="NP42" i="4"/>
  <c r="NP43" i="4"/>
  <c r="NP44" i="4"/>
  <c r="NP45" i="4"/>
  <c r="NP46" i="4"/>
  <c r="NP47" i="4"/>
  <c r="NP48" i="4"/>
  <c r="NP49" i="4"/>
  <c r="NP50" i="4"/>
  <c r="NP51" i="4"/>
  <c r="NP52" i="4"/>
  <c r="NP53" i="4"/>
  <c r="NP54" i="4"/>
  <c r="NP55" i="4"/>
  <c r="NP56" i="4"/>
  <c r="NP57" i="4"/>
  <c r="NP10" i="4"/>
  <c r="NB16" i="4"/>
  <c r="NB20" i="4"/>
  <c r="NB32" i="4"/>
  <c r="NB36" i="4"/>
  <c r="NB48" i="4"/>
  <c r="NB52" i="4"/>
  <c r="NA11" i="4"/>
  <c r="NA12" i="4"/>
  <c r="NA13" i="4"/>
  <c r="NA14" i="4"/>
  <c r="NA15" i="4"/>
  <c r="NA16" i="4"/>
  <c r="NA17" i="4"/>
  <c r="NA18" i="4"/>
  <c r="NA19" i="4"/>
  <c r="NA20" i="4"/>
  <c r="NA21" i="4"/>
  <c r="NA22" i="4"/>
  <c r="NA23" i="4"/>
  <c r="NA24" i="4"/>
  <c r="NA25" i="4"/>
  <c r="NA26" i="4"/>
  <c r="NA27" i="4"/>
  <c r="NA28" i="4"/>
  <c r="NA29" i="4"/>
  <c r="NA30" i="4"/>
  <c r="NA31" i="4"/>
  <c r="NA32" i="4"/>
  <c r="NA33" i="4"/>
  <c r="NA34" i="4"/>
  <c r="NA35" i="4"/>
  <c r="NA36" i="4"/>
  <c r="NA37" i="4"/>
  <c r="NA38" i="4"/>
  <c r="NA39" i="4"/>
  <c r="NA40" i="4"/>
  <c r="NA41" i="4"/>
  <c r="NA42" i="4"/>
  <c r="NA43" i="4"/>
  <c r="NA44" i="4"/>
  <c r="NA45" i="4"/>
  <c r="NA46" i="4"/>
  <c r="NA47" i="4"/>
  <c r="NA48" i="4"/>
  <c r="NA49" i="4"/>
  <c r="NA50" i="4"/>
  <c r="NA51" i="4"/>
  <c r="NA52" i="4"/>
  <c r="NA53" i="4"/>
  <c r="NA54" i="4"/>
  <c r="NA55" i="4"/>
  <c r="NA56" i="4"/>
  <c r="NA57" i="4"/>
  <c r="NB12" i="4"/>
  <c r="NB24" i="4"/>
  <c r="NB28" i="4"/>
  <c r="NB40" i="4"/>
  <c r="NB44" i="4"/>
  <c r="NB56" i="4"/>
  <c r="LZ11" i="4"/>
  <c r="LZ12" i="4"/>
  <c r="LZ13" i="4"/>
  <c r="LZ14" i="4"/>
  <c r="LZ15" i="4"/>
  <c r="LZ16" i="4"/>
  <c r="LZ17" i="4"/>
  <c r="LZ18" i="4"/>
  <c r="LZ19" i="4"/>
  <c r="LZ20" i="4"/>
  <c r="LZ21" i="4"/>
  <c r="LZ22" i="4"/>
  <c r="LZ23" i="4"/>
  <c r="LZ24" i="4"/>
  <c r="LZ25" i="4"/>
  <c r="LZ26" i="4"/>
  <c r="LZ27" i="4"/>
  <c r="LZ28" i="4"/>
  <c r="LZ29" i="4"/>
  <c r="LZ30" i="4"/>
  <c r="LZ31" i="4"/>
  <c r="LZ32" i="4"/>
  <c r="LZ33" i="4"/>
  <c r="LZ34" i="4"/>
  <c r="LZ35" i="4"/>
  <c r="LZ36" i="4"/>
  <c r="LZ37" i="4"/>
  <c r="LZ38" i="4"/>
  <c r="LZ39" i="4"/>
  <c r="LZ40" i="4"/>
  <c r="LZ41" i="4"/>
  <c r="LZ42" i="4"/>
  <c r="LZ43" i="4"/>
  <c r="LZ44" i="4"/>
  <c r="LZ45" i="4"/>
  <c r="LZ46" i="4"/>
  <c r="LZ47" i="4"/>
  <c r="LZ48" i="4"/>
  <c r="LZ49" i="4"/>
  <c r="LZ50" i="4"/>
  <c r="LZ51" i="4"/>
  <c r="LZ52" i="4"/>
  <c r="LZ53" i="4"/>
  <c r="LZ54" i="4"/>
  <c r="LZ55" i="4"/>
  <c r="LZ56" i="4"/>
  <c r="LZ57" i="4"/>
  <c r="NR14" i="4"/>
  <c r="NR18" i="4"/>
  <c r="NR22" i="4"/>
  <c r="NR26" i="4"/>
  <c r="NR34" i="4"/>
  <c r="NR38" i="4"/>
  <c r="NR42" i="4"/>
  <c r="NR46" i="4"/>
  <c r="KW10" i="4"/>
  <c r="KW11" i="4"/>
  <c r="KW12" i="4"/>
  <c r="KW13" i="4"/>
  <c r="KW14" i="4"/>
  <c r="KW15" i="4"/>
  <c r="KW17" i="4"/>
  <c r="KW18" i="4"/>
  <c r="KW19" i="4"/>
  <c r="KW20" i="4"/>
  <c r="KW21" i="4"/>
  <c r="KW22" i="4"/>
  <c r="KW23" i="4"/>
  <c r="KW24" i="4"/>
  <c r="KW25" i="4"/>
  <c r="KW26" i="4"/>
  <c r="KW27" i="4"/>
  <c r="KW28" i="4"/>
  <c r="KW29" i="4"/>
  <c r="KW30" i="4"/>
  <c r="KW31" i="4"/>
  <c r="KW32" i="4"/>
  <c r="KW33" i="4"/>
  <c r="KW34" i="4"/>
  <c r="KW35" i="4"/>
  <c r="KW36" i="4"/>
  <c r="KW37" i="4"/>
  <c r="KW38" i="4"/>
  <c r="KW39" i="4"/>
  <c r="KW40" i="4"/>
  <c r="KW41" i="4"/>
  <c r="KW42" i="4"/>
  <c r="KW43" i="4"/>
  <c r="KW44" i="4"/>
  <c r="KW45" i="4"/>
  <c r="KW46" i="4"/>
  <c r="KW48" i="4"/>
  <c r="KW49" i="4"/>
  <c r="KW50" i="4"/>
  <c r="KW51" i="4"/>
  <c r="KW52" i="4"/>
  <c r="KW53" i="4"/>
  <c r="KW54" i="4"/>
  <c r="KW55" i="4"/>
  <c r="KW56" i="4"/>
  <c r="KW57" i="4"/>
  <c r="KJ11" i="4"/>
  <c r="KJ12" i="4"/>
  <c r="KX12" i="4" s="1"/>
  <c r="KJ13" i="4"/>
  <c r="KX13" i="4" s="1"/>
  <c r="KJ14" i="4"/>
  <c r="KX14" i="4" s="1"/>
  <c r="KJ15" i="4"/>
  <c r="KJ16" i="4"/>
  <c r="KX16" i="4" s="1"/>
  <c r="KJ17" i="4"/>
  <c r="KX17" i="4" s="1"/>
  <c r="KJ18" i="4"/>
  <c r="KX18" i="4" s="1"/>
  <c r="KJ19" i="4"/>
  <c r="KJ20" i="4"/>
  <c r="KX20" i="4" s="1"/>
  <c r="KJ21" i="4"/>
  <c r="KX21" i="4" s="1"/>
  <c r="KJ22" i="4"/>
  <c r="KX22" i="4" s="1"/>
  <c r="KJ23" i="4"/>
  <c r="KJ24" i="4"/>
  <c r="KX24" i="4" s="1"/>
  <c r="KJ25" i="4"/>
  <c r="KX25" i="4" s="1"/>
  <c r="KJ26" i="4"/>
  <c r="KX26" i="4" s="1"/>
  <c r="KJ27" i="4"/>
  <c r="KJ28" i="4"/>
  <c r="KX28" i="4" s="1"/>
  <c r="KJ29" i="4"/>
  <c r="KX29" i="4" s="1"/>
  <c r="KJ30" i="4"/>
  <c r="KX30" i="4" s="1"/>
  <c r="KJ31" i="4"/>
  <c r="KJ32" i="4"/>
  <c r="KX32" i="4" s="1"/>
  <c r="KJ33" i="4"/>
  <c r="KX33" i="4" s="1"/>
  <c r="KJ34" i="4"/>
  <c r="KX34" i="4" s="1"/>
  <c r="KJ35" i="4"/>
  <c r="KJ36" i="4"/>
  <c r="KX36" i="4" s="1"/>
  <c r="KJ37" i="4"/>
  <c r="KX37" i="4" s="1"/>
  <c r="KJ38" i="4"/>
  <c r="KX38" i="4" s="1"/>
  <c r="KJ39" i="4"/>
  <c r="KJ40" i="4"/>
  <c r="KX40" i="4" s="1"/>
  <c r="KJ41" i="4"/>
  <c r="KX41" i="4" s="1"/>
  <c r="KJ42" i="4"/>
  <c r="KX42" i="4" s="1"/>
  <c r="KJ43" i="4"/>
  <c r="KJ44" i="4"/>
  <c r="KX44" i="4" s="1"/>
  <c r="KJ45" i="4"/>
  <c r="KX45" i="4" s="1"/>
  <c r="KJ46" i="4"/>
  <c r="KX46" i="4" s="1"/>
  <c r="KJ47" i="4"/>
  <c r="KJ48" i="4"/>
  <c r="KX48" i="4" s="1"/>
  <c r="KJ49" i="4"/>
  <c r="KX49" i="4" s="1"/>
  <c r="KJ50" i="4"/>
  <c r="KX50" i="4" s="1"/>
  <c r="KJ51" i="4"/>
  <c r="KJ52" i="4"/>
  <c r="KX52" i="4" s="1"/>
  <c r="KJ53" i="4"/>
  <c r="KX53" i="4" s="1"/>
  <c r="KJ54" i="4"/>
  <c r="KX54" i="4" s="1"/>
  <c r="KJ55" i="4"/>
  <c r="KJ56" i="4"/>
  <c r="KX56" i="4" s="1"/>
  <c r="KJ57" i="4"/>
  <c r="KX57" i="4" s="1"/>
  <c r="NS10" i="4"/>
  <c r="NS11" i="4"/>
  <c r="NS12" i="4"/>
  <c r="NS15" i="4"/>
  <c r="NS16" i="4"/>
  <c r="NS19" i="4"/>
  <c r="NS20" i="4"/>
  <c r="NS23" i="4"/>
  <c r="NS24" i="4"/>
  <c r="NS27" i="4"/>
  <c r="NS28" i="4"/>
  <c r="NS31" i="4"/>
  <c r="NS32" i="4"/>
  <c r="NS35" i="4"/>
  <c r="NS36" i="4"/>
  <c r="NS39" i="4"/>
  <c r="NS40" i="4"/>
  <c r="NS43" i="4"/>
  <c r="NS44" i="4"/>
  <c r="NS47" i="4"/>
  <c r="NS48" i="4"/>
  <c r="NS51" i="4"/>
  <c r="NS54" i="4"/>
  <c r="JH11" i="4"/>
  <c r="JH12" i="4"/>
  <c r="JH13" i="4"/>
  <c r="JV13" i="4" s="1"/>
  <c r="JH14" i="4"/>
  <c r="JV14" i="4" s="1"/>
  <c r="JH15" i="4"/>
  <c r="JH16" i="4"/>
  <c r="JH17" i="4"/>
  <c r="JV17" i="4" s="1"/>
  <c r="JH18" i="4"/>
  <c r="JV18" i="4" s="1"/>
  <c r="JH19" i="4"/>
  <c r="JH20" i="4"/>
  <c r="JH21" i="4"/>
  <c r="JV21" i="4" s="1"/>
  <c r="JH22" i="4"/>
  <c r="JV22" i="4" s="1"/>
  <c r="JH23" i="4"/>
  <c r="JH24" i="4"/>
  <c r="JH25" i="4"/>
  <c r="JV25" i="4" s="1"/>
  <c r="JH26" i="4"/>
  <c r="JV26" i="4" s="1"/>
  <c r="JH27" i="4"/>
  <c r="JH28" i="4"/>
  <c r="JH29" i="4"/>
  <c r="JV29" i="4" s="1"/>
  <c r="JH30" i="4"/>
  <c r="JV30" i="4" s="1"/>
  <c r="JH31" i="4"/>
  <c r="JH32" i="4"/>
  <c r="JH33" i="4"/>
  <c r="JV33" i="4" s="1"/>
  <c r="JH34" i="4"/>
  <c r="JV34" i="4" s="1"/>
  <c r="JH35" i="4"/>
  <c r="JH36" i="4"/>
  <c r="JH37" i="4"/>
  <c r="JV37" i="4" s="1"/>
  <c r="JH38" i="4"/>
  <c r="JV38" i="4" s="1"/>
  <c r="JH39" i="4"/>
  <c r="JH40" i="4"/>
  <c r="JH41" i="4"/>
  <c r="JV41" i="4" s="1"/>
  <c r="JH42" i="4"/>
  <c r="JV42" i="4" s="1"/>
  <c r="JH43" i="4"/>
  <c r="JH44" i="4"/>
  <c r="JH45" i="4"/>
  <c r="JV45" i="4" s="1"/>
  <c r="JH46" i="4"/>
  <c r="JV46" i="4" s="1"/>
  <c r="JH47" i="4"/>
  <c r="JH48" i="4"/>
  <c r="JH49" i="4"/>
  <c r="JV49" i="4" s="1"/>
  <c r="JH50" i="4"/>
  <c r="JV50" i="4" s="1"/>
  <c r="JH51" i="4"/>
  <c r="JH52" i="4"/>
  <c r="JV52" i="4" s="1"/>
  <c r="JH53" i="4"/>
  <c r="JV53" i="4" s="1"/>
  <c r="JH54" i="4"/>
  <c r="JH55" i="4"/>
  <c r="JV55" i="4" s="1"/>
  <c r="JH56" i="4"/>
  <c r="JV56" i="4" s="1"/>
  <c r="JH57" i="4"/>
  <c r="JV57" i="4" s="1"/>
  <c r="IT10" i="4"/>
  <c r="IS11" i="4"/>
  <c r="IT11" i="4" s="1"/>
  <c r="IS12" i="4"/>
  <c r="IT12" i="4" s="1"/>
  <c r="IS13" i="4"/>
  <c r="IT13" i="4" s="1"/>
  <c r="IS14" i="4"/>
  <c r="IS15" i="4"/>
  <c r="IT15" i="4" s="1"/>
  <c r="IS16" i="4"/>
  <c r="IS17" i="4"/>
  <c r="IT17" i="4" s="1"/>
  <c r="IS18" i="4"/>
  <c r="IS19" i="4"/>
  <c r="IT19" i="4" s="1"/>
  <c r="IS20" i="4"/>
  <c r="IS21" i="4"/>
  <c r="IT21" i="4" s="1"/>
  <c r="IS22" i="4"/>
  <c r="IS23" i="4"/>
  <c r="IT23" i="4" s="1"/>
  <c r="IS24" i="4"/>
  <c r="IS25" i="4"/>
  <c r="IT25" i="4" s="1"/>
  <c r="IS26" i="4"/>
  <c r="IS27" i="4"/>
  <c r="IT27" i="4" s="1"/>
  <c r="IS28" i="4"/>
  <c r="IS29" i="4"/>
  <c r="IT29" i="4" s="1"/>
  <c r="IS30" i="4"/>
  <c r="IS31" i="4"/>
  <c r="IT31" i="4" s="1"/>
  <c r="IS32" i="4"/>
  <c r="IS33" i="4"/>
  <c r="IT33" i="4" s="1"/>
  <c r="IS34" i="4"/>
  <c r="IS35" i="4"/>
  <c r="IT35" i="4" s="1"/>
  <c r="IS36" i="4"/>
  <c r="IS37" i="4"/>
  <c r="IT37" i="4" s="1"/>
  <c r="IS38" i="4"/>
  <c r="IS39" i="4"/>
  <c r="IT39" i="4" s="1"/>
  <c r="IS40" i="4"/>
  <c r="IS41" i="4"/>
  <c r="IT41" i="4" s="1"/>
  <c r="IS42" i="4"/>
  <c r="IS43" i="4"/>
  <c r="IT43" i="4" s="1"/>
  <c r="IS44" i="4"/>
  <c r="IS45" i="4"/>
  <c r="IT45" i="4" s="1"/>
  <c r="IS46" i="4"/>
  <c r="IS47" i="4"/>
  <c r="IT47" i="4" s="1"/>
  <c r="IS48" i="4"/>
  <c r="IS49" i="4"/>
  <c r="IT49" i="4" s="1"/>
  <c r="IS50" i="4"/>
  <c r="IS51" i="4"/>
  <c r="IT51" i="4" s="1"/>
  <c r="IS52" i="4"/>
  <c r="IT52" i="4" s="1"/>
  <c r="IS53" i="4"/>
  <c r="IT53" i="4" s="1"/>
  <c r="IS54" i="4"/>
  <c r="IS55" i="4"/>
  <c r="IT55" i="4" s="1"/>
  <c r="IS56" i="4"/>
  <c r="IT56" i="4" s="1"/>
  <c r="IS57" i="4"/>
  <c r="IT57" i="4" s="1"/>
  <c r="IT14" i="4"/>
  <c r="IT16" i="4"/>
  <c r="IT18" i="4"/>
  <c r="IT20" i="4"/>
  <c r="IT22" i="4"/>
  <c r="IT24" i="4"/>
  <c r="IT26" i="4"/>
  <c r="IT28" i="4"/>
  <c r="IT30" i="4"/>
  <c r="IT32" i="4"/>
  <c r="IT34" i="4"/>
  <c r="IT36" i="4"/>
  <c r="IT38" i="4"/>
  <c r="IT40" i="4"/>
  <c r="IT42" i="4"/>
  <c r="IT44" i="4"/>
  <c r="IT46" i="4"/>
  <c r="IT48" i="4"/>
  <c r="IT50" i="4"/>
  <c r="IT54" i="4"/>
  <c r="HR11" i="4"/>
  <c r="HR12" i="4"/>
  <c r="HR13" i="4"/>
  <c r="HR14" i="4"/>
  <c r="HR15" i="4"/>
  <c r="HR16" i="4"/>
  <c r="HR17" i="4"/>
  <c r="HR18" i="4"/>
  <c r="HR19" i="4"/>
  <c r="HR20" i="4"/>
  <c r="HR21" i="4"/>
  <c r="HR22" i="4"/>
  <c r="HR23" i="4"/>
  <c r="HR24" i="4"/>
  <c r="HR25" i="4"/>
  <c r="HR26" i="4"/>
  <c r="HR27" i="4"/>
  <c r="HR28" i="4"/>
  <c r="HR29" i="4"/>
  <c r="HR30" i="4"/>
  <c r="HR31" i="4"/>
  <c r="HR32" i="4"/>
  <c r="HR33" i="4"/>
  <c r="HR34" i="4"/>
  <c r="HR35" i="4"/>
  <c r="HR36" i="4"/>
  <c r="HR37" i="4"/>
  <c r="HR38" i="4"/>
  <c r="HR39" i="4"/>
  <c r="HR40" i="4"/>
  <c r="HR41" i="4"/>
  <c r="HR42" i="4"/>
  <c r="HR43" i="4"/>
  <c r="HR44" i="4"/>
  <c r="HR45" i="4"/>
  <c r="HR46" i="4"/>
  <c r="HR47" i="4"/>
  <c r="HR48" i="4"/>
  <c r="HR49" i="4"/>
  <c r="HR50" i="4"/>
  <c r="HR51" i="4"/>
  <c r="HR52" i="4"/>
  <c r="HR53" i="4"/>
  <c r="HR54" i="4"/>
  <c r="HR56" i="4"/>
  <c r="HR57" i="4"/>
  <c r="HD11" i="4"/>
  <c r="HD12" i="4"/>
  <c r="HD13" i="4"/>
  <c r="HD14" i="4"/>
  <c r="HD15" i="4"/>
  <c r="HD16" i="4"/>
  <c r="HD17" i="4"/>
  <c r="HD18" i="4"/>
  <c r="HD19" i="4"/>
  <c r="HD20" i="4"/>
  <c r="HD21" i="4"/>
  <c r="HD22" i="4"/>
  <c r="HD23" i="4"/>
  <c r="HD24" i="4"/>
  <c r="HD25" i="4"/>
  <c r="HD26" i="4"/>
  <c r="HD27" i="4"/>
  <c r="HD28" i="4"/>
  <c r="HD29" i="4"/>
  <c r="HD30" i="4"/>
  <c r="HD31" i="4"/>
  <c r="HD32" i="4"/>
  <c r="HD33" i="4"/>
  <c r="HD34" i="4"/>
  <c r="HD35" i="4"/>
  <c r="HD36" i="4"/>
  <c r="HD37" i="4"/>
  <c r="HD38" i="4"/>
  <c r="HD39" i="4"/>
  <c r="HD40" i="4"/>
  <c r="HD41" i="4"/>
  <c r="HD42" i="4"/>
  <c r="HD43" i="4"/>
  <c r="HD44" i="4"/>
  <c r="HD45" i="4"/>
  <c r="HD46" i="4"/>
  <c r="HD47" i="4"/>
  <c r="HD48" i="4"/>
  <c r="HD49" i="4"/>
  <c r="HD50" i="4"/>
  <c r="HD51" i="4"/>
  <c r="HD52" i="4"/>
  <c r="HD53" i="4"/>
  <c r="HD54" i="4"/>
  <c r="HD55" i="4"/>
  <c r="HD56" i="4"/>
  <c r="HD57" i="4"/>
  <c r="HD10" i="4"/>
  <c r="GP11" i="4"/>
  <c r="GP12" i="4"/>
  <c r="NR12" i="4" s="1"/>
  <c r="GP13" i="4"/>
  <c r="GP14" i="4"/>
  <c r="GP15" i="4"/>
  <c r="GP16" i="4"/>
  <c r="GP17" i="4"/>
  <c r="GP18" i="4"/>
  <c r="GP19" i="4"/>
  <c r="GP20" i="4"/>
  <c r="NR20" i="4" s="1"/>
  <c r="GP21" i="4"/>
  <c r="GP22" i="4"/>
  <c r="GP23" i="4"/>
  <c r="GP24" i="4"/>
  <c r="NR24" i="4" s="1"/>
  <c r="GP25" i="4"/>
  <c r="GP26" i="4"/>
  <c r="GP27" i="4"/>
  <c r="GP28" i="4"/>
  <c r="GP29" i="4"/>
  <c r="GP30" i="4"/>
  <c r="GP31" i="4"/>
  <c r="GP32" i="4"/>
  <c r="NR32" i="4" s="1"/>
  <c r="GP33" i="4"/>
  <c r="GP34" i="4"/>
  <c r="GP35" i="4"/>
  <c r="GP36" i="4"/>
  <c r="NR36" i="4" s="1"/>
  <c r="GP37" i="4"/>
  <c r="GP38" i="4"/>
  <c r="GP39" i="4"/>
  <c r="GP40" i="4"/>
  <c r="NR40" i="4" s="1"/>
  <c r="GP41" i="4"/>
  <c r="GP42" i="4"/>
  <c r="GP43" i="4"/>
  <c r="GP44" i="4"/>
  <c r="NR44" i="4" s="1"/>
  <c r="GP45" i="4"/>
  <c r="GP46" i="4"/>
  <c r="GP47" i="4"/>
  <c r="GP48" i="4"/>
  <c r="NR48" i="4" s="1"/>
  <c r="GP49" i="4"/>
  <c r="GP50" i="4"/>
  <c r="GP51" i="4"/>
  <c r="GP52" i="4"/>
  <c r="GP53" i="4"/>
  <c r="GP54" i="4"/>
  <c r="GP55" i="4"/>
  <c r="GP56" i="4"/>
  <c r="GP57" i="4"/>
  <c r="GP10" i="4"/>
  <c r="GB11" i="4"/>
  <c r="GB12" i="4"/>
  <c r="GB13" i="4"/>
  <c r="GB14" i="4"/>
  <c r="GB15" i="4"/>
  <c r="GB16" i="4"/>
  <c r="GB17" i="4"/>
  <c r="GB18" i="4"/>
  <c r="GB19" i="4"/>
  <c r="GB20" i="4"/>
  <c r="GB21" i="4"/>
  <c r="GB22" i="4"/>
  <c r="GB23" i="4"/>
  <c r="GB24" i="4"/>
  <c r="GB25" i="4"/>
  <c r="GB26" i="4"/>
  <c r="GB27" i="4"/>
  <c r="GB28" i="4"/>
  <c r="GB29" i="4"/>
  <c r="GB30" i="4"/>
  <c r="GB31" i="4"/>
  <c r="GB32" i="4"/>
  <c r="GB33" i="4"/>
  <c r="GB34" i="4"/>
  <c r="GB35" i="4"/>
  <c r="GB36" i="4"/>
  <c r="GB37" i="4"/>
  <c r="GB38" i="4"/>
  <c r="GB39" i="4"/>
  <c r="GB40" i="4"/>
  <c r="GB41" i="4"/>
  <c r="GB42" i="4"/>
  <c r="GB43" i="4"/>
  <c r="GB44" i="4"/>
  <c r="GB45" i="4"/>
  <c r="GB46" i="4"/>
  <c r="GB47" i="4"/>
  <c r="GB48" i="4"/>
  <c r="GB49" i="4"/>
  <c r="GB50" i="4"/>
  <c r="GB51" i="4"/>
  <c r="GB52" i="4"/>
  <c r="GB53" i="4"/>
  <c r="GB54" i="4"/>
  <c r="GB55" i="4"/>
  <c r="GB56" i="4"/>
  <c r="GB57" i="4"/>
  <c r="FN11" i="4"/>
  <c r="FN12" i="4"/>
  <c r="FN13" i="4"/>
  <c r="FN14" i="4"/>
  <c r="FN15" i="4"/>
  <c r="FN16" i="4"/>
  <c r="FN17" i="4"/>
  <c r="FN18" i="4"/>
  <c r="FN19" i="4"/>
  <c r="FN20" i="4"/>
  <c r="FN21" i="4"/>
  <c r="FN22" i="4"/>
  <c r="FN23" i="4"/>
  <c r="FN24" i="4"/>
  <c r="FN25" i="4"/>
  <c r="FN26" i="4"/>
  <c r="FN27" i="4"/>
  <c r="FN28" i="4"/>
  <c r="FN29" i="4"/>
  <c r="FN30" i="4"/>
  <c r="FN31" i="4"/>
  <c r="FN32" i="4"/>
  <c r="FN33" i="4"/>
  <c r="FN34" i="4"/>
  <c r="FN35" i="4"/>
  <c r="FN36" i="4"/>
  <c r="FN37" i="4"/>
  <c r="FN38" i="4"/>
  <c r="FN39" i="4"/>
  <c r="FN40" i="4"/>
  <c r="FN41" i="4"/>
  <c r="FN42" i="4"/>
  <c r="FN43" i="4"/>
  <c r="FN44" i="4"/>
  <c r="FN45" i="4"/>
  <c r="FN46" i="4"/>
  <c r="FN47" i="4"/>
  <c r="FN48" i="4"/>
  <c r="FN49" i="4"/>
  <c r="FN50" i="4"/>
  <c r="FN51" i="4"/>
  <c r="FN52" i="4"/>
  <c r="FN53" i="4"/>
  <c r="FN54" i="4"/>
  <c r="FN55" i="4"/>
  <c r="FN56" i="4"/>
  <c r="FN57" i="4"/>
  <c r="NR30" i="4"/>
  <c r="NR50" i="4"/>
  <c r="EK11" i="4"/>
  <c r="EL11" i="4" s="1"/>
  <c r="EK12" i="4"/>
  <c r="EK13" i="4"/>
  <c r="EL13" i="4" s="1"/>
  <c r="EK14" i="4"/>
  <c r="EK15" i="4"/>
  <c r="EL15" i="4" s="1"/>
  <c r="EK16" i="4"/>
  <c r="EK17" i="4"/>
  <c r="EL17" i="4" s="1"/>
  <c r="EK18" i="4"/>
  <c r="EK19" i="4"/>
  <c r="EL19" i="4" s="1"/>
  <c r="EK20" i="4"/>
  <c r="EK21" i="4"/>
  <c r="EL21" i="4" s="1"/>
  <c r="EK22" i="4"/>
  <c r="EK23" i="4"/>
  <c r="EL23" i="4" s="1"/>
  <c r="EK24" i="4"/>
  <c r="EK25" i="4"/>
  <c r="EL25" i="4" s="1"/>
  <c r="EK26" i="4"/>
  <c r="EK27" i="4"/>
  <c r="EL27" i="4" s="1"/>
  <c r="EK28" i="4"/>
  <c r="EK29" i="4"/>
  <c r="EL29" i="4" s="1"/>
  <c r="EK30" i="4"/>
  <c r="EK31" i="4"/>
  <c r="EL31" i="4" s="1"/>
  <c r="EK32" i="4"/>
  <c r="EK33" i="4"/>
  <c r="EL33" i="4" s="1"/>
  <c r="EK34" i="4"/>
  <c r="EK35" i="4"/>
  <c r="EL35" i="4" s="1"/>
  <c r="EK36" i="4"/>
  <c r="EK37" i="4"/>
  <c r="EL37" i="4" s="1"/>
  <c r="EK38" i="4"/>
  <c r="EK39" i="4"/>
  <c r="EL39" i="4" s="1"/>
  <c r="EK40" i="4"/>
  <c r="EK41" i="4"/>
  <c r="EL41" i="4" s="1"/>
  <c r="EK42" i="4"/>
  <c r="EK43" i="4"/>
  <c r="EL43" i="4" s="1"/>
  <c r="EK44" i="4"/>
  <c r="EK45" i="4"/>
  <c r="EL45" i="4" s="1"/>
  <c r="EK46" i="4"/>
  <c r="EK47" i="4"/>
  <c r="EL47" i="4" s="1"/>
  <c r="EK48" i="4"/>
  <c r="EK49" i="4"/>
  <c r="EL49" i="4" s="1"/>
  <c r="EK50" i="4"/>
  <c r="EK51" i="4"/>
  <c r="EL51" i="4" s="1"/>
  <c r="EK52" i="4"/>
  <c r="EK53" i="4"/>
  <c r="EL53" i="4" s="1"/>
  <c r="EK54" i="4"/>
  <c r="EK55" i="4"/>
  <c r="EL55" i="4" s="1"/>
  <c r="EK56" i="4"/>
  <c r="EK57" i="4"/>
  <c r="EL57" i="4" s="1"/>
  <c r="DX10" i="4"/>
  <c r="EL10" i="4" s="1"/>
  <c r="DX11" i="4"/>
  <c r="DX12" i="4"/>
  <c r="EL12" i="4" s="1"/>
  <c r="DX13" i="4"/>
  <c r="DX14" i="4"/>
  <c r="EL14" i="4" s="1"/>
  <c r="DX15" i="4"/>
  <c r="DX16" i="4"/>
  <c r="EL16" i="4" s="1"/>
  <c r="DX17" i="4"/>
  <c r="DX18" i="4"/>
  <c r="EL18" i="4" s="1"/>
  <c r="DX19" i="4"/>
  <c r="DX20" i="4"/>
  <c r="EL20" i="4" s="1"/>
  <c r="DX21" i="4"/>
  <c r="DX22" i="4"/>
  <c r="EL22" i="4" s="1"/>
  <c r="DX23" i="4"/>
  <c r="DX24" i="4"/>
  <c r="EL24" i="4" s="1"/>
  <c r="DX25" i="4"/>
  <c r="DX26" i="4"/>
  <c r="EL26" i="4" s="1"/>
  <c r="DX27" i="4"/>
  <c r="DX28" i="4"/>
  <c r="EL28" i="4" s="1"/>
  <c r="DX29" i="4"/>
  <c r="DX30" i="4"/>
  <c r="EL30" i="4" s="1"/>
  <c r="DX31" i="4"/>
  <c r="DX32" i="4"/>
  <c r="EL32" i="4" s="1"/>
  <c r="DX33" i="4"/>
  <c r="DX34" i="4"/>
  <c r="EL34" i="4" s="1"/>
  <c r="DX35" i="4"/>
  <c r="DX36" i="4"/>
  <c r="EL36" i="4" s="1"/>
  <c r="DX37" i="4"/>
  <c r="DX38" i="4"/>
  <c r="EL38" i="4" s="1"/>
  <c r="DX39" i="4"/>
  <c r="DX40" i="4"/>
  <c r="EL40" i="4" s="1"/>
  <c r="DX41" i="4"/>
  <c r="DX42" i="4"/>
  <c r="EL42" i="4" s="1"/>
  <c r="DX43" i="4"/>
  <c r="DX44" i="4"/>
  <c r="EL44" i="4" s="1"/>
  <c r="DX45" i="4"/>
  <c r="DX46" i="4"/>
  <c r="EL46" i="4" s="1"/>
  <c r="DX47" i="4"/>
  <c r="DX48" i="4"/>
  <c r="EL48" i="4" s="1"/>
  <c r="DX49" i="4"/>
  <c r="DX50" i="4"/>
  <c r="EL50" i="4" s="1"/>
  <c r="DX51" i="4"/>
  <c r="DX52" i="4"/>
  <c r="EL52" i="4" s="1"/>
  <c r="DX53" i="4"/>
  <c r="DX54" i="4"/>
  <c r="EL54" i="4" s="1"/>
  <c r="DX55" i="4"/>
  <c r="DX56" i="4"/>
  <c r="EL56" i="4" s="1"/>
  <c r="DX57" i="4"/>
  <c r="DI10" i="4"/>
  <c r="DJ10" i="4" s="1"/>
  <c r="DI11" i="4"/>
  <c r="DI12" i="4"/>
  <c r="DJ12" i="4" s="1"/>
  <c r="DI13" i="4"/>
  <c r="DJ13" i="4" s="1"/>
  <c r="DI14" i="4"/>
  <c r="DI15" i="4"/>
  <c r="DI16" i="4"/>
  <c r="DJ16" i="4" s="1"/>
  <c r="DI17" i="4"/>
  <c r="DI18" i="4"/>
  <c r="DI19" i="4"/>
  <c r="DI20" i="4"/>
  <c r="DJ20" i="4" s="1"/>
  <c r="DI21" i="4"/>
  <c r="DI22" i="4"/>
  <c r="DI23" i="4"/>
  <c r="DI24" i="4"/>
  <c r="DJ24" i="4" s="1"/>
  <c r="DI25" i="4"/>
  <c r="DJ25" i="4" s="1"/>
  <c r="DI26" i="4"/>
  <c r="DI27" i="4"/>
  <c r="DI28" i="4"/>
  <c r="DJ28" i="4" s="1"/>
  <c r="DI29" i="4"/>
  <c r="DI30" i="4"/>
  <c r="DI31" i="4"/>
  <c r="DI32" i="4"/>
  <c r="DJ32" i="4" s="1"/>
  <c r="DI33" i="4"/>
  <c r="DI34" i="4"/>
  <c r="DI35" i="4"/>
  <c r="DI36" i="4"/>
  <c r="DJ36" i="4" s="1"/>
  <c r="DI37" i="4"/>
  <c r="DJ37" i="4" s="1"/>
  <c r="DI38" i="4"/>
  <c r="DI39" i="4"/>
  <c r="DI40" i="4"/>
  <c r="DJ40" i="4" s="1"/>
  <c r="DI41" i="4"/>
  <c r="DI42" i="4"/>
  <c r="DI43" i="4"/>
  <c r="DI44" i="4"/>
  <c r="DJ44" i="4" s="1"/>
  <c r="DI45" i="4"/>
  <c r="DI46" i="4"/>
  <c r="DI47" i="4"/>
  <c r="DI48" i="4"/>
  <c r="DJ48" i="4" s="1"/>
  <c r="DI49" i="4"/>
  <c r="DJ49" i="4" s="1"/>
  <c r="DI50" i="4"/>
  <c r="DI51" i="4"/>
  <c r="DI52" i="4"/>
  <c r="DJ52" i="4" s="1"/>
  <c r="DI53" i="4"/>
  <c r="DI54" i="4"/>
  <c r="DI55" i="4"/>
  <c r="DJ55" i="4" s="1"/>
  <c r="DI56" i="4"/>
  <c r="DJ56" i="4" s="1"/>
  <c r="DI57" i="4"/>
  <c r="DJ11" i="4"/>
  <c r="DJ14" i="4"/>
  <c r="DJ15" i="4"/>
  <c r="DJ17" i="4"/>
  <c r="DJ18" i="4"/>
  <c r="DJ19" i="4"/>
  <c r="DJ21" i="4"/>
  <c r="DJ22" i="4"/>
  <c r="DJ23" i="4"/>
  <c r="DJ26" i="4"/>
  <c r="DJ27" i="4"/>
  <c r="DJ29" i="4"/>
  <c r="DJ30" i="4"/>
  <c r="DJ31" i="4"/>
  <c r="DJ33" i="4"/>
  <c r="DJ34" i="4"/>
  <c r="DJ35" i="4"/>
  <c r="DJ38" i="4"/>
  <c r="DJ39" i="4"/>
  <c r="DJ41" i="4"/>
  <c r="DJ42" i="4"/>
  <c r="DJ43" i="4"/>
  <c r="DJ45" i="4"/>
  <c r="DJ46" i="4"/>
  <c r="DJ47" i="4"/>
  <c r="DJ50" i="4"/>
  <c r="DJ51" i="4"/>
  <c r="DJ53" i="4"/>
  <c r="DJ54" i="4"/>
  <c r="DJ57" i="4"/>
  <c r="CH13" i="4"/>
  <c r="CH15" i="4"/>
  <c r="NR16" i="4"/>
  <c r="CH17" i="4"/>
  <c r="CH19" i="4"/>
  <c r="CH21" i="4"/>
  <c r="CH23" i="4"/>
  <c r="CH25" i="4"/>
  <c r="NR28" i="4"/>
  <c r="CH29" i="4"/>
  <c r="CH31" i="4"/>
  <c r="CH33" i="4"/>
  <c r="CH35" i="4"/>
  <c r="CH37" i="4"/>
  <c r="CH39" i="4"/>
  <c r="CH41" i="4"/>
  <c r="CH45" i="4"/>
  <c r="CH47" i="4"/>
  <c r="CH49" i="4"/>
  <c r="CH51" i="4"/>
  <c r="CH52" i="4"/>
  <c r="CH53" i="4"/>
  <c r="CH55" i="4"/>
  <c r="CH57" i="4"/>
  <c r="CH10" i="4"/>
  <c r="CH11" i="4"/>
  <c r="CH12" i="4"/>
  <c r="CH14" i="4"/>
  <c r="CH16" i="4"/>
  <c r="CH18" i="4"/>
  <c r="CH20" i="4"/>
  <c r="CH22" i="4"/>
  <c r="CH24" i="4"/>
  <c r="CH26" i="4"/>
  <c r="CH27" i="4"/>
  <c r="CH28" i="4"/>
  <c r="CH30" i="4"/>
  <c r="CH32" i="4"/>
  <c r="CH34" i="4"/>
  <c r="CH38" i="4"/>
  <c r="CH42" i="4"/>
  <c r="CH43" i="4"/>
  <c r="CH44" i="4"/>
  <c r="CH46" i="4"/>
  <c r="NQ48" i="4"/>
  <c r="CH50" i="4"/>
  <c r="CH54" i="4"/>
  <c r="BF22" i="4"/>
  <c r="BF38" i="4"/>
  <c r="BF54" i="4"/>
  <c r="BF12" i="4"/>
  <c r="BF14" i="4"/>
  <c r="BF15" i="4"/>
  <c r="BF16" i="4"/>
  <c r="BF18" i="4"/>
  <c r="BF19" i="4"/>
  <c r="BF20" i="4"/>
  <c r="BF23" i="4"/>
  <c r="BF24" i="4"/>
  <c r="BF26" i="4"/>
  <c r="BF27" i="4"/>
  <c r="BF28" i="4"/>
  <c r="BF30" i="4"/>
  <c r="BF31" i="4"/>
  <c r="BF32" i="4"/>
  <c r="BF35" i="4"/>
  <c r="BF36" i="4"/>
  <c r="BF39" i="4"/>
  <c r="BF40" i="4"/>
  <c r="BF42" i="4"/>
  <c r="BF43" i="4"/>
  <c r="BF44" i="4"/>
  <c r="BF46" i="4"/>
  <c r="BF47" i="4"/>
  <c r="BF50" i="4"/>
  <c r="BF51" i="4"/>
  <c r="BF52" i="4"/>
  <c r="BF55" i="4"/>
  <c r="BF56" i="4"/>
  <c r="BF10" i="4"/>
  <c r="AC10" i="4"/>
  <c r="AD15" i="4"/>
  <c r="AD16" i="4"/>
  <c r="AD23" i="4"/>
  <c r="AD32" i="4"/>
  <c r="AD39" i="4"/>
  <c r="AD40" i="4"/>
  <c r="AD48" i="4"/>
  <c r="AD55" i="4"/>
  <c r="NB11" i="3"/>
  <c r="NB12" i="3"/>
  <c r="NB13" i="3"/>
  <c r="NB14" i="3"/>
  <c r="NB15" i="3"/>
  <c r="NB16" i="3"/>
  <c r="NB17" i="3"/>
  <c r="NB18" i="3"/>
  <c r="NB19" i="3"/>
  <c r="NB20" i="3"/>
  <c r="NB21" i="3"/>
  <c r="NB22" i="3"/>
  <c r="NB23" i="3"/>
  <c r="NB24" i="3"/>
  <c r="NB25" i="3"/>
  <c r="NB26" i="3"/>
  <c r="NB27" i="3"/>
  <c r="NB28" i="3"/>
  <c r="NB29" i="3"/>
  <c r="NB30" i="3"/>
  <c r="NB31" i="3"/>
  <c r="NB32" i="3"/>
  <c r="NB33" i="3"/>
  <c r="NB34" i="3"/>
  <c r="NB35" i="3"/>
  <c r="NB36" i="3"/>
  <c r="NB37" i="3"/>
  <c r="NB38" i="3"/>
  <c r="NB39" i="3"/>
  <c r="NB40" i="3"/>
  <c r="NB41" i="3"/>
  <c r="NB42" i="3"/>
  <c r="NB43" i="3"/>
  <c r="NB44" i="3"/>
  <c r="NB45" i="3"/>
  <c r="NB46" i="3"/>
  <c r="NB47" i="3"/>
  <c r="NB48" i="3"/>
  <c r="NB49" i="3"/>
  <c r="NB50" i="3"/>
  <c r="NB51" i="3"/>
  <c r="NB52" i="3"/>
  <c r="NB53" i="3"/>
  <c r="NB54" i="3"/>
  <c r="NB55" i="3"/>
  <c r="NB56" i="3"/>
  <c r="NB57" i="3"/>
  <c r="LL11" i="3"/>
  <c r="LL12" i="3"/>
  <c r="LL13" i="3"/>
  <c r="LL14" i="3"/>
  <c r="LL15" i="3"/>
  <c r="LL16" i="3"/>
  <c r="LL17" i="3"/>
  <c r="LL18" i="3"/>
  <c r="LL19" i="3"/>
  <c r="LL20" i="3"/>
  <c r="LL21" i="3"/>
  <c r="LL22" i="3"/>
  <c r="LL23" i="3"/>
  <c r="LL24" i="3"/>
  <c r="LL25" i="3"/>
  <c r="LL26" i="3"/>
  <c r="LL27" i="3"/>
  <c r="LL28" i="3"/>
  <c r="LL29" i="3"/>
  <c r="LL30" i="3"/>
  <c r="LL31" i="3"/>
  <c r="LL32" i="3"/>
  <c r="LL33" i="3"/>
  <c r="LL34" i="3"/>
  <c r="LL35" i="3"/>
  <c r="LL36" i="3"/>
  <c r="LL37" i="3"/>
  <c r="LL38" i="3"/>
  <c r="LL39" i="3"/>
  <c r="LL40" i="3"/>
  <c r="LL41" i="3"/>
  <c r="LL42" i="3"/>
  <c r="LL43" i="3"/>
  <c r="LL44" i="3"/>
  <c r="LL45" i="3"/>
  <c r="LL46" i="3"/>
  <c r="LL47" i="3"/>
  <c r="LL48" i="3"/>
  <c r="LL49" i="3"/>
  <c r="LL50" i="3"/>
  <c r="LL51" i="3"/>
  <c r="LL52" i="3"/>
  <c r="LL53" i="3"/>
  <c r="LL54" i="3"/>
  <c r="LL55" i="3"/>
  <c r="LL56" i="3"/>
  <c r="LL57" i="3"/>
  <c r="LL10" i="3"/>
  <c r="KX11" i="3"/>
  <c r="KX12" i="3"/>
  <c r="KX13" i="3"/>
  <c r="KX14" i="3"/>
  <c r="KX15" i="3"/>
  <c r="KX17" i="3"/>
  <c r="KX18" i="3"/>
  <c r="KX19" i="3"/>
  <c r="KX20" i="3"/>
  <c r="KX21" i="3"/>
  <c r="KX22" i="3"/>
  <c r="KX23" i="3"/>
  <c r="KX24" i="3"/>
  <c r="KX25" i="3"/>
  <c r="KX26" i="3"/>
  <c r="KX27" i="3"/>
  <c r="KX28" i="3"/>
  <c r="KX29" i="3"/>
  <c r="KX30" i="3"/>
  <c r="KX31" i="3"/>
  <c r="KX32" i="3"/>
  <c r="KX33" i="3"/>
  <c r="KX34" i="3"/>
  <c r="KX35" i="3"/>
  <c r="KX36" i="3"/>
  <c r="KX37" i="3"/>
  <c r="KX38" i="3"/>
  <c r="KX39" i="3"/>
  <c r="KX40" i="3"/>
  <c r="KX41" i="3"/>
  <c r="KX42" i="3"/>
  <c r="KX43" i="3"/>
  <c r="KX44" i="3"/>
  <c r="KX45" i="3"/>
  <c r="KX46" i="3"/>
  <c r="KX47" i="3"/>
  <c r="KX48" i="3"/>
  <c r="KX49" i="3"/>
  <c r="KX50" i="3"/>
  <c r="KX51" i="3"/>
  <c r="KX52" i="3"/>
  <c r="KX53" i="3"/>
  <c r="KX54" i="3"/>
  <c r="KX55" i="3"/>
  <c r="KX56" i="3"/>
  <c r="KX57" i="3"/>
  <c r="KX10" i="3"/>
  <c r="JV13" i="3"/>
  <c r="JV10" i="3"/>
  <c r="IT11" i="3"/>
  <c r="HR53" i="3"/>
  <c r="IT12" i="3"/>
  <c r="IT13" i="3"/>
  <c r="IT14" i="3"/>
  <c r="IT15" i="3"/>
  <c r="IT16" i="3"/>
  <c r="IT17" i="3"/>
  <c r="IT18" i="3"/>
  <c r="IT19" i="3"/>
  <c r="IT20" i="3"/>
  <c r="IT21" i="3"/>
  <c r="IT22" i="3"/>
  <c r="IT23" i="3"/>
  <c r="IT24" i="3"/>
  <c r="IT25" i="3"/>
  <c r="IT26" i="3"/>
  <c r="IT27" i="3"/>
  <c r="IT28" i="3"/>
  <c r="IT29" i="3"/>
  <c r="IT30" i="3"/>
  <c r="IT31" i="3"/>
  <c r="IT32" i="3"/>
  <c r="IT33" i="3"/>
  <c r="IT34" i="3"/>
  <c r="IT35" i="3"/>
  <c r="IT36" i="3"/>
  <c r="IT37" i="3"/>
  <c r="IT38" i="3"/>
  <c r="IT39" i="3"/>
  <c r="IT40" i="3"/>
  <c r="IT41" i="3"/>
  <c r="IT42" i="3"/>
  <c r="IT43" i="3"/>
  <c r="IT44" i="3"/>
  <c r="IT45" i="3"/>
  <c r="IT46" i="3"/>
  <c r="IT47" i="3"/>
  <c r="IT48" i="3"/>
  <c r="IT49" i="3"/>
  <c r="IT50" i="3"/>
  <c r="IT51" i="3"/>
  <c r="IT52" i="3"/>
  <c r="IT53" i="3"/>
  <c r="IT54" i="3"/>
  <c r="IT55" i="3"/>
  <c r="IT56" i="3"/>
  <c r="IT57" i="3"/>
  <c r="IT10" i="3"/>
  <c r="JV11" i="3"/>
  <c r="JV12" i="3"/>
  <c r="JV14" i="3"/>
  <c r="JV15" i="3"/>
  <c r="JV16" i="3"/>
  <c r="JV17" i="3"/>
  <c r="JV18" i="3"/>
  <c r="JV19" i="3"/>
  <c r="JV20" i="3"/>
  <c r="JV21" i="3"/>
  <c r="JV22" i="3"/>
  <c r="JV23" i="3"/>
  <c r="JV24" i="3"/>
  <c r="JV25" i="3"/>
  <c r="JV26" i="3"/>
  <c r="JV27" i="3"/>
  <c r="JV28" i="3"/>
  <c r="JV29" i="3"/>
  <c r="JV30" i="3"/>
  <c r="JV31" i="3"/>
  <c r="JV32" i="3"/>
  <c r="JV33" i="3"/>
  <c r="JV34" i="3"/>
  <c r="JV35" i="3"/>
  <c r="JV36" i="3"/>
  <c r="JV37" i="3"/>
  <c r="JV38" i="3"/>
  <c r="JV39" i="3"/>
  <c r="JV40" i="3"/>
  <c r="JV41" i="3"/>
  <c r="JV42" i="3"/>
  <c r="JV43" i="3"/>
  <c r="JV44" i="3"/>
  <c r="JV45" i="3"/>
  <c r="JV46" i="3"/>
  <c r="JV47" i="3"/>
  <c r="JV48" i="3"/>
  <c r="JV49" i="3"/>
  <c r="JV50" i="3"/>
  <c r="JV51" i="3"/>
  <c r="JV52" i="3"/>
  <c r="JV53" i="3"/>
  <c r="JV54" i="3"/>
  <c r="JV55" i="3"/>
  <c r="JV56" i="3"/>
  <c r="JV57" i="3"/>
  <c r="HR11" i="3"/>
  <c r="HR12" i="3"/>
  <c r="HR13" i="3"/>
  <c r="HR14" i="3"/>
  <c r="HR15" i="3"/>
  <c r="HR16" i="3"/>
  <c r="HR17" i="3"/>
  <c r="HR18" i="3"/>
  <c r="HR19" i="3"/>
  <c r="HR20" i="3"/>
  <c r="HR21" i="3"/>
  <c r="HR22" i="3"/>
  <c r="HR23" i="3"/>
  <c r="HR24" i="3"/>
  <c r="HR25" i="3"/>
  <c r="HR26" i="3"/>
  <c r="HR27" i="3"/>
  <c r="HR28" i="3"/>
  <c r="HR29" i="3"/>
  <c r="HR30" i="3"/>
  <c r="HR31" i="3"/>
  <c r="HR32" i="3"/>
  <c r="HR33" i="3"/>
  <c r="HR34" i="3"/>
  <c r="HR35" i="3"/>
  <c r="HR36" i="3"/>
  <c r="HR37" i="3"/>
  <c r="HR38" i="3"/>
  <c r="HR39" i="3"/>
  <c r="HR40" i="3"/>
  <c r="HR41" i="3"/>
  <c r="HR42" i="3"/>
  <c r="HR43" i="3"/>
  <c r="HR44" i="3"/>
  <c r="HR45" i="3"/>
  <c r="HR46" i="3"/>
  <c r="HR47" i="3"/>
  <c r="HR48" i="3"/>
  <c r="HR49" i="3"/>
  <c r="HR50" i="3"/>
  <c r="HR51" i="3"/>
  <c r="HR52" i="3"/>
  <c r="HR54" i="3"/>
  <c r="HR55" i="3"/>
  <c r="HR56" i="3"/>
  <c r="HR57" i="3"/>
  <c r="HD11" i="3"/>
  <c r="HD12" i="3"/>
  <c r="HD13" i="3"/>
  <c r="HD14" i="3"/>
  <c r="HD15" i="3"/>
  <c r="HD16" i="3"/>
  <c r="HD17" i="3"/>
  <c r="HD18" i="3"/>
  <c r="HD19" i="3"/>
  <c r="NQ19" i="3" s="1"/>
  <c r="HD20" i="3"/>
  <c r="HD21" i="3"/>
  <c r="HD22" i="3"/>
  <c r="HD23" i="3"/>
  <c r="HD24" i="3"/>
  <c r="HD25" i="3"/>
  <c r="HD26" i="3"/>
  <c r="HD27" i="3"/>
  <c r="HD28" i="3"/>
  <c r="HD29" i="3"/>
  <c r="HD30" i="3"/>
  <c r="HD31" i="3"/>
  <c r="HD32" i="3"/>
  <c r="HD33" i="3"/>
  <c r="HD34" i="3"/>
  <c r="HD35" i="3"/>
  <c r="HD36" i="3"/>
  <c r="HD37" i="3"/>
  <c r="HD38" i="3"/>
  <c r="HD39" i="3"/>
  <c r="HD40" i="3"/>
  <c r="HD41" i="3"/>
  <c r="HD42" i="3"/>
  <c r="HD43" i="3"/>
  <c r="HD44" i="3"/>
  <c r="HD45" i="3"/>
  <c r="HD46" i="3"/>
  <c r="HD47" i="3"/>
  <c r="HD48" i="3"/>
  <c r="HD49" i="3"/>
  <c r="HD50" i="3"/>
  <c r="HD51" i="3"/>
  <c r="HD52" i="3"/>
  <c r="HD53" i="3"/>
  <c r="HD54" i="3"/>
  <c r="HD55" i="3"/>
  <c r="HD56" i="3"/>
  <c r="HD57" i="3"/>
  <c r="GP11" i="3"/>
  <c r="GP12" i="3"/>
  <c r="GP13" i="3"/>
  <c r="GP14" i="3"/>
  <c r="GP15" i="3"/>
  <c r="GP16" i="3"/>
  <c r="GP17" i="3"/>
  <c r="GP18" i="3"/>
  <c r="GP19" i="3"/>
  <c r="GP20" i="3"/>
  <c r="GP21" i="3"/>
  <c r="GP22" i="3"/>
  <c r="GP23" i="3"/>
  <c r="GP24" i="3"/>
  <c r="GP25" i="3"/>
  <c r="GP26" i="3"/>
  <c r="GP27" i="3"/>
  <c r="GP28" i="3"/>
  <c r="GP29" i="3"/>
  <c r="GP30" i="3"/>
  <c r="GP31" i="3"/>
  <c r="GP32" i="3"/>
  <c r="GP33" i="3"/>
  <c r="GP34" i="3"/>
  <c r="GP35" i="3"/>
  <c r="GP36" i="3"/>
  <c r="GP37" i="3"/>
  <c r="GP38" i="3"/>
  <c r="GP39" i="3"/>
  <c r="GP40" i="3"/>
  <c r="GP41" i="3"/>
  <c r="GP42" i="3"/>
  <c r="GP43" i="3"/>
  <c r="GP44" i="3"/>
  <c r="GP45" i="3"/>
  <c r="GP46" i="3"/>
  <c r="GP47" i="3"/>
  <c r="GP48" i="3"/>
  <c r="GP49" i="3"/>
  <c r="GP50" i="3"/>
  <c r="GP51" i="3"/>
  <c r="GP52" i="3"/>
  <c r="GP53" i="3"/>
  <c r="GP54" i="3"/>
  <c r="GP55" i="3"/>
  <c r="GP56" i="3"/>
  <c r="GP57" i="3"/>
  <c r="GP10" i="3"/>
  <c r="GB11" i="3"/>
  <c r="GB12" i="3"/>
  <c r="GB13" i="3"/>
  <c r="GB14" i="3"/>
  <c r="GB15" i="3"/>
  <c r="GB16" i="3"/>
  <c r="GB17" i="3"/>
  <c r="GB18" i="3"/>
  <c r="GB19" i="3"/>
  <c r="GB20" i="3"/>
  <c r="GB21" i="3"/>
  <c r="GB22" i="3"/>
  <c r="GB23" i="3"/>
  <c r="GB24" i="3"/>
  <c r="GB25" i="3"/>
  <c r="GB26" i="3"/>
  <c r="GB27" i="3"/>
  <c r="GB28" i="3"/>
  <c r="GB29" i="3"/>
  <c r="GB30" i="3"/>
  <c r="GB31" i="3"/>
  <c r="GB32" i="3"/>
  <c r="GB33" i="3"/>
  <c r="GB34" i="3"/>
  <c r="GB35" i="3"/>
  <c r="GB36" i="3"/>
  <c r="GB37" i="3"/>
  <c r="GB38" i="3"/>
  <c r="GB39" i="3"/>
  <c r="GB40" i="3"/>
  <c r="GB41" i="3"/>
  <c r="GB42" i="3"/>
  <c r="GB43" i="3"/>
  <c r="GB44" i="3"/>
  <c r="GB45" i="3"/>
  <c r="GB46" i="3"/>
  <c r="GB47" i="3"/>
  <c r="GB48" i="3"/>
  <c r="GB49" i="3"/>
  <c r="GB50" i="3"/>
  <c r="GB51" i="3"/>
  <c r="GB52" i="3"/>
  <c r="GB53" i="3"/>
  <c r="GB54" i="3"/>
  <c r="GB55" i="3"/>
  <c r="GB56" i="3"/>
  <c r="GB57" i="3"/>
  <c r="FN11" i="3"/>
  <c r="FN12" i="3"/>
  <c r="FN14" i="3"/>
  <c r="FN15" i="3"/>
  <c r="FN16" i="3"/>
  <c r="FN17" i="3"/>
  <c r="FN18" i="3"/>
  <c r="FN19" i="3"/>
  <c r="FN20" i="3"/>
  <c r="FN21" i="3"/>
  <c r="FN22" i="3"/>
  <c r="FN23" i="3"/>
  <c r="FN24" i="3"/>
  <c r="FN25" i="3"/>
  <c r="FN26" i="3"/>
  <c r="FN27" i="3"/>
  <c r="FN28" i="3"/>
  <c r="FN29" i="3"/>
  <c r="FN30" i="3"/>
  <c r="FN31" i="3"/>
  <c r="FN32" i="3"/>
  <c r="FN33" i="3"/>
  <c r="FN34" i="3"/>
  <c r="FN35" i="3"/>
  <c r="FN36" i="3"/>
  <c r="FN37" i="3"/>
  <c r="FN38" i="3"/>
  <c r="FN39" i="3"/>
  <c r="FN40" i="3"/>
  <c r="FN41" i="3"/>
  <c r="FN42" i="3"/>
  <c r="FN43" i="3"/>
  <c r="FN44" i="3"/>
  <c r="FN45" i="3"/>
  <c r="FN46" i="3"/>
  <c r="FN47" i="3"/>
  <c r="FN48" i="3"/>
  <c r="FN49" i="3"/>
  <c r="FN50" i="3"/>
  <c r="FN51" i="3"/>
  <c r="FN52" i="3"/>
  <c r="FN53" i="3"/>
  <c r="FN54" i="3"/>
  <c r="FN55" i="3"/>
  <c r="FN56" i="3"/>
  <c r="FN57" i="3"/>
  <c r="EZ11" i="3"/>
  <c r="EZ12" i="3"/>
  <c r="EZ13" i="3"/>
  <c r="EZ14" i="3"/>
  <c r="EZ15" i="3"/>
  <c r="EZ16" i="3"/>
  <c r="EZ17" i="3"/>
  <c r="EZ18" i="3"/>
  <c r="EZ19" i="3"/>
  <c r="EZ20" i="3"/>
  <c r="EZ21" i="3"/>
  <c r="EZ22" i="3"/>
  <c r="EZ23" i="3"/>
  <c r="EZ24" i="3"/>
  <c r="EZ25" i="3"/>
  <c r="EZ26" i="3"/>
  <c r="EZ27" i="3"/>
  <c r="EZ28" i="3"/>
  <c r="EZ29" i="3"/>
  <c r="EZ30" i="3"/>
  <c r="EZ31" i="3"/>
  <c r="EZ32" i="3"/>
  <c r="EZ33" i="3"/>
  <c r="EZ34" i="3"/>
  <c r="EZ35" i="3"/>
  <c r="EZ36" i="3"/>
  <c r="EZ37" i="3"/>
  <c r="EZ38" i="3"/>
  <c r="EZ39" i="3"/>
  <c r="EZ40" i="3"/>
  <c r="EZ41" i="3"/>
  <c r="EZ42" i="3"/>
  <c r="EZ43" i="3"/>
  <c r="EZ44" i="3"/>
  <c r="EZ45" i="3"/>
  <c r="EZ46" i="3"/>
  <c r="EZ47" i="3"/>
  <c r="EZ48" i="3"/>
  <c r="EZ50" i="3"/>
  <c r="EZ51" i="3"/>
  <c r="EZ52" i="3"/>
  <c r="EZ53" i="3"/>
  <c r="EZ54" i="3"/>
  <c r="EZ55" i="3"/>
  <c r="EZ56" i="3"/>
  <c r="EZ57" i="3"/>
  <c r="EZ10" i="3"/>
  <c r="EL11" i="3"/>
  <c r="EL10" i="3"/>
  <c r="DJ11" i="3"/>
  <c r="DJ12" i="3"/>
  <c r="DJ14" i="3"/>
  <c r="DJ15" i="3"/>
  <c r="DJ16" i="3"/>
  <c r="DJ17" i="3"/>
  <c r="DJ18" i="3"/>
  <c r="DJ19" i="3"/>
  <c r="DJ20" i="3"/>
  <c r="DJ21" i="3"/>
  <c r="DJ22" i="3"/>
  <c r="DJ23" i="3"/>
  <c r="DJ24" i="3"/>
  <c r="DJ25" i="3"/>
  <c r="DJ26" i="3"/>
  <c r="DJ27" i="3"/>
  <c r="DJ28" i="3"/>
  <c r="DJ29" i="3"/>
  <c r="DJ30" i="3"/>
  <c r="DJ31" i="3"/>
  <c r="DJ32" i="3"/>
  <c r="DJ33" i="3"/>
  <c r="DJ34" i="3"/>
  <c r="DJ35" i="3"/>
  <c r="DJ36" i="3"/>
  <c r="DJ37" i="3"/>
  <c r="DJ38" i="3"/>
  <c r="DJ39" i="3"/>
  <c r="DJ40" i="3"/>
  <c r="DJ41" i="3"/>
  <c r="DJ42" i="3"/>
  <c r="DJ43" i="3"/>
  <c r="DJ44" i="3"/>
  <c r="DJ45" i="3"/>
  <c r="DJ46" i="3"/>
  <c r="DJ47" i="3"/>
  <c r="DJ48" i="3"/>
  <c r="DJ49" i="3"/>
  <c r="DJ50" i="3"/>
  <c r="DJ51" i="3"/>
  <c r="DJ52" i="3"/>
  <c r="DJ53" i="3"/>
  <c r="DJ54" i="3"/>
  <c r="DJ55" i="3"/>
  <c r="DJ56" i="3"/>
  <c r="DJ57" i="3"/>
  <c r="DJ10" i="3"/>
  <c r="CH11" i="3"/>
  <c r="CH12" i="3"/>
  <c r="CH14" i="3"/>
  <c r="CH15" i="3"/>
  <c r="CH16" i="3"/>
  <c r="CH17" i="3"/>
  <c r="CH18" i="3"/>
  <c r="CH19" i="3"/>
  <c r="CH20" i="3"/>
  <c r="CH21" i="3"/>
  <c r="CH22" i="3"/>
  <c r="CH23" i="3"/>
  <c r="CH24" i="3"/>
  <c r="CH25" i="3"/>
  <c r="CH26" i="3"/>
  <c r="CH27" i="3"/>
  <c r="CH28" i="3"/>
  <c r="CH29" i="3"/>
  <c r="CH30" i="3"/>
  <c r="CH31" i="3"/>
  <c r="CH32" i="3"/>
  <c r="CH33" i="3"/>
  <c r="CH34" i="3"/>
  <c r="CH35" i="3"/>
  <c r="CH36" i="3"/>
  <c r="CH37" i="3"/>
  <c r="CH38" i="3"/>
  <c r="CH39" i="3"/>
  <c r="CH40" i="3"/>
  <c r="CH41" i="3"/>
  <c r="CH42" i="3"/>
  <c r="CH43" i="3"/>
  <c r="CH44" i="3"/>
  <c r="CH45" i="3"/>
  <c r="CH46" i="3"/>
  <c r="CH47" i="3"/>
  <c r="CH48" i="3"/>
  <c r="CH49" i="3"/>
  <c r="CH50" i="3"/>
  <c r="CH51" i="3"/>
  <c r="CH52" i="3"/>
  <c r="CH53" i="3"/>
  <c r="CH54" i="3"/>
  <c r="CH55" i="3"/>
  <c r="CH56" i="3"/>
  <c r="CH57" i="3"/>
  <c r="BF11" i="3"/>
  <c r="BF12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AC62" i="4"/>
  <c r="AC56" i="4"/>
  <c r="NS56" i="4" s="1"/>
  <c r="Q55" i="4"/>
  <c r="Q49" i="4"/>
  <c r="AC43" i="4"/>
  <c r="AB43" i="4"/>
  <c r="Q43" i="4"/>
  <c r="R37" i="4"/>
  <c r="S37" i="4"/>
  <c r="T37" i="4"/>
  <c r="U37" i="4"/>
  <c r="V37" i="4"/>
  <c r="W37" i="4"/>
  <c r="X37" i="4"/>
  <c r="Y37" i="4"/>
  <c r="Z37" i="4"/>
  <c r="AA37" i="4"/>
  <c r="AB37" i="4"/>
  <c r="Q37" i="4"/>
  <c r="AC31" i="4"/>
  <c r="R31" i="4"/>
  <c r="S31" i="4"/>
  <c r="T31" i="4"/>
  <c r="U31" i="4"/>
  <c r="V31" i="4"/>
  <c r="W31" i="4"/>
  <c r="X31" i="4"/>
  <c r="Y31" i="4"/>
  <c r="Z31" i="4"/>
  <c r="AA31" i="4"/>
  <c r="AB31" i="4"/>
  <c r="Q31" i="4"/>
  <c r="AC28" i="4"/>
  <c r="AD11" i="4"/>
  <c r="AD12" i="4"/>
  <c r="AD19" i="4"/>
  <c r="AD20" i="4"/>
  <c r="AD27" i="4"/>
  <c r="AD33" i="4"/>
  <c r="AD35" i="4"/>
  <c r="AD36" i="4"/>
  <c r="AD44" i="4"/>
  <c r="AD47" i="4"/>
  <c r="AD51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9" i="4"/>
  <c r="AC30" i="4"/>
  <c r="AC32" i="4"/>
  <c r="AC33" i="4"/>
  <c r="AC34" i="4"/>
  <c r="AC35" i="4"/>
  <c r="AC36" i="4"/>
  <c r="AC37" i="4"/>
  <c r="AC38" i="4"/>
  <c r="AC39" i="4"/>
  <c r="AC40" i="4"/>
  <c r="AC41" i="4"/>
  <c r="AC42" i="4"/>
  <c r="AD43" i="4"/>
  <c r="AC44" i="4"/>
  <c r="AC45" i="4"/>
  <c r="AC46" i="4"/>
  <c r="AC47" i="4"/>
  <c r="AC48" i="4"/>
  <c r="AC49" i="4"/>
  <c r="AC50" i="4"/>
  <c r="AC51" i="4"/>
  <c r="AC52" i="4"/>
  <c r="NS52" i="4" s="1"/>
  <c r="AC53" i="4"/>
  <c r="AC54" i="4"/>
  <c r="AC55" i="4"/>
  <c r="NS55" i="4" s="1"/>
  <c r="AC57" i="4"/>
  <c r="AD57" i="4" s="1"/>
  <c r="AC63" i="4"/>
  <c r="Q13" i="4"/>
  <c r="AB25" i="4"/>
  <c r="AA25" i="4"/>
  <c r="Z25" i="4"/>
  <c r="Y25" i="4"/>
  <c r="X25" i="4"/>
  <c r="W25" i="4"/>
  <c r="V25" i="4"/>
  <c r="U25" i="4"/>
  <c r="T25" i="4"/>
  <c r="S25" i="4"/>
  <c r="R25" i="4"/>
  <c r="Q25" i="4"/>
  <c r="AB19" i="4"/>
  <c r="AA19" i="4"/>
  <c r="Z19" i="4"/>
  <c r="Y19" i="4"/>
  <c r="X19" i="4"/>
  <c r="W19" i="4"/>
  <c r="V19" i="4"/>
  <c r="U19" i="4"/>
  <c r="T19" i="4"/>
  <c r="S19" i="4"/>
  <c r="R19" i="4"/>
  <c r="Q19" i="4"/>
  <c r="AB13" i="4"/>
  <c r="AA13" i="4"/>
  <c r="Z13" i="4"/>
  <c r="Y13" i="4"/>
  <c r="X13" i="4"/>
  <c r="X61" i="4" s="1"/>
  <c r="W13" i="4"/>
  <c r="V13" i="4"/>
  <c r="U13" i="4"/>
  <c r="T13" i="4"/>
  <c r="S13" i="4"/>
  <c r="R13" i="4"/>
  <c r="AB60" i="4"/>
  <c r="AA60" i="4"/>
  <c r="Z60" i="4"/>
  <c r="Y60" i="4"/>
  <c r="X60" i="4"/>
  <c r="W60" i="4"/>
  <c r="V60" i="4"/>
  <c r="AC60" i="4" s="1"/>
  <c r="U60" i="4"/>
  <c r="T60" i="4"/>
  <c r="S60" i="4"/>
  <c r="R60" i="4"/>
  <c r="Q60" i="4"/>
  <c r="AB59" i="4"/>
  <c r="AA59" i="4"/>
  <c r="Z59" i="4"/>
  <c r="Y59" i="4"/>
  <c r="X59" i="4"/>
  <c r="W59" i="4"/>
  <c r="V59" i="4"/>
  <c r="AC59" i="4" s="1"/>
  <c r="U59" i="4"/>
  <c r="T59" i="4"/>
  <c r="S59" i="4"/>
  <c r="R59" i="4"/>
  <c r="Q59" i="4"/>
  <c r="AB58" i="4"/>
  <c r="AA58" i="4"/>
  <c r="Z58" i="4"/>
  <c r="Y58" i="4"/>
  <c r="X58" i="4"/>
  <c r="W58" i="4"/>
  <c r="V58" i="4"/>
  <c r="AC58" i="4" s="1"/>
  <c r="U58" i="4"/>
  <c r="T58" i="4"/>
  <c r="S58" i="4"/>
  <c r="R58" i="4"/>
  <c r="Q58" i="4"/>
  <c r="U55" i="4"/>
  <c r="T55" i="4"/>
  <c r="S55" i="4"/>
  <c r="R55" i="4"/>
  <c r="AB49" i="4"/>
  <c r="AA49" i="4"/>
  <c r="Z49" i="4"/>
  <c r="Y49" i="4"/>
  <c r="X49" i="4"/>
  <c r="W49" i="4"/>
  <c r="V49" i="4"/>
  <c r="U49" i="4"/>
  <c r="T49" i="4"/>
  <c r="S49" i="4"/>
  <c r="R49" i="4"/>
  <c r="AB61" i="4"/>
  <c r="AA43" i="4"/>
  <c r="AA61" i="4" s="1"/>
  <c r="Z43" i="4"/>
  <c r="Z61" i="4" s="1"/>
  <c r="Y43" i="4"/>
  <c r="X43" i="4"/>
  <c r="W43" i="4"/>
  <c r="V43" i="4"/>
  <c r="U43" i="4"/>
  <c r="T43" i="4"/>
  <c r="T61" i="4" s="1"/>
  <c r="S43" i="4"/>
  <c r="S61" i="4" s="1"/>
  <c r="R43" i="4"/>
  <c r="R61" i="4" s="1"/>
  <c r="NB55" i="4" l="1"/>
  <c r="NB51" i="4"/>
  <c r="NB47" i="4"/>
  <c r="NB43" i="4"/>
  <c r="NB39" i="4"/>
  <c r="NB35" i="4"/>
  <c r="NB31" i="4"/>
  <c r="NB27" i="4"/>
  <c r="NB23" i="4"/>
  <c r="NB19" i="4"/>
  <c r="NB15" i="4"/>
  <c r="NB11" i="4"/>
  <c r="NB54" i="4"/>
  <c r="NB50" i="4"/>
  <c r="NB46" i="4"/>
  <c r="NB42" i="4"/>
  <c r="NB38" i="4"/>
  <c r="NB34" i="4"/>
  <c r="NB30" i="4"/>
  <c r="NB26" i="4"/>
  <c r="NB22" i="4"/>
  <c r="NB18" i="4"/>
  <c r="NB14" i="4"/>
  <c r="NB57" i="4"/>
  <c r="NB53" i="4"/>
  <c r="NB49" i="4"/>
  <c r="NB45" i="4"/>
  <c r="NB41" i="4"/>
  <c r="NB37" i="4"/>
  <c r="NB33" i="4"/>
  <c r="NB29" i="4"/>
  <c r="NB25" i="4"/>
  <c r="NB21" i="4"/>
  <c r="NB17" i="4"/>
  <c r="NB13" i="4"/>
  <c r="NR54" i="4"/>
  <c r="NR10" i="3"/>
  <c r="NR49" i="3"/>
  <c r="KX55" i="4"/>
  <c r="KX51" i="4"/>
  <c r="KX47" i="4"/>
  <c r="KX43" i="4"/>
  <c r="KX39" i="4"/>
  <c r="KX35" i="4"/>
  <c r="KX31" i="4"/>
  <c r="KX27" i="4"/>
  <c r="KX23" i="4"/>
  <c r="KX19" i="4"/>
  <c r="KX15" i="4"/>
  <c r="KX11" i="4"/>
  <c r="NR11" i="4"/>
  <c r="NR53" i="4"/>
  <c r="NR45" i="4"/>
  <c r="NR29" i="4"/>
  <c r="NR21" i="4"/>
  <c r="NR37" i="4"/>
  <c r="NR13" i="4"/>
  <c r="NR48" i="3"/>
  <c r="NR44" i="3"/>
  <c r="NR40" i="3"/>
  <c r="NR36" i="3"/>
  <c r="NR32" i="3"/>
  <c r="NR28" i="3"/>
  <c r="NR24" i="3"/>
  <c r="NR20" i="3"/>
  <c r="NR16" i="3"/>
  <c r="NR12" i="3"/>
  <c r="NR56" i="3"/>
  <c r="NR52" i="3"/>
  <c r="NR54" i="3"/>
  <c r="NR50" i="3"/>
  <c r="NR46" i="3"/>
  <c r="NR42" i="3"/>
  <c r="NR38" i="3"/>
  <c r="NR34" i="3"/>
  <c r="NR30" i="3"/>
  <c r="NR26" i="3"/>
  <c r="NR22" i="3"/>
  <c r="NR18" i="3"/>
  <c r="NR14" i="3"/>
  <c r="NR57" i="3"/>
  <c r="NR53" i="3"/>
  <c r="NR45" i="3"/>
  <c r="NR41" i="3"/>
  <c r="NR37" i="3"/>
  <c r="NR33" i="3"/>
  <c r="NR29" i="3"/>
  <c r="NR25" i="3"/>
  <c r="NR21" i="3"/>
  <c r="NR17" i="3"/>
  <c r="NR55" i="3"/>
  <c r="NR51" i="3"/>
  <c r="NR47" i="3"/>
  <c r="NR43" i="3"/>
  <c r="NR39" i="3"/>
  <c r="NR35" i="3"/>
  <c r="NR31" i="3"/>
  <c r="NR27" i="3"/>
  <c r="NR23" i="3"/>
  <c r="NR19" i="3"/>
  <c r="NT19" i="3" s="1"/>
  <c r="NR15" i="3"/>
  <c r="NR11" i="3"/>
  <c r="NS53" i="4"/>
  <c r="JV10" i="4"/>
  <c r="JV48" i="4"/>
  <c r="JV44" i="4"/>
  <c r="JV40" i="4"/>
  <c r="JV36" i="4"/>
  <c r="JV32" i="4"/>
  <c r="JV28" i="4"/>
  <c r="JV24" i="4"/>
  <c r="JV20" i="4"/>
  <c r="JV16" i="4"/>
  <c r="JV12" i="4"/>
  <c r="NS50" i="4"/>
  <c r="NS46" i="4"/>
  <c r="NS42" i="4"/>
  <c r="NS38" i="4"/>
  <c r="NS34" i="4"/>
  <c r="NS30" i="4"/>
  <c r="NS26" i="4"/>
  <c r="NS22" i="4"/>
  <c r="NS18" i="4"/>
  <c r="NS14" i="4"/>
  <c r="JV51" i="4"/>
  <c r="JV47" i="4"/>
  <c r="JV43" i="4"/>
  <c r="JV39" i="4"/>
  <c r="JV35" i="4"/>
  <c r="JV31" i="4"/>
  <c r="JV27" i="4"/>
  <c r="JV23" i="4"/>
  <c r="JV19" i="4"/>
  <c r="JV15" i="4"/>
  <c r="JV11" i="4"/>
  <c r="NS49" i="4"/>
  <c r="NS45" i="4"/>
  <c r="NS41" i="4"/>
  <c r="NS37" i="4"/>
  <c r="NS33" i="4"/>
  <c r="NS29" i="4"/>
  <c r="NS25" i="4"/>
  <c r="NS21" i="4"/>
  <c r="NS17" i="4"/>
  <c r="NS13" i="4"/>
  <c r="JV54" i="4"/>
  <c r="NS57" i="4"/>
  <c r="AD54" i="4"/>
  <c r="P59" i="4"/>
  <c r="P62" i="4"/>
  <c r="P60" i="4"/>
  <c r="P58" i="4"/>
  <c r="AD58" i="4" s="1"/>
  <c r="NR56" i="4"/>
  <c r="NR52" i="4"/>
  <c r="CH36" i="4"/>
  <c r="CH56" i="4"/>
  <c r="CH40" i="4"/>
  <c r="NR57" i="4"/>
  <c r="NR49" i="4"/>
  <c r="NR41" i="4"/>
  <c r="NR33" i="4"/>
  <c r="NR25" i="4"/>
  <c r="NR17" i="4"/>
  <c r="NQ41" i="4"/>
  <c r="NQ37" i="4"/>
  <c r="NQ33" i="4"/>
  <c r="NQ21" i="4"/>
  <c r="NQ17" i="4"/>
  <c r="CH48" i="4"/>
  <c r="NQ53" i="4"/>
  <c r="NQ49" i="4"/>
  <c r="NQ12" i="4"/>
  <c r="NQ57" i="4"/>
  <c r="BF48" i="4"/>
  <c r="NQ55" i="4"/>
  <c r="NQ47" i="4"/>
  <c r="NQ43" i="4"/>
  <c r="NQ39" i="4"/>
  <c r="NQ35" i="4"/>
  <c r="NQ31" i="4"/>
  <c r="NQ27" i="4"/>
  <c r="NQ23" i="4"/>
  <c r="NQ19" i="4"/>
  <c r="NQ15" i="4"/>
  <c r="NQ11" i="4"/>
  <c r="NQ51" i="4"/>
  <c r="NQ10" i="4"/>
  <c r="NQ50" i="4"/>
  <c r="NT50" i="4" s="1"/>
  <c r="NQ34" i="4"/>
  <c r="NQ26" i="4"/>
  <c r="NT26" i="4" s="1"/>
  <c r="NQ56" i="4"/>
  <c r="NQ52" i="4"/>
  <c r="NQ44" i="4"/>
  <c r="NT44" i="4" s="1"/>
  <c r="NQ40" i="4"/>
  <c r="NT40" i="4" s="1"/>
  <c r="NQ36" i="4"/>
  <c r="NT36" i="4" s="1"/>
  <c r="NQ32" i="4"/>
  <c r="NT32" i="4" s="1"/>
  <c r="NQ28" i="4"/>
  <c r="NT28" i="4" s="1"/>
  <c r="NQ20" i="4"/>
  <c r="NT20" i="4" s="1"/>
  <c r="NQ16" i="4"/>
  <c r="NT16" i="4" s="1"/>
  <c r="BF57" i="4"/>
  <c r="BF53" i="4"/>
  <c r="BF49" i="4"/>
  <c r="BF45" i="4"/>
  <c r="BF41" i="4"/>
  <c r="BF37" i="4"/>
  <c r="BF33" i="4"/>
  <c r="BF29" i="4"/>
  <c r="BF25" i="4"/>
  <c r="BF21" i="4"/>
  <c r="BF17" i="4"/>
  <c r="BF13" i="4"/>
  <c r="NT12" i="4"/>
  <c r="NR55" i="4"/>
  <c r="NR51" i="4"/>
  <c r="NR47" i="4"/>
  <c r="NR43" i="4"/>
  <c r="NR39" i="4"/>
  <c r="NR35" i="4"/>
  <c r="NR31" i="4"/>
  <c r="NR27" i="4"/>
  <c r="NR23" i="4"/>
  <c r="NR19" i="4"/>
  <c r="NR15" i="4"/>
  <c r="NT48" i="4"/>
  <c r="AD53" i="4"/>
  <c r="AD41" i="4"/>
  <c r="AD17" i="4"/>
  <c r="AD21" i="4"/>
  <c r="P63" i="4"/>
  <c r="P61" i="4"/>
  <c r="AD10" i="4"/>
  <c r="NQ46" i="4"/>
  <c r="NT46" i="4" s="1"/>
  <c r="NQ38" i="4"/>
  <c r="NQ30" i="4"/>
  <c r="NQ22" i="4"/>
  <c r="NQ18" i="4"/>
  <c r="NT18" i="4" s="1"/>
  <c r="AD26" i="4"/>
  <c r="AD34" i="4"/>
  <c r="AD28" i="4"/>
  <c r="NQ54" i="4"/>
  <c r="NT54" i="4" s="1"/>
  <c r="NQ45" i="4"/>
  <c r="NT45" i="4" s="1"/>
  <c r="NQ29" i="4"/>
  <c r="NQ25" i="4"/>
  <c r="NQ13" i="4"/>
  <c r="NQ42" i="4"/>
  <c r="NT42" i="4" s="1"/>
  <c r="NQ14" i="4"/>
  <c r="AD52" i="4"/>
  <c r="NQ24" i="4"/>
  <c r="NT24" i="4" s="1"/>
  <c r="AD49" i="4"/>
  <c r="AD37" i="4"/>
  <c r="AD50" i="4"/>
  <c r="U61" i="4"/>
  <c r="AD31" i="4"/>
  <c r="V61" i="4"/>
  <c r="W61" i="4"/>
  <c r="Y61" i="4"/>
  <c r="NT11" i="4" l="1"/>
  <c r="NT13" i="4"/>
  <c r="NT41" i="4"/>
  <c r="NT53" i="4"/>
  <c r="NT38" i="4"/>
  <c r="NT34" i="4"/>
  <c r="NT22" i="4"/>
  <c r="NT14" i="4"/>
  <c r="NT30" i="4"/>
  <c r="NT49" i="4"/>
  <c r="NT29" i="4"/>
  <c r="NT21" i="4"/>
  <c r="NT37" i="4"/>
  <c r="NT23" i="4"/>
  <c r="NT17" i="4"/>
  <c r="NT52" i="4"/>
  <c r="NT56" i="4"/>
  <c r="NT25" i="4"/>
  <c r="NT57" i="4"/>
  <c r="NT39" i="4"/>
  <c r="NT33" i="4"/>
  <c r="NT51" i="4"/>
  <c r="NT27" i="4"/>
  <c r="NT47" i="4"/>
  <c r="NT15" i="4"/>
  <c r="NT43" i="4"/>
  <c r="NT31" i="4"/>
  <c r="NT35" i="4"/>
  <c r="NT19" i="4"/>
  <c r="NT55" i="4"/>
  <c r="AC61" i="4"/>
  <c r="AC28" i="3" l="1"/>
  <c r="AD19" i="3"/>
  <c r="AC10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NS52" i="3" s="1"/>
  <c r="AC53" i="3"/>
  <c r="NS53" i="3" s="1"/>
  <c r="AC54" i="3"/>
  <c r="NS54" i="3" s="1"/>
  <c r="AC55" i="3"/>
  <c r="NS55" i="3" s="1"/>
  <c r="AC56" i="3"/>
  <c r="NS56" i="3" s="1"/>
  <c r="AC57" i="3"/>
  <c r="NS57" i="3" s="1"/>
  <c r="AC11" i="3"/>
  <c r="Q58" i="3"/>
  <c r="D59" i="3"/>
  <c r="E59" i="3"/>
  <c r="F59" i="3"/>
  <c r="G59" i="3"/>
  <c r="H59" i="3"/>
  <c r="I59" i="3"/>
  <c r="J59" i="3"/>
  <c r="K59" i="3"/>
  <c r="L59" i="3"/>
  <c r="M59" i="3"/>
  <c r="N59" i="3"/>
  <c r="O59" i="3"/>
  <c r="D60" i="3"/>
  <c r="E60" i="3"/>
  <c r="F60" i="3"/>
  <c r="G60" i="3"/>
  <c r="H60" i="3"/>
  <c r="I60" i="3"/>
  <c r="J60" i="3"/>
  <c r="K60" i="3"/>
  <c r="L60" i="3"/>
  <c r="M60" i="3"/>
  <c r="N60" i="3"/>
  <c r="O60" i="3"/>
  <c r="E61" i="3"/>
  <c r="F61" i="3"/>
  <c r="G61" i="3"/>
  <c r="H61" i="3"/>
  <c r="I61" i="3"/>
  <c r="J61" i="3"/>
  <c r="K61" i="3"/>
  <c r="L61" i="3"/>
  <c r="M61" i="3"/>
  <c r="N61" i="3"/>
  <c r="O61" i="3"/>
  <c r="D62" i="3"/>
  <c r="E62" i="3"/>
  <c r="F62" i="3"/>
  <c r="G62" i="3"/>
  <c r="H62" i="3"/>
  <c r="I62" i="3"/>
  <c r="J62" i="3"/>
  <c r="K62" i="3"/>
  <c r="L62" i="3"/>
  <c r="M62" i="3"/>
  <c r="N62" i="3"/>
  <c r="O62" i="3"/>
  <c r="D63" i="3"/>
  <c r="E63" i="3"/>
  <c r="F63" i="3"/>
  <c r="G63" i="3"/>
  <c r="H63" i="3"/>
  <c r="I63" i="3"/>
  <c r="J63" i="3"/>
  <c r="K63" i="3"/>
  <c r="L63" i="3"/>
  <c r="M63" i="3"/>
  <c r="N63" i="3"/>
  <c r="O63" i="3"/>
  <c r="E58" i="3"/>
  <c r="F58" i="3"/>
  <c r="G58" i="3"/>
  <c r="H58" i="3"/>
  <c r="I58" i="3"/>
  <c r="P58" i="3" s="1"/>
  <c r="J58" i="3"/>
  <c r="K58" i="3"/>
  <c r="L58" i="3"/>
  <c r="M58" i="3"/>
  <c r="N58" i="3"/>
  <c r="O58" i="3"/>
  <c r="R55" i="3"/>
  <c r="S55" i="3"/>
  <c r="T55" i="3"/>
  <c r="U55" i="3"/>
  <c r="Q55" i="3"/>
  <c r="P55" i="3"/>
  <c r="NQ55" i="3" s="1"/>
  <c r="NT55" i="3" s="1"/>
  <c r="R49" i="3"/>
  <c r="S49" i="3"/>
  <c r="T49" i="3"/>
  <c r="U49" i="3"/>
  <c r="V49" i="3"/>
  <c r="W49" i="3"/>
  <c r="X49" i="3"/>
  <c r="Y49" i="3"/>
  <c r="Z49" i="3"/>
  <c r="AA49" i="3"/>
  <c r="AB49" i="3"/>
  <c r="Q49" i="3"/>
  <c r="P49" i="3"/>
  <c r="R43" i="3"/>
  <c r="S43" i="3"/>
  <c r="T43" i="3"/>
  <c r="U43" i="3"/>
  <c r="V43" i="3"/>
  <c r="W43" i="3"/>
  <c r="X43" i="3"/>
  <c r="Y43" i="3"/>
  <c r="Z43" i="3"/>
  <c r="AA43" i="3"/>
  <c r="AB43" i="3"/>
  <c r="Q43" i="3"/>
  <c r="P43" i="3"/>
  <c r="R37" i="3"/>
  <c r="S37" i="3"/>
  <c r="T37" i="3"/>
  <c r="U37" i="3"/>
  <c r="V37" i="3"/>
  <c r="W37" i="3"/>
  <c r="X37" i="3"/>
  <c r="Y37" i="3"/>
  <c r="Y61" i="3" s="1"/>
  <c r="Z37" i="3"/>
  <c r="AA37" i="3"/>
  <c r="AB37" i="3"/>
  <c r="Q37" i="3"/>
  <c r="P37" i="3"/>
  <c r="R31" i="3"/>
  <c r="S31" i="3"/>
  <c r="T31" i="3"/>
  <c r="U31" i="3"/>
  <c r="V31" i="3"/>
  <c r="W31" i="3"/>
  <c r="X31" i="3"/>
  <c r="Y31" i="3"/>
  <c r="Z31" i="3"/>
  <c r="AA31" i="3"/>
  <c r="AB31" i="3"/>
  <c r="Q31" i="3"/>
  <c r="R25" i="3"/>
  <c r="S25" i="3"/>
  <c r="T25" i="3"/>
  <c r="U25" i="3"/>
  <c r="V25" i="3"/>
  <c r="W25" i="3"/>
  <c r="X25" i="3"/>
  <c r="Y25" i="3"/>
  <c r="Z25" i="3"/>
  <c r="AA25" i="3"/>
  <c r="AB25" i="3"/>
  <c r="Q25" i="3"/>
  <c r="R19" i="3"/>
  <c r="S19" i="3"/>
  <c r="T19" i="3"/>
  <c r="U19" i="3"/>
  <c r="U61" i="3" s="1"/>
  <c r="V19" i="3"/>
  <c r="V61" i="3" s="1"/>
  <c r="W19" i="3"/>
  <c r="W61" i="3" s="1"/>
  <c r="X19" i="3"/>
  <c r="X61" i="3" s="1"/>
  <c r="Y19" i="3"/>
  <c r="Z19" i="3"/>
  <c r="AA19" i="3"/>
  <c r="AB19" i="3"/>
  <c r="Q19" i="3"/>
  <c r="P11" i="3"/>
  <c r="NQ11" i="3" s="1"/>
  <c r="NT11" i="3" s="1"/>
  <c r="P12" i="3"/>
  <c r="NQ12" i="3" s="1"/>
  <c r="NT12" i="3" s="1"/>
  <c r="P14" i="3"/>
  <c r="P15" i="3"/>
  <c r="NQ15" i="3" s="1"/>
  <c r="NT15" i="3" s="1"/>
  <c r="P16" i="3"/>
  <c r="NQ16" i="3" s="1"/>
  <c r="NT16" i="3" s="1"/>
  <c r="P17" i="3"/>
  <c r="P18" i="3"/>
  <c r="P20" i="3"/>
  <c r="NQ20" i="3" s="1"/>
  <c r="NT20" i="3" s="1"/>
  <c r="P21" i="3"/>
  <c r="P22" i="3"/>
  <c r="P23" i="3"/>
  <c r="NQ23" i="3" s="1"/>
  <c r="NT23" i="3" s="1"/>
  <c r="P24" i="3"/>
  <c r="NQ24" i="3" s="1"/>
  <c r="NT24" i="3" s="1"/>
  <c r="P26" i="3"/>
  <c r="P27" i="3"/>
  <c r="P28" i="3"/>
  <c r="P29" i="3"/>
  <c r="NQ29" i="3" s="1"/>
  <c r="NT29" i="3" s="1"/>
  <c r="P30" i="3"/>
  <c r="P31" i="3"/>
  <c r="P32" i="3"/>
  <c r="NQ32" i="3" s="1"/>
  <c r="NT32" i="3" s="1"/>
  <c r="P33" i="3"/>
  <c r="NQ33" i="3" s="1"/>
  <c r="NT33" i="3" s="1"/>
  <c r="P34" i="3"/>
  <c r="P35" i="3"/>
  <c r="P36" i="3"/>
  <c r="NQ36" i="3" s="1"/>
  <c r="NT36" i="3" s="1"/>
  <c r="P38" i="3"/>
  <c r="P39" i="3"/>
  <c r="P40" i="3"/>
  <c r="P41" i="3"/>
  <c r="NQ41" i="3" s="1"/>
  <c r="NT41" i="3" s="1"/>
  <c r="P42" i="3"/>
  <c r="P44" i="3"/>
  <c r="P45" i="3"/>
  <c r="P46" i="3"/>
  <c r="P47" i="3"/>
  <c r="P48" i="3"/>
  <c r="P50" i="3"/>
  <c r="P51" i="3"/>
  <c r="NQ51" i="3" s="1"/>
  <c r="NT51" i="3" s="1"/>
  <c r="P52" i="3"/>
  <c r="P53" i="3"/>
  <c r="P54" i="3"/>
  <c r="P57" i="3"/>
  <c r="Q13" i="3"/>
  <c r="R13" i="3"/>
  <c r="S13" i="3"/>
  <c r="T13" i="3"/>
  <c r="U13" i="3"/>
  <c r="V13" i="3"/>
  <c r="W13" i="3"/>
  <c r="X13" i="3"/>
  <c r="Y13" i="3"/>
  <c r="Z13" i="3"/>
  <c r="AA13" i="3"/>
  <c r="AB13" i="3"/>
  <c r="DJ13" i="3"/>
  <c r="Q59" i="3"/>
  <c r="R59" i="3"/>
  <c r="S59" i="3"/>
  <c r="T59" i="3"/>
  <c r="U59" i="3"/>
  <c r="V59" i="3"/>
  <c r="AC59" i="3" s="1"/>
  <c r="W59" i="3"/>
  <c r="X59" i="3"/>
  <c r="Y59" i="3"/>
  <c r="Z59" i="3"/>
  <c r="AA59" i="3"/>
  <c r="AB59" i="3"/>
  <c r="Q60" i="3"/>
  <c r="R60" i="3"/>
  <c r="S60" i="3"/>
  <c r="T60" i="3"/>
  <c r="U60" i="3"/>
  <c r="V60" i="3"/>
  <c r="AC60" i="3" s="1"/>
  <c r="W60" i="3"/>
  <c r="X60" i="3"/>
  <c r="Y60" i="3"/>
  <c r="Z60" i="3"/>
  <c r="AA60" i="3"/>
  <c r="AB60" i="3"/>
  <c r="R61" i="3"/>
  <c r="S61" i="3"/>
  <c r="T61" i="3"/>
  <c r="Z61" i="3"/>
  <c r="AA61" i="3"/>
  <c r="AB61" i="3"/>
  <c r="Q62" i="3"/>
  <c r="R62" i="3"/>
  <c r="S62" i="3"/>
  <c r="T62" i="3"/>
  <c r="U62" i="3"/>
  <c r="V62" i="3"/>
  <c r="AC62" i="3" s="1"/>
  <c r="W62" i="3"/>
  <c r="X62" i="3"/>
  <c r="Y62" i="3"/>
  <c r="Z62" i="3"/>
  <c r="AA62" i="3"/>
  <c r="AB62" i="3"/>
  <c r="Q63" i="3"/>
  <c r="R63" i="3"/>
  <c r="S63" i="3"/>
  <c r="T63" i="3"/>
  <c r="U63" i="3"/>
  <c r="V63" i="3"/>
  <c r="AC63" i="3" s="1"/>
  <c r="W63" i="3"/>
  <c r="X63" i="3"/>
  <c r="Y63" i="3"/>
  <c r="Z63" i="3"/>
  <c r="AA63" i="3"/>
  <c r="AB63" i="3"/>
  <c r="R58" i="3"/>
  <c r="S58" i="3"/>
  <c r="T58" i="3"/>
  <c r="U58" i="3"/>
  <c r="V58" i="3"/>
  <c r="AC58" i="3" s="1"/>
  <c r="W58" i="3"/>
  <c r="X58" i="3"/>
  <c r="Y58" i="3"/>
  <c r="Z58" i="3"/>
  <c r="AA58" i="3"/>
  <c r="AB58" i="3"/>
  <c r="MN63" i="4"/>
  <c r="LZ63" i="4"/>
  <c r="KJ63" i="4"/>
  <c r="HR63" i="4"/>
  <c r="HD63" i="4"/>
  <c r="GB63" i="4"/>
  <c r="FN63" i="4"/>
  <c r="EZ63" i="4"/>
  <c r="NA62" i="4"/>
  <c r="MN62" i="4"/>
  <c r="IS62" i="4"/>
  <c r="EZ62" i="4"/>
  <c r="NA61" i="4"/>
  <c r="FN61" i="4"/>
  <c r="NP60" i="4"/>
  <c r="NA60" i="4"/>
  <c r="JH60" i="4"/>
  <c r="HR60" i="4"/>
  <c r="NA59" i="4"/>
  <c r="LZ59" i="4"/>
  <c r="HR59" i="4"/>
  <c r="GB59" i="4"/>
  <c r="EZ59" i="4"/>
  <c r="NA58" i="4"/>
  <c r="LZ58" i="4"/>
  <c r="HR58" i="4"/>
  <c r="FN58" i="4"/>
  <c r="BF11" i="4"/>
  <c r="NR10" i="4"/>
  <c r="NT10" i="4" s="1"/>
  <c r="EL57" i="3"/>
  <c r="EL56" i="3"/>
  <c r="EL55" i="3"/>
  <c r="EL54" i="3"/>
  <c r="EL53" i="3"/>
  <c r="EL52" i="3"/>
  <c r="EL51" i="3"/>
  <c r="EL50" i="3"/>
  <c r="EL49" i="3"/>
  <c r="EL48" i="3"/>
  <c r="EL47" i="3"/>
  <c r="EL46" i="3"/>
  <c r="EL45" i="3"/>
  <c r="EL44" i="3"/>
  <c r="EL43" i="3"/>
  <c r="EL42" i="3"/>
  <c r="EL41" i="3"/>
  <c r="EL40" i="3"/>
  <c r="EL39" i="3"/>
  <c r="EL38" i="3"/>
  <c r="EL37" i="3"/>
  <c r="EL36" i="3"/>
  <c r="EL35" i="3"/>
  <c r="EL34" i="3"/>
  <c r="EL33" i="3"/>
  <c r="EL32" i="3"/>
  <c r="EL31" i="3"/>
  <c r="EL30" i="3"/>
  <c r="EL29" i="3"/>
  <c r="EL28" i="3"/>
  <c r="EL27" i="3"/>
  <c r="EL26" i="3"/>
  <c r="EL25" i="3"/>
  <c r="EL24" i="3"/>
  <c r="EL23" i="3"/>
  <c r="EL22" i="3"/>
  <c r="EL21" i="3"/>
  <c r="EL20" i="3"/>
  <c r="EL19" i="3"/>
  <c r="EL18" i="3"/>
  <c r="EL17" i="3"/>
  <c r="EL16" i="3"/>
  <c r="EL15" i="3"/>
  <c r="EL14" i="3"/>
  <c r="EL12" i="3"/>
  <c r="EL13" i="3" s="1"/>
  <c r="HR63" i="3"/>
  <c r="HR62" i="3"/>
  <c r="HR61" i="3"/>
  <c r="HR60" i="3"/>
  <c r="HR59" i="3"/>
  <c r="HR58" i="3"/>
  <c r="GP63" i="3"/>
  <c r="GP62" i="3"/>
  <c r="GP61" i="3"/>
  <c r="GP60" i="3"/>
  <c r="GP59" i="3"/>
  <c r="GP58" i="3"/>
  <c r="EZ63" i="3"/>
  <c r="EZ62" i="3"/>
  <c r="EZ61" i="3"/>
  <c r="EZ60" i="3"/>
  <c r="EZ59" i="3"/>
  <c r="EZ58" i="3"/>
  <c r="DW63" i="3"/>
  <c r="DV63" i="3"/>
  <c r="DU63" i="3"/>
  <c r="DT63" i="3"/>
  <c r="DS63" i="3"/>
  <c r="DR63" i="3"/>
  <c r="DQ63" i="3"/>
  <c r="DP63" i="3"/>
  <c r="DO63" i="3"/>
  <c r="DN63" i="3"/>
  <c r="DM63" i="3"/>
  <c r="DL63" i="3"/>
  <c r="NB58" i="4" l="1"/>
  <c r="MN60" i="4"/>
  <c r="NB60" i="4" s="1"/>
  <c r="NB62" i="4"/>
  <c r="MN59" i="4"/>
  <c r="NB59" i="4" s="1"/>
  <c r="MN61" i="4"/>
  <c r="NB61" i="4" s="1"/>
  <c r="LZ60" i="4"/>
  <c r="LZ62" i="4"/>
  <c r="LZ61" i="4"/>
  <c r="LZ59" i="3"/>
  <c r="LZ60" i="3"/>
  <c r="LZ61" i="3"/>
  <c r="LZ62" i="3"/>
  <c r="LZ63" i="3"/>
  <c r="NP61" i="4"/>
  <c r="NP63" i="4"/>
  <c r="NP58" i="4"/>
  <c r="NP59" i="4"/>
  <c r="NP62" i="4"/>
  <c r="NP63" i="3"/>
  <c r="NP62" i="3"/>
  <c r="NP61" i="3"/>
  <c r="NP60" i="3"/>
  <c r="NP59" i="3"/>
  <c r="LL60" i="4"/>
  <c r="LL63" i="4"/>
  <c r="LL62" i="4"/>
  <c r="LL59" i="4"/>
  <c r="LL61" i="4"/>
  <c r="LL58" i="3"/>
  <c r="LL59" i="3"/>
  <c r="LL60" i="3"/>
  <c r="LL61" i="3"/>
  <c r="LL62" i="3"/>
  <c r="LL63" i="3"/>
  <c r="KW60" i="4"/>
  <c r="KW63" i="4"/>
  <c r="KX63" i="4" s="1"/>
  <c r="KW58" i="4"/>
  <c r="KW59" i="4"/>
  <c r="KW62" i="4"/>
  <c r="KW61" i="4"/>
  <c r="JH62" i="4"/>
  <c r="JH58" i="4"/>
  <c r="JH59" i="4"/>
  <c r="JH61" i="4"/>
  <c r="JH63" i="4"/>
  <c r="IS60" i="4"/>
  <c r="IS58" i="4"/>
  <c r="IT58" i="4" s="1"/>
  <c r="IS59" i="4"/>
  <c r="IS61" i="4"/>
  <c r="IS63" i="4"/>
  <c r="HR61" i="4"/>
  <c r="HR62" i="4"/>
  <c r="GP58" i="4"/>
  <c r="GP60" i="4"/>
  <c r="GP62" i="4"/>
  <c r="GP63" i="4"/>
  <c r="GP61" i="4"/>
  <c r="GP59" i="4"/>
  <c r="GB60" i="4"/>
  <c r="GB62" i="4"/>
  <c r="GB58" i="4"/>
  <c r="GB61" i="4"/>
  <c r="GB58" i="3"/>
  <c r="GB59" i="3"/>
  <c r="GB60" i="3"/>
  <c r="GB61" i="3"/>
  <c r="GB62" i="3"/>
  <c r="GB63" i="3"/>
  <c r="FN59" i="4"/>
  <c r="FN62" i="4"/>
  <c r="FN60" i="4"/>
  <c r="FN63" i="3"/>
  <c r="FN62" i="3"/>
  <c r="FN61" i="3"/>
  <c r="FN60" i="3"/>
  <c r="FN59" i="3"/>
  <c r="FN58" i="3"/>
  <c r="EZ60" i="4"/>
  <c r="EZ61" i="4"/>
  <c r="NA63" i="4"/>
  <c r="NB63" i="4" s="1"/>
  <c r="KJ58" i="4"/>
  <c r="KJ59" i="4"/>
  <c r="KX59" i="4" s="1"/>
  <c r="KJ60" i="4"/>
  <c r="KX60" i="4" s="1"/>
  <c r="KJ61" i="4"/>
  <c r="KX61" i="4" s="1"/>
  <c r="KJ62" i="4"/>
  <c r="IF59" i="4"/>
  <c r="IF60" i="4"/>
  <c r="IT60" i="4" s="1"/>
  <c r="IF61" i="4"/>
  <c r="IF62" i="4"/>
  <c r="IT62" i="4" s="1"/>
  <c r="IF63" i="4"/>
  <c r="HD58" i="4"/>
  <c r="HD59" i="4"/>
  <c r="HD60" i="4"/>
  <c r="HD61" i="4"/>
  <c r="HD62" i="4"/>
  <c r="HD58" i="3"/>
  <c r="HD59" i="3"/>
  <c r="HD60" i="3"/>
  <c r="HD61" i="3"/>
  <c r="HD62" i="3"/>
  <c r="HD63" i="3"/>
  <c r="EK58" i="4"/>
  <c r="EK59" i="4"/>
  <c r="EK60" i="4"/>
  <c r="EK61" i="4"/>
  <c r="EK62" i="4"/>
  <c r="EK63" i="4"/>
  <c r="DX58" i="4"/>
  <c r="EL58" i="4" s="1"/>
  <c r="DX59" i="4"/>
  <c r="DX60" i="4"/>
  <c r="DX61" i="4"/>
  <c r="DX62" i="4"/>
  <c r="EL62" i="4" s="1"/>
  <c r="DX63" i="4"/>
  <c r="AC61" i="3"/>
  <c r="P61" i="3"/>
  <c r="DI59" i="4"/>
  <c r="DI60" i="4"/>
  <c r="DJ60" i="4" s="1"/>
  <c r="DI61" i="4"/>
  <c r="DI62" i="4"/>
  <c r="DI63" i="4"/>
  <c r="DJ63" i="4" s="1"/>
  <c r="DI61" i="3"/>
  <c r="NR13" i="3"/>
  <c r="DJ58" i="4"/>
  <c r="DJ59" i="4"/>
  <c r="DJ62" i="4"/>
  <c r="CV61" i="3"/>
  <c r="CG61" i="4"/>
  <c r="BT61" i="4"/>
  <c r="CH59" i="4"/>
  <c r="CH58" i="4"/>
  <c r="BT61" i="3"/>
  <c r="CH61" i="3" s="1"/>
  <c r="AR61" i="4"/>
  <c r="BE61" i="4"/>
  <c r="BE61" i="3"/>
  <c r="AD23" i="3"/>
  <c r="P60" i="3"/>
  <c r="AD55" i="3"/>
  <c r="AD15" i="3"/>
  <c r="AD33" i="3"/>
  <c r="AD50" i="3"/>
  <c r="NQ50" i="3"/>
  <c r="NT50" i="3" s="1"/>
  <c r="AD35" i="3"/>
  <c r="NQ35" i="3"/>
  <c r="NT35" i="3" s="1"/>
  <c r="AD22" i="3"/>
  <c r="NQ22" i="3"/>
  <c r="NT22" i="3" s="1"/>
  <c r="AD43" i="3"/>
  <c r="NQ43" i="3"/>
  <c r="NT43" i="3" s="1"/>
  <c r="AD10" i="3"/>
  <c r="NQ10" i="3"/>
  <c r="NT10" i="3" s="1"/>
  <c r="AD53" i="3"/>
  <c r="NQ53" i="3"/>
  <c r="NT53" i="3" s="1"/>
  <c r="AD48" i="3"/>
  <c r="NQ48" i="3"/>
  <c r="NT48" i="3" s="1"/>
  <c r="AD44" i="3"/>
  <c r="NQ44" i="3"/>
  <c r="NT44" i="3" s="1"/>
  <c r="AD39" i="3"/>
  <c r="NQ39" i="3"/>
  <c r="NT39" i="3" s="1"/>
  <c r="AD34" i="3"/>
  <c r="NQ34" i="3"/>
  <c r="NT34" i="3" s="1"/>
  <c r="AD30" i="3"/>
  <c r="NQ30" i="3"/>
  <c r="NT30" i="3" s="1"/>
  <c r="AD26" i="3"/>
  <c r="NQ26" i="3"/>
  <c r="NT26" i="3" s="1"/>
  <c r="AD21" i="3"/>
  <c r="NQ21" i="3"/>
  <c r="NT21" i="3" s="1"/>
  <c r="AD49" i="3"/>
  <c r="NQ49" i="3"/>
  <c r="NT49" i="3" s="1"/>
  <c r="AD51" i="3"/>
  <c r="AD32" i="3"/>
  <c r="AD20" i="3"/>
  <c r="AD12" i="3"/>
  <c r="AD45" i="3"/>
  <c r="NQ45" i="3"/>
  <c r="NT45" i="3" s="1"/>
  <c r="AD31" i="3"/>
  <c r="NQ31" i="3"/>
  <c r="NT31" i="3" s="1"/>
  <c r="AD17" i="3"/>
  <c r="NQ17" i="3"/>
  <c r="NT17" i="3" s="1"/>
  <c r="AD57" i="3"/>
  <c r="NQ57" i="3"/>
  <c r="NT57" i="3" s="1"/>
  <c r="AD52" i="3"/>
  <c r="NQ52" i="3"/>
  <c r="NT52" i="3" s="1"/>
  <c r="AD47" i="3"/>
  <c r="NQ47" i="3"/>
  <c r="NT47" i="3" s="1"/>
  <c r="AD42" i="3"/>
  <c r="NQ42" i="3"/>
  <c r="NT42" i="3" s="1"/>
  <c r="AD38" i="3"/>
  <c r="NQ38" i="3"/>
  <c r="NT38" i="3" s="1"/>
  <c r="AD60" i="3"/>
  <c r="AD41" i="3"/>
  <c r="AD29" i="3"/>
  <c r="AD11" i="3"/>
  <c r="AD54" i="3"/>
  <c r="NQ54" i="3"/>
  <c r="NT54" i="3" s="1"/>
  <c r="AD40" i="3"/>
  <c r="NQ40" i="3"/>
  <c r="NT40" i="3" s="1"/>
  <c r="AD27" i="3"/>
  <c r="NQ27" i="3"/>
  <c r="NT27" i="3" s="1"/>
  <c r="AD13" i="3"/>
  <c r="NQ13" i="3"/>
  <c r="AD56" i="3"/>
  <c r="NQ56" i="3"/>
  <c r="NT56" i="3" s="1"/>
  <c r="AD46" i="3"/>
  <c r="NQ46" i="3"/>
  <c r="NT46" i="3" s="1"/>
  <c r="AD28" i="3"/>
  <c r="NQ28" i="3"/>
  <c r="NT28" i="3" s="1"/>
  <c r="AD18" i="3"/>
  <c r="NQ18" i="3"/>
  <c r="NT18" i="3" s="1"/>
  <c r="AD14" i="3"/>
  <c r="NQ14" i="3"/>
  <c r="NT14" i="3" s="1"/>
  <c r="AD37" i="3"/>
  <c r="NQ37" i="3"/>
  <c r="NT37" i="3" s="1"/>
  <c r="AD36" i="3"/>
  <c r="AD24" i="3"/>
  <c r="AD16" i="3"/>
  <c r="AD59" i="4"/>
  <c r="AD60" i="4"/>
  <c r="AD61" i="4"/>
  <c r="AD62" i="4"/>
  <c r="AD63" i="4"/>
  <c r="P59" i="3"/>
  <c r="P25" i="3"/>
  <c r="P62" i="3"/>
  <c r="P63" i="3"/>
  <c r="NA62" i="3"/>
  <c r="JH63" i="3"/>
  <c r="JV63" i="3" s="1"/>
  <c r="JH59" i="3"/>
  <c r="JV59" i="3" s="1"/>
  <c r="IS62" i="3"/>
  <c r="IS63" i="3"/>
  <c r="JV58" i="3"/>
  <c r="KJ59" i="3"/>
  <c r="JH62" i="3"/>
  <c r="JV62" i="3" s="1"/>
  <c r="KJ62" i="3"/>
  <c r="KJ63" i="3"/>
  <c r="KX58" i="3"/>
  <c r="KW59" i="3"/>
  <c r="KW62" i="3"/>
  <c r="KW63" i="3"/>
  <c r="MN59" i="3"/>
  <c r="MN62" i="3"/>
  <c r="NB62" i="3" s="1"/>
  <c r="MN63" i="3"/>
  <c r="NB58" i="3"/>
  <c r="IF59" i="3"/>
  <c r="IT59" i="3" s="1"/>
  <c r="DJ63" i="3"/>
  <c r="IF63" i="3"/>
  <c r="NA59" i="3"/>
  <c r="NA63" i="3"/>
  <c r="DJ62" i="3"/>
  <c r="IS59" i="3"/>
  <c r="IF62" i="3"/>
  <c r="IT62" i="3" s="1"/>
  <c r="KJ61" i="3"/>
  <c r="DJ59" i="3"/>
  <c r="MN61" i="3"/>
  <c r="DJ60" i="3"/>
  <c r="IS60" i="3"/>
  <c r="KJ60" i="3"/>
  <c r="MN60" i="3"/>
  <c r="IT58" i="3"/>
  <c r="IS61" i="3"/>
  <c r="IF60" i="3"/>
  <c r="IF61" i="3"/>
  <c r="JH60" i="3"/>
  <c r="JV60" i="3" s="1"/>
  <c r="JH61" i="3"/>
  <c r="JV61" i="3" s="1"/>
  <c r="KW60" i="3"/>
  <c r="KW61" i="3"/>
  <c r="NA60" i="3"/>
  <c r="NA61" i="3"/>
  <c r="BF58" i="3"/>
  <c r="CH59" i="3"/>
  <c r="CH60" i="3"/>
  <c r="CH63" i="3"/>
  <c r="CH58" i="3"/>
  <c r="NB59" i="3" l="1"/>
  <c r="NB61" i="3"/>
  <c r="NB63" i="3"/>
  <c r="NB60" i="3"/>
  <c r="KX58" i="4"/>
  <c r="KX62" i="4"/>
  <c r="KX61" i="3"/>
  <c r="KX62" i="3"/>
  <c r="KX59" i="3"/>
  <c r="KX60" i="3"/>
  <c r="KX63" i="3"/>
  <c r="IT61" i="4"/>
  <c r="IT63" i="4"/>
  <c r="IT59" i="4"/>
  <c r="IT61" i="3"/>
  <c r="IT63" i="3"/>
  <c r="IT60" i="3"/>
  <c r="NS61" i="4"/>
  <c r="JV62" i="4"/>
  <c r="NS62" i="4"/>
  <c r="JV58" i="4"/>
  <c r="NS58" i="4"/>
  <c r="JV60" i="4"/>
  <c r="NS60" i="4"/>
  <c r="JV63" i="4"/>
  <c r="NS63" i="4"/>
  <c r="JV59" i="4"/>
  <c r="NS59" i="4"/>
  <c r="NS62" i="3"/>
  <c r="NS59" i="3"/>
  <c r="NS63" i="3"/>
  <c r="NS61" i="3"/>
  <c r="NS60" i="3"/>
  <c r="NS58" i="3"/>
  <c r="NQ60" i="3"/>
  <c r="EL60" i="4"/>
  <c r="EL63" i="4"/>
  <c r="EL59" i="4"/>
  <c r="NT13" i="3"/>
  <c r="DJ61" i="3"/>
  <c r="NQ59" i="4"/>
  <c r="CH61" i="4"/>
  <c r="NQ61" i="4"/>
  <c r="NQ58" i="4"/>
  <c r="CH62" i="4"/>
  <c r="NQ62" i="4"/>
  <c r="CH63" i="4"/>
  <c r="NQ63" i="4"/>
  <c r="CH60" i="4"/>
  <c r="NQ60" i="4"/>
  <c r="NQ61" i="3"/>
  <c r="NR61" i="4"/>
  <c r="BF61" i="4"/>
  <c r="BF59" i="4"/>
  <c r="NR59" i="4"/>
  <c r="BF63" i="4"/>
  <c r="NR63" i="4"/>
  <c r="NR58" i="4"/>
  <c r="BF58" i="4"/>
  <c r="NR62" i="4"/>
  <c r="BF62" i="4"/>
  <c r="BF60" i="4"/>
  <c r="NR60" i="4"/>
  <c r="NR60" i="3"/>
  <c r="BF60" i="3"/>
  <c r="NR58" i="3"/>
  <c r="NR59" i="3"/>
  <c r="BF59" i="3"/>
  <c r="BF61" i="3"/>
  <c r="NR61" i="3"/>
  <c r="NR62" i="3"/>
  <c r="BF62" i="3"/>
  <c r="NR63" i="3"/>
  <c r="BF63" i="3"/>
  <c r="AD25" i="3"/>
  <c r="NQ25" i="3"/>
  <c r="NT25" i="3" s="1"/>
  <c r="AD58" i="3"/>
  <c r="NQ58" i="3"/>
  <c r="AD63" i="3"/>
  <c r="NQ63" i="3"/>
  <c r="AD59" i="3"/>
  <c r="NQ59" i="3"/>
  <c r="AD62" i="3"/>
  <c r="NQ62" i="3"/>
  <c r="AD61" i="3"/>
  <c r="EL62" i="3"/>
  <c r="EL60" i="3"/>
  <c r="EL59" i="3"/>
  <c r="EL63" i="3"/>
  <c r="EL58" i="3"/>
  <c r="NT60" i="3" l="1"/>
  <c r="NT59" i="4"/>
  <c r="NT59" i="3"/>
  <c r="NT62" i="4"/>
  <c r="NT60" i="4"/>
  <c r="NT61" i="4"/>
  <c r="NT58" i="4"/>
  <c r="NT63" i="4"/>
  <c r="NT61" i="3"/>
  <c r="NT63" i="3"/>
  <c r="NT58" i="3"/>
  <c r="NT62" i="3"/>
</calcChain>
</file>

<file path=xl/sharedStrings.xml><?xml version="1.0" encoding="utf-8"?>
<sst xmlns="http://schemas.openxmlformats.org/spreadsheetml/2006/main" count="1018" uniqueCount="58">
  <si>
    <t>ENTIDAD FEDERATIVA</t>
  </si>
  <si>
    <t>CDMX</t>
  </si>
  <si>
    <t>BAJA CALIFORNIA</t>
  </si>
  <si>
    <t>BAJA CALIFORNIA SUR</t>
  </si>
  <si>
    <t>CAMPECHE</t>
  </si>
  <si>
    <t>CHIAPAS</t>
  </si>
  <si>
    <t>COLIMA</t>
  </si>
  <si>
    <t>GUERRERO</t>
  </si>
  <si>
    <t>JALISCO</t>
  </si>
  <si>
    <t>NAYARIT</t>
  </si>
  <si>
    <t>OAXACA</t>
  </si>
  <si>
    <t>QUINTANA ROO</t>
  </si>
  <si>
    <t>SINALOA</t>
  </si>
  <si>
    <t>SONORA</t>
  </si>
  <si>
    <t>TABASCO</t>
  </si>
  <si>
    <t>TAMAULIPAS</t>
  </si>
  <si>
    <t>VERACRUZ</t>
  </si>
  <si>
    <t>RECETAS COMPLETAMENTE SURTIDAS</t>
  </si>
  <si>
    <t>RECETAS PARCIALMENTE SURTIDAS</t>
  </si>
  <si>
    <t>RECETAS NO SURTIDAS</t>
  </si>
  <si>
    <t>TOTAL DE RECETAS EXPEDIDAS</t>
  </si>
  <si>
    <t>RECETAS SUBROGADAS</t>
  </si>
  <si>
    <t>RECETAS NEGADAS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</si>
  <si>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</si>
  <si>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</si>
  <si>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</si>
  <si>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</si>
  <si>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</si>
  <si>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</si>
  <si>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</si>
  <si>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</si>
  <si>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</si>
  <si>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</si>
  <si>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</si>
  <si>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</si>
  <si>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AÑO </t>
  </si>
  <si>
    <t>-&gt;</t>
  </si>
  <si>
    <t xml:space="preserve">Total </t>
  </si>
  <si>
    <t>SECRETARÍA DE MARINA ARMADA DE MÉXICO</t>
  </si>
  <si>
    <t>OFICIALÍA MAYOR</t>
  </si>
  <si>
    <t>DIRECCIÓN GENERAL DE RECURSOS HUMANOS</t>
  </si>
  <si>
    <t>DIRECCIÓN GENERAL ADJUNTA DE SANIDAD NAVAL</t>
  </si>
  <si>
    <t>DEPARTAMENTO DE CALIDAD Y SEGURIDAD EN SALUD</t>
  </si>
  <si>
    <t>TOTAL</t>
  </si>
  <si>
    <t>TOTAL ANUAL</t>
  </si>
  <si>
    <t>PRIMER NIVEL</t>
  </si>
  <si>
    <t>TERCER NIVEL</t>
  </si>
  <si>
    <t>SEGUNDO NIVEL</t>
  </si>
  <si>
    <t>MICHOACAN</t>
  </si>
  <si>
    <t>YUCATAN</t>
  </si>
  <si>
    <t>TOTAL GLOBAL</t>
  </si>
  <si>
    <t xml:space="preserve"> TOTAL ANUAL</t>
  </si>
  <si>
    <t>CONCENTRADO DE RECETAS COMPLETAMENTE SURTIDAS, PARCIALMETE SURTIDAS Y RECETAS NO SURTIDAS 2017- AL 14 DE MAYO 2024</t>
  </si>
  <si>
    <t>TOTAL 
2017 AL 14 DE MAYO DE 2024</t>
  </si>
  <si>
    <t>TOTAL PRIMER NIVEL</t>
  </si>
  <si>
    <t>TOTAL SEGUNDO NIVEL</t>
  </si>
  <si>
    <t>TOTAL TERCER NIVEL</t>
  </si>
  <si>
    <t>NIVEL DE 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</si>
</sst>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6" x14ac:knownFonts="1">
    <font>
      <sz val="11"/>
      <color theme="1"/>
      <name val="Montserra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ontserrat"/>
    </font>
    <font>
      <sz val="9"/>
      <color theme="1"/>
      <name val="Montserrat"/>
    </font>
    <font>
      <b/>
      <sz val="9"/>
      <color theme="1"/>
      <name val="Montserrat"/>
    </font>
    <font>
      <sz val="11"/>
      <color theme="1"/>
      <name val="Calibri"/>
      <family val="2"/>
      <scheme val="minor"/>
    </font>
    <font>
      <sz val="9"/>
      <name val="Montserrat"/>
    </font>
    <font>
      <sz val="11"/>
      <color theme="1"/>
      <name val="Montserrat"/>
      <family val="2"/>
    </font>
    <font>
      <b/>
      <sz val="14"/>
      <color theme="1"/>
      <name val="Montserrat"/>
    </font>
    <font>
      <b/>
      <sz val="8"/>
      <name val="Montserrat"/>
    </font>
    <font>
      <sz val="11"/>
      <color theme="1"/>
      <name val="Montserrat"/>
    </font>
    <font>
      <sz val="11"/>
      <name val="Montserrat"/>
    </font>
    <font>
      <b/>
      <sz val="11"/>
      <name val="Montserrat"/>
    </font>
    <font>
      <sz val="10"/>
      <name val="Montserrat"/>
    </font>
    <font>
      <b/>
      <sz val="10"/>
      <name val="Montserrat"/>
    </font>
    <font>
      <sz val="11.5"/>
      <name val="Arial"/>
      <family val="2"/>
    </font>
    <font>
      <sz val="10"/>
      <name val="Arial"/>
      <family val="2"/>
      <charset val="1"/>
    </font>
    <font>
      <sz val="14"/>
      <name val="Montserrat"/>
    </font>
    <font>
      <sz val="11"/>
      <color rgb="FF000000"/>
      <name val="Calibri"/>
      <family val="2"/>
    </font>
    <font>
      <sz val="10"/>
      <color theme="1"/>
      <name val="Montserrat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name val="Montserrat"/>
    </font>
    <font>
      <sz val="10"/>
      <name val="MonSERRAT"/>
    </font>
    <font>
      <b/>
      <sz val="10"/>
      <color theme="1"/>
      <name val="Montserrat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E7E6E6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6">
    <xf numFmtId="0" fontId="0" fillId="0" borderId="0"/>
    <xf numFmtId="0" fontId="6" fillId="0" borderId="0"/>
    <xf numFmtId="43" fontId="8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</cellStyleXfs>
  <cellXfs count="152">
    <xf numFmtId="0" fontId="0" fillId="0" borderId="0" xfId="0"/>
    <xf numFmtId="0" fontId="0" fillId="0" borderId="0" xfId="0" applyAlignment="1">
      <alignment horizontal="center"/>
    </xf>
    <xf numFmtId="0" fontId="9" fillId="2" borderId="1" xfId="0" quotePrefix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164" fontId="3" fillId="0" borderId="6" xfId="2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" fontId="0" fillId="0" borderId="0" xfId="0" applyNumberFormat="1"/>
    <xf numFmtId="0" fontId="11" fillId="0" borderId="0" xfId="0" applyFont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1" fillId="0" borderId="0" xfId="1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7" borderId="0" xfId="1" applyFont="1" applyFill="1" applyAlignment="1">
      <alignment horizontal="center" vertical="center" wrapText="1"/>
    </xf>
    <xf numFmtId="0" fontId="7" fillId="7" borderId="12" xfId="1" applyFont="1" applyFill="1" applyBorder="1" applyAlignment="1">
      <alignment horizontal="center" vertical="center" wrapText="1"/>
    </xf>
    <xf numFmtId="0" fontId="3" fillId="7" borderId="0" xfId="0" applyFont="1" applyFill="1"/>
    <xf numFmtId="164" fontId="3" fillId="7" borderId="0" xfId="2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9" fillId="2" borderId="20" xfId="0" quotePrefix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0" xfId="0" applyFill="1"/>
    <xf numFmtId="164" fontId="14" fillId="8" borderId="1" xfId="2" applyNumberFormat="1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/>
    </xf>
    <xf numFmtId="164" fontId="3" fillId="9" borderId="1" xfId="2" applyNumberFormat="1" applyFont="1" applyFill="1" applyBorder="1" applyAlignment="1">
      <alignment horizontal="center" vertical="center"/>
    </xf>
    <xf numFmtId="164" fontId="13" fillId="8" borderId="1" xfId="2" applyNumberFormat="1" applyFont="1" applyFill="1" applyBorder="1" applyAlignment="1">
      <alignment horizontal="center" vertical="center"/>
    </xf>
    <xf numFmtId="164" fontId="3" fillId="3" borderId="1" xfId="2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164" fontId="3" fillId="9" borderId="6" xfId="2" applyNumberFormat="1" applyFont="1" applyFill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164" fontId="11" fillId="0" borderId="1" xfId="2" applyNumberFormat="1" applyFont="1" applyFill="1" applyBorder="1" applyAlignment="1">
      <alignment horizontal="center" vertical="center"/>
    </xf>
    <xf numFmtId="1" fontId="0" fillId="7" borderId="0" xfId="0" applyNumberFormat="1" applyFill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14" fillId="8" borderId="1" xfId="2" applyNumberFormat="1" applyFont="1" applyFill="1" applyBorder="1" applyAlignment="1">
      <alignment horizontal="center" vertical="center" wrapText="1"/>
    </xf>
    <xf numFmtId="164" fontId="15" fillId="8" borderId="1" xfId="2" applyNumberFormat="1" applyFont="1" applyFill="1" applyBorder="1" applyAlignment="1">
      <alignment horizontal="center" vertical="center"/>
    </xf>
    <xf numFmtId="164" fontId="12" fillId="8" borderId="1" xfId="2" applyNumberFormat="1" applyFont="1" applyFill="1" applyBorder="1" applyAlignment="1">
      <alignment horizontal="center" vertical="center"/>
    </xf>
    <xf numFmtId="164" fontId="12" fillId="8" borderId="1" xfId="2" applyNumberFormat="1" applyFont="1" applyFill="1" applyBorder="1" applyAlignment="1">
      <alignment horizontal="center" vertical="center" wrapText="1"/>
    </xf>
    <xf numFmtId="0" fontId="6" fillId="0" borderId="1" xfId="1" applyBorder="1" applyAlignment="1">
      <alignment horizontal="center"/>
    </xf>
    <xf numFmtId="164" fontId="3" fillId="0" borderId="9" xfId="2" applyNumberFormat="1" applyFont="1" applyBorder="1" applyAlignment="1">
      <alignment horizontal="center" vertical="center"/>
    </xf>
    <xf numFmtId="0" fontId="6" fillId="0" borderId="5" xfId="1" applyBorder="1"/>
    <xf numFmtId="164" fontId="6" fillId="0" borderId="1" xfId="2" applyNumberFormat="1" applyFont="1" applyBorder="1" applyAlignment="1">
      <alignment horizontal="center" vertical="center"/>
    </xf>
    <xf numFmtId="164" fontId="3" fillId="9" borderId="10" xfId="2" applyNumberFormat="1" applyFont="1" applyFill="1" applyBorder="1" applyAlignment="1">
      <alignment horizontal="center" vertical="center"/>
    </xf>
    <xf numFmtId="164" fontId="6" fillId="0" borderId="1" xfId="2" applyNumberFormat="1" applyFont="1" applyBorder="1" applyAlignment="1">
      <alignment vertical="center"/>
    </xf>
    <xf numFmtId="164" fontId="3" fillId="9" borderId="1" xfId="2" applyNumberFormat="1" applyFont="1" applyFill="1" applyBorder="1" applyAlignment="1">
      <alignment vertical="center"/>
    </xf>
    <xf numFmtId="164" fontId="2" fillId="0" borderId="1" xfId="2" applyNumberFormat="1" applyFont="1" applyBorder="1" applyAlignment="1">
      <alignment vertical="center"/>
    </xf>
    <xf numFmtId="164" fontId="6" fillId="0" borderId="5" xfId="2" applyNumberFormat="1" applyFont="1" applyBorder="1" applyAlignment="1">
      <alignment vertical="center"/>
    </xf>
    <xf numFmtId="164" fontId="3" fillId="0" borderId="1" xfId="2" applyNumberFormat="1" applyFont="1" applyBorder="1" applyAlignment="1">
      <alignment vertical="center"/>
    </xf>
    <xf numFmtId="164" fontId="3" fillId="3" borderId="1" xfId="2" applyNumberFormat="1" applyFont="1" applyFill="1" applyBorder="1" applyAlignment="1">
      <alignment vertical="center"/>
    </xf>
    <xf numFmtId="0" fontId="14" fillId="8" borderId="1" xfId="3" applyFont="1" applyFill="1" applyBorder="1" applyAlignment="1">
      <alignment horizontal="center"/>
    </xf>
    <xf numFmtId="0" fontId="14" fillId="8" borderId="1" xfId="3" applyFont="1" applyFill="1" applyBorder="1" applyAlignment="1">
      <alignment horizontal="center" vertical="center"/>
    </xf>
    <xf numFmtId="0" fontId="14" fillId="8" borderId="1" xfId="1" applyFont="1" applyFill="1" applyBorder="1" applyAlignment="1">
      <alignment horizontal="center"/>
    </xf>
    <xf numFmtId="0" fontId="14" fillId="8" borderId="1" xfId="1" applyFont="1" applyFill="1" applyBorder="1" applyAlignment="1">
      <alignment horizontal="center" vertical="center"/>
    </xf>
    <xf numFmtId="0" fontId="14" fillId="8" borderId="1" xfId="1" applyFont="1" applyFill="1" applyBorder="1" applyAlignment="1">
      <alignment horizontal="center" vertical="center" wrapText="1"/>
    </xf>
    <xf numFmtId="164" fontId="4" fillId="2" borderId="15" xfId="2" applyNumberFormat="1" applyFont="1" applyFill="1" applyBorder="1" applyAlignment="1">
      <alignment horizontal="center"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164" fontId="14" fillId="8" borderId="2" xfId="2" applyNumberFormat="1" applyFont="1" applyFill="1" applyBorder="1" applyAlignment="1">
      <alignment horizontal="center" vertical="center"/>
    </xf>
    <xf numFmtId="164" fontId="4" fillId="3" borderId="5" xfId="2" applyNumberFormat="1" applyFont="1" applyFill="1" applyBorder="1" applyAlignment="1">
      <alignment horizontal="center" vertical="center" wrapText="1"/>
    </xf>
    <xf numFmtId="164" fontId="0" fillId="0" borderId="1" xfId="2" applyNumberFormat="1" applyFont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8" fillId="8" borderId="1" xfId="3" applyFont="1" applyFill="1" applyBorder="1" applyAlignment="1">
      <alignment horizontal="center" vertical="center"/>
    </xf>
    <xf numFmtId="164" fontId="14" fillId="10" borderId="1" xfId="2" applyNumberFormat="1" applyFont="1" applyFill="1" applyBorder="1" applyAlignment="1">
      <alignment horizontal="center" vertical="center"/>
    </xf>
    <xf numFmtId="164" fontId="16" fillId="0" borderId="1" xfId="2" applyNumberFormat="1" applyFont="1" applyBorder="1" applyAlignment="1">
      <alignment horizontal="center" vertical="center"/>
    </xf>
    <xf numFmtId="164" fontId="14" fillId="10" borderId="1" xfId="2" applyNumberFormat="1" applyFont="1" applyFill="1" applyBorder="1" applyAlignment="1">
      <alignment horizontal="center" vertical="center" wrapText="1"/>
    </xf>
    <xf numFmtId="164" fontId="17" fillId="0" borderId="1" xfId="2" applyNumberFormat="1" applyFont="1" applyBorder="1" applyAlignment="1">
      <alignment horizontal="center" vertical="center"/>
    </xf>
    <xf numFmtId="164" fontId="18" fillId="8" borderId="1" xfId="2" applyNumberFormat="1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164" fontId="14" fillId="10" borderId="2" xfId="2" applyNumberFormat="1" applyFont="1" applyFill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164" fontId="18" fillId="8" borderId="2" xfId="2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4" fillId="8" borderId="5" xfId="1" applyFont="1" applyFill="1" applyBorder="1" applyAlignment="1">
      <alignment horizontal="center"/>
    </xf>
    <xf numFmtId="0" fontId="18" fillId="8" borderId="5" xfId="3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64" fontId="3" fillId="3" borderId="6" xfId="2" applyNumberFormat="1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164" fontId="14" fillId="8" borderId="1" xfId="2" applyNumberFormat="1" applyFont="1" applyFill="1" applyBorder="1" applyAlignment="1">
      <alignment vertical="center" wrapText="1"/>
    </xf>
    <xf numFmtId="164" fontId="20" fillId="0" borderId="1" xfId="2" applyNumberFormat="1" applyFont="1" applyBorder="1" applyAlignment="1" applyProtection="1">
      <alignment horizontal="center" vertical="center"/>
      <protection locked="0"/>
    </xf>
    <xf numFmtId="0" fontId="5" fillId="9" borderId="21" xfId="0" applyFont="1" applyFill="1" applyBorder="1" applyAlignment="1">
      <alignment horizontal="center" vertical="center" wrapText="1"/>
    </xf>
    <xf numFmtId="164" fontId="3" fillId="9" borderId="0" xfId="2" applyNumberFormat="1" applyFont="1" applyFill="1" applyBorder="1" applyAlignment="1">
      <alignment horizontal="center" vertical="center"/>
    </xf>
    <xf numFmtId="164" fontId="3" fillId="9" borderId="8" xfId="2" applyNumberFormat="1" applyFont="1" applyFill="1" applyBorder="1" applyAlignment="1">
      <alignment horizontal="center" vertical="center"/>
    </xf>
    <xf numFmtId="164" fontId="1" fillId="0" borderId="1" xfId="2" applyNumberFormat="1" applyFont="1" applyBorder="1" applyAlignment="1">
      <alignment horizontal="center" vertical="center"/>
    </xf>
    <xf numFmtId="164" fontId="21" fillId="0" borderId="1" xfId="2" applyNumberFormat="1" applyFont="1" applyBorder="1" applyAlignment="1">
      <alignment horizontal="center" vertical="center"/>
    </xf>
    <xf numFmtId="0" fontId="9" fillId="2" borderId="27" xfId="0" quotePrefix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14" fillId="8" borderId="1" xfId="2" applyNumberFormat="1" applyFont="1" applyFill="1" applyBorder="1" applyAlignment="1">
      <alignment horizontal="center"/>
    </xf>
    <xf numFmtId="164" fontId="14" fillId="8" borderId="1" xfId="2" applyNumberFormat="1" applyFont="1" applyFill="1" applyBorder="1" applyAlignment="1">
      <alignment wrapText="1"/>
    </xf>
    <xf numFmtId="164" fontId="6" fillId="0" borderId="5" xfId="2" applyNumberFormat="1" applyFont="1" applyBorder="1" applyAlignment="1">
      <alignment horizontal="center" vertical="center"/>
    </xf>
    <xf numFmtId="164" fontId="6" fillId="0" borderId="1" xfId="2" applyNumberFormat="1" applyFont="1" applyBorder="1"/>
    <xf numFmtId="0" fontId="4" fillId="3" borderId="30" xfId="0" applyFont="1" applyFill="1" applyBorder="1" applyAlignment="1">
      <alignment horizontal="center" vertical="center" wrapText="1"/>
    </xf>
    <xf numFmtId="164" fontId="14" fillId="0" borderId="1" xfId="2" applyNumberFormat="1" applyFont="1" applyBorder="1" applyAlignment="1">
      <alignment horizontal="center"/>
    </xf>
    <xf numFmtId="164" fontId="6" fillId="0" borderId="2" xfId="2" applyNumberFormat="1" applyFont="1" applyBorder="1"/>
    <xf numFmtId="0" fontId="5" fillId="9" borderId="30" xfId="0" applyFont="1" applyFill="1" applyBorder="1" applyAlignment="1">
      <alignment horizontal="center" vertical="center" wrapText="1"/>
    </xf>
    <xf numFmtId="164" fontId="1" fillId="0" borderId="4" xfId="2" applyNumberFormat="1" applyFont="1" applyBorder="1" applyAlignment="1">
      <alignment horizontal="center" vertical="center"/>
    </xf>
    <xf numFmtId="164" fontId="14" fillId="8" borderId="4" xfId="2" applyNumberFormat="1" applyFont="1" applyFill="1" applyBorder="1" applyAlignment="1">
      <alignment horizontal="center" vertical="center"/>
    </xf>
    <xf numFmtId="164" fontId="3" fillId="0" borderId="7" xfId="2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23" fillId="8" borderId="1" xfId="2" applyNumberFormat="1" applyFont="1" applyFill="1" applyBorder="1" applyAlignment="1">
      <alignment horizontal="center" vertical="center"/>
    </xf>
    <xf numFmtId="164" fontId="24" fillId="8" borderId="1" xfId="2" applyNumberFormat="1" applyFont="1" applyFill="1" applyBorder="1" applyAlignment="1">
      <alignment horizontal="center" vertical="center"/>
    </xf>
    <xf numFmtId="164" fontId="14" fillId="8" borderId="2" xfId="2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4" fontId="22" fillId="3" borderId="1" xfId="2" applyNumberFormat="1" applyFont="1" applyFill="1" applyBorder="1" applyAlignment="1">
      <alignment horizontal="center" vertical="center"/>
    </xf>
    <xf numFmtId="164" fontId="3" fillId="3" borderId="2" xfId="2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</cellXfs>
  <cellStyles count="6">
    <cellStyle name="Millares" xfId="2" builtinId="3"/>
    <cellStyle name="Normal" xfId="0" builtinId="0"/>
    <cellStyle name="Normal 3" xfId="1" xr:uid="{B4578610-3EFB-461A-88A4-CE4D5839D09E}"/>
    <cellStyle name="Normal 3 2 2" xfId="3" xr:uid="{A0963513-D492-154C-9F69-68C801C9C9A0}"/>
    <cellStyle name="Normal 3 2 3" xfId="5" xr:uid="{5EFC09E7-517A-4055-A003-C72A1612C7F0}"/>
    <cellStyle name="Normal 3 5" xfId="4" xr:uid="{6943285C-F63D-4B43-81DA-29F9DA57B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179917</xdr:rowOff>
    </xdr:from>
    <xdr:to>
      <xdr:col>1</xdr:col>
      <xdr:colOff>1302391</xdr:colOff>
      <xdr:row>5</xdr:row>
      <xdr:rowOff>179917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A639012F-39D6-B241-9993-1B92561CA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9917"/>
          <a:ext cx="3567224" cy="1270000"/>
        </a:xfrm>
        <a:prstGeom prst="rect">
          <a:avLst/>
        </a:prstGeom>
      </xdr:spPr>
    </xdr:pic>
    <xdr:clientData/>
  </xdr:twoCellAnchor>
  <xdr:twoCellAnchor editAs="oneCell">
    <xdr:from>
      <xdr:col>380</xdr:col>
      <xdr:colOff>84666</xdr:colOff>
      <xdr:row>0</xdr:row>
      <xdr:rowOff>63501</xdr:rowOff>
    </xdr:from>
    <xdr:to>
      <xdr:col>380</xdr:col>
      <xdr:colOff>1678103</xdr:colOff>
      <xdr:row>5</xdr:row>
      <xdr:rowOff>232835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F5F595E3-E29C-4F4E-B25F-E94236F3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1999" y="63501"/>
          <a:ext cx="1593437" cy="1439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179917</xdr:rowOff>
    </xdr:from>
    <xdr:to>
      <xdr:col>1</xdr:col>
      <xdr:colOff>1302391</xdr:colOff>
      <xdr:row>5</xdr:row>
      <xdr:rowOff>179917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EF4DBE21-3454-0F45-AE80-93C813E7B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9917"/>
          <a:ext cx="3575691" cy="1270000"/>
        </a:xfrm>
        <a:prstGeom prst="rect">
          <a:avLst/>
        </a:prstGeom>
      </xdr:spPr>
    </xdr:pic>
    <xdr:clientData/>
  </xdr:twoCellAnchor>
  <xdr:twoCellAnchor editAs="oneCell">
    <xdr:from>
      <xdr:col>380</xdr:col>
      <xdr:colOff>84666</xdr:colOff>
      <xdr:row>0</xdr:row>
      <xdr:rowOff>63501</xdr:rowOff>
    </xdr:from>
    <xdr:to>
      <xdr:col>380</xdr:col>
      <xdr:colOff>1678103</xdr:colOff>
      <xdr:row>5</xdr:row>
      <xdr:rowOff>232835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BA84A73E-72D8-2644-B375-DE03125CC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9066" y="63501"/>
          <a:ext cx="1593437" cy="1439334"/>
        </a:xfrm>
        <a:prstGeom prst="rect">
          <a:avLst/>
        </a:prstGeom>
      </xdr:spPr>
    </xdr:pic>
    <xdr:clientData/>
  </xdr:twoCellAnchor>
  <xdr:twoCellAnchor editAs="oneCell">
    <xdr:from>
      <xdr:col>380</xdr:col>
      <xdr:colOff>84666</xdr:colOff>
      <xdr:row>0</xdr:row>
      <xdr:rowOff>63501</xdr:rowOff>
    </xdr:from>
    <xdr:to>
      <xdr:col>380</xdr:col>
      <xdr:colOff>1678103</xdr:colOff>
      <xdr:row>5</xdr:row>
      <xdr:rowOff>232835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B4527CE8-4366-467B-9066-7135A170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02366" y="63501"/>
          <a:ext cx="1593437" cy="140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6E8F-6982-4243-85CC-688560C96A9D}">
  <sheetPr>
    <tabColor rgb="FFFFFF00"/>
  </sheetPr>
  <dimension ref="A1:QP73"/>
  <sheetViews>
    <sheetView showGridLines="0" zoomScale="60" zoomScaleNormal="60" workbookViewId="0">
      <pane xSplit="2" ySplit="9" topLeftCell="C10" activePane="bottomRight" state="frozen"/>
      <selection pane="topRight" activeCell="C1" sqref="C1"/>
      <selection pane="bottomLeft" activeCell="A6" sqref="A6"/>
      <selection pane="bottomRight" activeCell="B8" sqref="B8"/>
    </sheetView>
  </sheetViews>
  <sheetFormatPr baseColWidth="10" defaultColWidth="10.69921875" defaultRowHeight="15" outlineLevelCol="2" x14ac:dyDescent="0.25"/>
  <cols>
    <col min="1" max="1" width="25.59765625" customWidth="1"/>
    <col min="2" max="2" width="20.59765625" customWidth="1"/>
    <col min="3" max="3" width="10.59765625" customWidth="1"/>
    <col min="4" max="29" width="9.796875" customWidth="1" outlineLevel="1"/>
    <col min="30" max="30" width="9.796875" customWidth="1" outlineLevel="1" collapsed="1"/>
    <col min="31" max="31" width="9.796875" customWidth="1"/>
    <col min="32" max="58" width="9.796875" customWidth="1" outlineLevel="2"/>
    <col min="59" max="59" width="9.796875" customWidth="1"/>
    <col min="60" max="86" width="9.796875" customWidth="1" outlineLevel="2"/>
    <col min="87" max="87" width="9.796875" customWidth="1"/>
    <col min="88" max="114" width="9.796875" customWidth="1" outlineLevel="2"/>
    <col min="115" max="115" width="9.796875" customWidth="1"/>
    <col min="116" max="142" width="9.796875" customWidth="1" outlineLevel="1"/>
    <col min="143" max="143" width="9.796875" customWidth="1"/>
    <col min="144" max="156" width="9.796875" customWidth="1" outlineLevel="1"/>
    <col min="157" max="157" width="9.796875" customWidth="1"/>
    <col min="158" max="170" width="9.796875" customWidth="1" outlineLevel="1"/>
    <col min="171" max="171" width="9.796875" customWidth="1"/>
    <col min="172" max="184" width="9.796875" customWidth="1" outlineLevel="1"/>
    <col min="185" max="185" width="9.796875" customWidth="1"/>
    <col min="186" max="198" width="9.796875" customWidth="1" outlineLevel="1"/>
    <col min="199" max="199" width="9.796875" customWidth="1"/>
    <col min="200" max="212" width="9.796875" customWidth="1" outlineLevel="1"/>
    <col min="213" max="213" width="9.796875" customWidth="1"/>
    <col min="214" max="226" width="9.796875" customWidth="1" outlineLevel="1"/>
    <col min="227" max="227" width="9.796875" customWidth="1"/>
    <col min="228" max="254" width="9.796875" customWidth="1" outlineLevel="1"/>
    <col min="255" max="255" width="9.796875" customWidth="1"/>
    <col min="256" max="282" width="9.796875" customWidth="1" outlineLevel="1"/>
    <col min="283" max="283" width="9.796875" customWidth="1"/>
    <col min="284" max="310" width="9.796875" customWidth="1" outlineLevel="2"/>
    <col min="311" max="311" width="9.796875" customWidth="1"/>
    <col min="312" max="324" width="9.796875" customWidth="1" outlineLevel="1"/>
    <col min="325" max="325" width="9.796875" customWidth="1"/>
    <col min="326" max="338" width="9.796875" customWidth="1" outlineLevel="2"/>
    <col min="339" max="339" width="9.796875" customWidth="1"/>
    <col min="340" max="366" width="9.796875" customWidth="1" outlineLevel="1"/>
    <col min="367" max="367" width="9.796875" customWidth="1"/>
    <col min="368" max="380" width="9.796875" customWidth="1" outlineLevel="1"/>
    <col min="381" max="384" width="19.69921875" customWidth="1"/>
    <col min="433" max="492" width="0" hidden="1" customWidth="1"/>
  </cols>
  <sheetData>
    <row r="1" spans="1:458" ht="20.100000000000001" customHeight="1" x14ac:dyDescent="0.25">
      <c r="A1" s="119" t="s">
        <v>38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119"/>
      <c r="DV1" s="119"/>
      <c r="DW1" s="119"/>
      <c r="DX1" s="119"/>
      <c r="DY1" s="119"/>
      <c r="DZ1" s="119"/>
      <c r="EA1" s="119"/>
      <c r="EB1" s="119"/>
      <c r="EC1" s="119"/>
      <c r="ED1" s="119"/>
      <c r="EE1" s="119"/>
      <c r="EF1" s="119"/>
      <c r="EG1" s="119"/>
      <c r="EH1" s="119"/>
      <c r="EI1" s="119"/>
      <c r="EJ1" s="119"/>
      <c r="EK1" s="119"/>
      <c r="EL1" s="119"/>
      <c r="EM1" s="119"/>
      <c r="EN1" s="119"/>
      <c r="EO1" s="119"/>
      <c r="EP1" s="119"/>
      <c r="EQ1" s="119"/>
      <c r="ER1" s="119"/>
      <c r="ES1" s="119"/>
      <c r="ET1" s="119"/>
      <c r="EU1" s="119"/>
      <c r="EV1" s="119"/>
      <c r="EW1" s="119"/>
      <c r="EX1" s="119"/>
      <c r="EY1" s="119"/>
      <c r="EZ1" s="119"/>
      <c r="FA1" s="119"/>
      <c r="FB1" s="119"/>
      <c r="FC1" s="119"/>
      <c r="FD1" s="119"/>
      <c r="FE1" s="119"/>
      <c r="FF1" s="119"/>
      <c r="FG1" s="119"/>
      <c r="FH1" s="119"/>
      <c r="FI1" s="119"/>
      <c r="FJ1" s="119"/>
      <c r="FK1" s="119"/>
      <c r="FL1" s="119"/>
      <c r="FM1" s="119"/>
      <c r="FN1" s="119"/>
      <c r="FO1" s="119"/>
      <c r="FP1" s="119"/>
      <c r="FQ1" s="119"/>
      <c r="FR1" s="119"/>
      <c r="FS1" s="119"/>
      <c r="FT1" s="119"/>
      <c r="FU1" s="119"/>
      <c r="FV1" s="119"/>
      <c r="FW1" s="119"/>
      <c r="FX1" s="119"/>
      <c r="FY1" s="119"/>
      <c r="FZ1" s="119"/>
      <c r="GA1" s="119"/>
      <c r="GB1" s="119"/>
      <c r="GC1" s="119"/>
      <c r="GD1" s="119"/>
      <c r="GE1" s="119"/>
      <c r="GF1" s="119"/>
      <c r="GG1" s="119"/>
      <c r="GH1" s="119"/>
      <c r="GI1" s="119"/>
      <c r="GJ1" s="119"/>
      <c r="GK1" s="119"/>
      <c r="GL1" s="119"/>
      <c r="GM1" s="119"/>
      <c r="GN1" s="119"/>
      <c r="GO1" s="119"/>
      <c r="GP1" s="119"/>
      <c r="GQ1" s="119"/>
      <c r="GR1" s="119"/>
      <c r="GS1" s="119"/>
      <c r="GT1" s="119"/>
      <c r="GU1" s="119"/>
      <c r="GV1" s="119"/>
      <c r="GW1" s="119"/>
      <c r="GX1" s="119"/>
      <c r="GY1" s="119"/>
      <c r="GZ1" s="119"/>
      <c r="HA1" s="119"/>
      <c r="HB1" s="119"/>
      <c r="HC1" s="119"/>
      <c r="HD1" s="119"/>
      <c r="HE1" s="119"/>
      <c r="HF1" s="119"/>
      <c r="HG1" s="119"/>
      <c r="HH1" s="119"/>
      <c r="HI1" s="119"/>
      <c r="HJ1" s="119"/>
      <c r="HK1" s="119"/>
      <c r="HL1" s="119"/>
      <c r="HM1" s="119"/>
      <c r="HN1" s="119"/>
      <c r="HO1" s="119"/>
      <c r="HP1" s="119"/>
      <c r="HQ1" s="119"/>
      <c r="HR1" s="119"/>
      <c r="HS1" s="119"/>
      <c r="HT1" s="119"/>
      <c r="HU1" s="119"/>
      <c r="HV1" s="119"/>
      <c r="HW1" s="119"/>
      <c r="HX1" s="119"/>
      <c r="HY1" s="119"/>
      <c r="HZ1" s="119"/>
      <c r="IA1" s="119"/>
      <c r="IB1" s="119"/>
      <c r="IC1" s="119"/>
      <c r="ID1" s="119"/>
      <c r="IE1" s="119"/>
      <c r="IF1" s="119"/>
      <c r="IG1" s="119"/>
      <c r="IH1" s="119"/>
      <c r="II1" s="119"/>
      <c r="IJ1" s="119"/>
      <c r="IK1" s="119"/>
      <c r="IL1" s="119"/>
      <c r="IM1" s="119"/>
      <c r="IN1" s="119"/>
      <c r="IO1" s="119"/>
      <c r="IP1" s="119"/>
      <c r="IQ1" s="119"/>
      <c r="IR1" s="119"/>
      <c r="IS1" s="119"/>
      <c r="IT1" s="119"/>
      <c r="IU1" s="119"/>
      <c r="IV1" s="119"/>
      <c r="IW1" s="119"/>
      <c r="IX1" s="119"/>
      <c r="IY1" s="119"/>
      <c r="IZ1" s="119"/>
      <c r="JA1" s="119"/>
      <c r="JB1" s="119"/>
      <c r="JC1" s="119"/>
      <c r="JD1" s="119"/>
      <c r="JE1" s="119"/>
      <c r="JF1" s="119"/>
      <c r="JG1" s="119"/>
      <c r="JH1" s="119"/>
      <c r="JI1" s="119"/>
      <c r="JJ1" s="119"/>
      <c r="JK1" s="119"/>
      <c r="JL1" s="119"/>
      <c r="JM1" s="119"/>
      <c r="JN1" s="119"/>
      <c r="JO1" s="119"/>
      <c r="JP1" s="119"/>
      <c r="JQ1" s="119"/>
      <c r="JR1" s="119"/>
      <c r="JS1" s="119"/>
      <c r="JT1" s="119"/>
      <c r="JU1" s="119"/>
      <c r="JV1" s="119"/>
      <c r="JW1" s="119"/>
      <c r="JX1" s="119"/>
      <c r="JY1" s="119"/>
      <c r="JZ1" s="119"/>
      <c r="KA1" s="119"/>
      <c r="KB1" s="119"/>
      <c r="KC1" s="119"/>
      <c r="KD1" s="119"/>
      <c r="KE1" s="119"/>
      <c r="KF1" s="119"/>
      <c r="KG1" s="119"/>
      <c r="KH1" s="119"/>
      <c r="KI1" s="119"/>
      <c r="KJ1" s="119"/>
      <c r="KK1" s="119"/>
      <c r="KL1" s="119"/>
      <c r="KM1" s="119"/>
      <c r="KN1" s="119"/>
      <c r="KO1" s="119"/>
      <c r="KP1" s="119"/>
      <c r="KQ1" s="119"/>
      <c r="KR1" s="119"/>
      <c r="KS1" s="119"/>
      <c r="KT1" s="119"/>
      <c r="KU1" s="119"/>
      <c r="KV1" s="119"/>
      <c r="KW1" s="119"/>
      <c r="KX1" s="119"/>
      <c r="KY1" s="119"/>
      <c r="KZ1" s="119"/>
      <c r="LA1" s="119"/>
      <c r="LB1" s="119"/>
      <c r="LC1" s="119"/>
      <c r="LD1" s="119"/>
      <c r="LE1" s="119"/>
      <c r="LF1" s="119"/>
      <c r="LG1" s="119"/>
      <c r="LH1" s="119"/>
      <c r="LI1" s="119"/>
      <c r="LJ1" s="119"/>
      <c r="LK1" s="119"/>
      <c r="LL1" s="119"/>
      <c r="LM1" s="119"/>
      <c r="LN1" s="119"/>
      <c r="LO1" s="119"/>
      <c r="LP1" s="119"/>
      <c r="LQ1" s="119"/>
      <c r="LR1" s="119"/>
      <c r="LS1" s="119"/>
      <c r="LT1" s="119"/>
      <c r="LU1" s="119"/>
      <c r="LV1" s="119"/>
      <c r="LW1" s="119"/>
      <c r="LX1" s="119"/>
      <c r="LY1" s="119"/>
      <c r="LZ1" s="119"/>
      <c r="MA1" s="119"/>
      <c r="MB1" s="119"/>
      <c r="MC1" s="119"/>
      <c r="MD1" s="119"/>
      <c r="ME1" s="119"/>
      <c r="MF1" s="119"/>
      <c r="MG1" s="119"/>
      <c r="MH1" s="119"/>
      <c r="MI1" s="119"/>
      <c r="MJ1" s="119"/>
      <c r="MK1" s="119"/>
      <c r="ML1" s="119"/>
      <c r="MM1" s="119"/>
      <c r="MN1" s="119"/>
      <c r="MO1" s="119"/>
      <c r="MP1" s="119"/>
      <c r="MQ1" s="119"/>
      <c r="MR1" s="119"/>
      <c r="MS1" s="119"/>
      <c r="MT1" s="119"/>
      <c r="MU1" s="119"/>
      <c r="MV1" s="119"/>
      <c r="MW1" s="119"/>
      <c r="MX1" s="119"/>
      <c r="MY1" s="119"/>
      <c r="MZ1" s="119"/>
      <c r="NA1" s="119"/>
      <c r="NB1" s="119"/>
      <c r="NC1" s="119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</row>
    <row r="2" spans="1:458" ht="20.100000000000001" customHeight="1" x14ac:dyDescent="0.25">
      <c r="A2" s="119" t="s">
        <v>39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19"/>
      <c r="FW2" s="119"/>
      <c r="FX2" s="119"/>
      <c r="FY2" s="119"/>
      <c r="FZ2" s="119"/>
      <c r="GA2" s="119"/>
      <c r="GB2" s="119"/>
      <c r="GC2" s="119"/>
      <c r="GD2" s="119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  <c r="GV2" s="119"/>
      <c r="GW2" s="119"/>
      <c r="GX2" s="119"/>
      <c r="GY2" s="119"/>
      <c r="GZ2" s="119"/>
      <c r="HA2" s="119"/>
      <c r="HB2" s="119"/>
      <c r="HC2" s="119"/>
      <c r="HD2" s="119"/>
      <c r="HE2" s="119"/>
      <c r="HF2" s="119"/>
      <c r="HG2" s="119"/>
      <c r="HH2" s="119"/>
      <c r="HI2" s="119"/>
      <c r="HJ2" s="119"/>
      <c r="HK2" s="119"/>
      <c r="HL2" s="119"/>
      <c r="HM2" s="119"/>
      <c r="HN2" s="119"/>
      <c r="HO2" s="119"/>
      <c r="HP2" s="119"/>
      <c r="HQ2" s="119"/>
      <c r="HR2" s="119"/>
      <c r="HS2" s="119"/>
      <c r="HT2" s="119"/>
      <c r="HU2" s="119"/>
      <c r="HV2" s="119"/>
      <c r="HW2" s="119"/>
      <c r="HX2" s="119"/>
      <c r="HY2" s="119"/>
      <c r="HZ2" s="119"/>
      <c r="IA2" s="119"/>
      <c r="IB2" s="119"/>
      <c r="IC2" s="119"/>
      <c r="ID2" s="119"/>
      <c r="IE2" s="119"/>
      <c r="IF2" s="119"/>
      <c r="IG2" s="119"/>
      <c r="IH2" s="119"/>
      <c r="II2" s="119"/>
      <c r="IJ2" s="119"/>
      <c r="IK2" s="119"/>
      <c r="IL2" s="119"/>
      <c r="IM2" s="119"/>
      <c r="IN2" s="119"/>
      <c r="IO2" s="119"/>
      <c r="IP2" s="119"/>
      <c r="IQ2" s="119"/>
      <c r="IR2" s="119"/>
      <c r="IS2" s="119"/>
      <c r="IT2" s="119"/>
      <c r="IU2" s="119"/>
      <c r="IV2" s="119"/>
      <c r="IW2" s="119"/>
      <c r="IX2" s="119"/>
      <c r="IY2" s="119"/>
      <c r="IZ2" s="119"/>
      <c r="JA2" s="119"/>
      <c r="JB2" s="119"/>
      <c r="JC2" s="119"/>
      <c r="JD2" s="119"/>
      <c r="JE2" s="119"/>
      <c r="JF2" s="119"/>
      <c r="JG2" s="119"/>
      <c r="JH2" s="119"/>
      <c r="JI2" s="119"/>
      <c r="JJ2" s="119"/>
      <c r="JK2" s="119"/>
      <c r="JL2" s="119"/>
      <c r="JM2" s="119"/>
      <c r="JN2" s="119"/>
      <c r="JO2" s="119"/>
      <c r="JP2" s="119"/>
      <c r="JQ2" s="119"/>
      <c r="JR2" s="119"/>
      <c r="JS2" s="119"/>
      <c r="JT2" s="119"/>
      <c r="JU2" s="119"/>
      <c r="JV2" s="119"/>
      <c r="JW2" s="119"/>
      <c r="JX2" s="119"/>
      <c r="JY2" s="119"/>
      <c r="JZ2" s="119"/>
      <c r="KA2" s="119"/>
      <c r="KB2" s="119"/>
      <c r="KC2" s="119"/>
      <c r="KD2" s="119"/>
      <c r="KE2" s="119"/>
      <c r="KF2" s="119"/>
      <c r="KG2" s="119"/>
      <c r="KH2" s="119"/>
      <c r="KI2" s="119"/>
      <c r="KJ2" s="119"/>
      <c r="KK2" s="119"/>
      <c r="KL2" s="119"/>
      <c r="KM2" s="119"/>
      <c r="KN2" s="119"/>
      <c r="KO2" s="119"/>
      <c r="KP2" s="119"/>
      <c r="KQ2" s="119"/>
      <c r="KR2" s="119"/>
      <c r="KS2" s="119"/>
      <c r="KT2" s="119"/>
      <c r="KU2" s="119"/>
      <c r="KV2" s="119"/>
      <c r="KW2" s="119"/>
      <c r="KX2" s="119"/>
      <c r="KY2" s="119"/>
      <c r="KZ2" s="119"/>
      <c r="LA2" s="119"/>
      <c r="LB2" s="119"/>
      <c r="LC2" s="119"/>
      <c r="LD2" s="119"/>
      <c r="LE2" s="119"/>
      <c r="LF2" s="119"/>
      <c r="LG2" s="119"/>
      <c r="LH2" s="119"/>
      <c r="LI2" s="119"/>
      <c r="LJ2" s="119"/>
      <c r="LK2" s="119"/>
      <c r="LL2" s="119"/>
      <c r="LM2" s="119"/>
      <c r="LN2" s="119"/>
      <c r="LO2" s="119"/>
      <c r="LP2" s="119"/>
      <c r="LQ2" s="119"/>
      <c r="LR2" s="119"/>
      <c r="LS2" s="119"/>
      <c r="LT2" s="119"/>
      <c r="LU2" s="119"/>
      <c r="LV2" s="119"/>
      <c r="LW2" s="119"/>
      <c r="LX2" s="119"/>
      <c r="LY2" s="119"/>
      <c r="LZ2" s="119"/>
      <c r="MA2" s="119"/>
      <c r="MB2" s="119"/>
      <c r="MC2" s="119"/>
      <c r="MD2" s="119"/>
      <c r="ME2" s="119"/>
      <c r="MF2" s="119"/>
      <c r="MG2" s="119"/>
      <c r="MH2" s="119"/>
      <c r="MI2" s="119"/>
      <c r="MJ2" s="119"/>
      <c r="MK2" s="119"/>
      <c r="ML2" s="119"/>
      <c r="MM2" s="119"/>
      <c r="MN2" s="119"/>
      <c r="MO2" s="119"/>
      <c r="MP2" s="119"/>
      <c r="MQ2" s="119"/>
      <c r="MR2" s="119"/>
      <c r="MS2" s="119"/>
      <c r="MT2" s="119"/>
      <c r="MU2" s="119"/>
      <c r="MV2" s="119"/>
      <c r="MW2" s="119"/>
      <c r="MX2" s="119"/>
      <c r="MY2" s="119"/>
      <c r="MZ2" s="119"/>
      <c r="NA2" s="119"/>
      <c r="NB2" s="119"/>
      <c r="NC2" s="119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</row>
    <row r="3" spans="1:458" ht="20.100000000000001" customHeight="1" x14ac:dyDescent="0.25">
      <c r="A3" s="119" t="s">
        <v>40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  <c r="EU3" s="119"/>
      <c r="EV3" s="119"/>
      <c r="EW3" s="119"/>
      <c r="EX3" s="119"/>
      <c r="EY3" s="119"/>
      <c r="EZ3" s="119"/>
      <c r="FA3" s="119"/>
      <c r="FB3" s="119"/>
      <c r="FC3" s="119"/>
      <c r="FD3" s="119"/>
      <c r="FE3" s="119"/>
      <c r="FF3" s="119"/>
      <c r="FG3" s="119"/>
      <c r="FH3" s="119"/>
      <c r="FI3" s="119"/>
      <c r="FJ3" s="119"/>
      <c r="FK3" s="119"/>
      <c r="FL3" s="119"/>
      <c r="FM3" s="119"/>
      <c r="FN3" s="119"/>
      <c r="FO3" s="119"/>
      <c r="FP3" s="119"/>
      <c r="FQ3" s="119"/>
      <c r="FR3" s="119"/>
      <c r="FS3" s="119"/>
      <c r="FT3" s="119"/>
      <c r="FU3" s="119"/>
      <c r="FV3" s="119"/>
      <c r="FW3" s="119"/>
      <c r="FX3" s="119"/>
      <c r="FY3" s="119"/>
      <c r="FZ3" s="119"/>
      <c r="GA3" s="119"/>
      <c r="GB3" s="119"/>
      <c r="GC3" s="119"/>
      <c r="GD3" s="119"/>
      <c r="GE3" s="119"/>
      <c r="GF3" s="119"/>
      <c r="GG3" s="119"/>
      <c r="GH3" s="119"/>
      <c r="GI3" s="119"/>
      <c r="GJ3" s="119"/>
      <c r="GK3" s="119"/>
      <c r="GL3" s="119"/>
      <c r="GM3" s="119"/>
      <c r="GN3" s="119"/>
      <c r="GO3" s="119"/>
      <c r="GP3" s="119"/>
      <c r="GQ3" s="119"/>
      <c r="GR3" s="119"/>
      <c r="GS3" s="119"/>
      <c r="GT3" s="119"/>
      <c r="GU3" s="119"/>
      <c r="GV3" s="119"/>
      <c r="GW3" s="119"/>
      <c r="GX3" s="119"/>
      <c r="GY3" s="119"/>
      <c r="GZ3" s="119"/>
      <c r="HA3" s="119"/>
      <c r="HB3" s="119"/>
      <c r="HC3" s="119"/>
      <c r="HD3" s="119"/>
      <c r="HE3" s="119"/>
      <c r="HF3" s="119"/>
      <c r="HG3" s="119"/>
      <c r="HH3" s="119"/>
      <c r="HI3" s="119"/>
      <c r="HJ3" s="119"/>
      <c r="HK3" s="119"/>
      <c r="HL3" s="119"/>
      <c r="HM3" s="119"/>
      <c r="HN3" s="119"/>
      <c r="HO3" s="119"/>
      <c r="HP3" s="119"/>
      <c r="HQ3" s="119"/>
      <c r="HR3" s="119"/>
      <c r="HS3" s="119"/>
      <c r="HT3" s="119"/>
      <c r="HU3" s="119"/>
      <c r="HV3" s="119"/>
      <c r="HW3" s="119"/>
      <c r="HX3" s="119"/>
      <c r="HY3" s="119"/>
      <c r="HZ3" s="119"/>
      <c r="IA3" s="119"/>
      <c r="IB3" s="119"/>
      <c r="IC3" s="119"/>
      <c r="ID3" s="119"/>
      <c r="IE3" s="119"/>
      <c r="IF3" s="119"/>
      <c r="IG3" s="119"/>
      <c r="IH3" s="119"/>
      <c r="II3" s="119"/>
      <c r="IJ3" s="119"/>
      <c r="IK3" s="119"/>
      <c r="IL3" s="119"/>
      <c r="IM3" s="119"/>
      <c r="IN3" s="119"/>
      <c r="IO3" s="119"/>
      <c r="IP3" s="119"/>
      <c r="IQ3" s="119"/>
      <c r="IR3" s="119"/>
      <c r="IS3" s="119"/>
      <c r="IT3" s="119"/>
      <c r="IU3" s="119"/>
      <c r="IV3" s="119"/>
      <c r="IW3" s="119"/>
      <c r="IX3" s="119"/>
      <c r="IY3" s="119"/>
      <c r="IZ3" s="119"/>
      <c r="JA3" s="119"/>
      <c r="JB3" s="119"/>
      <c r="JC3" s="119"/>
      <c r="JD3" s="119"/>
      <c r="JE3" s="119"/>
      <c r="JF3" s="119"/>
      <c r="JG3" s="119"/>
      <c r="JH3" s="119"/>
      <c r="JI3" s="119"/>
      <c r="JJ3" s="119"/>
      <c r="JK3" s="119"/>
      <c r="JL3" s="119"/>
      <c r="JM3" s="119"/>
      <c r="JN3" s="119"/>
      <c r="JO3" s="119"/>
      <c r="JP3" s="119"/>
      <c r="JQ3" s="119"/>
      <c r="JR3" s="119"/>
      <c r="JS3" s="119"/>
      <c r="JT3" s="119"/>
      <c r="JU3" s="119"/>
      <c r="JV3" s="119"/>
      <c r="JW3" s="119"/>
      <c r="JX3" s="119"/>
      <c r="JY3" s="119"/>
      <c r="JZ3" s="119"/>
      <c r="KA3" s="119"/>
      <c r="KB3" s="119"/>
      <c r="KC3" s="119"/>
      <c r="KD3" s="119"/>
      <c r="KE3" s="119"/>
      <c r="KF3" s="119"/>
      <c r="KG3" s="119"/>
      <c r="KH3" s="119"/>
      <c r="KI3" s="119"/>
      <c r="KJ3" s="119"/>
      <c r="KK3" s="119"/>
      <c r="KL3" s="119"/>
      <c r="KM3" s="119"/>
      <c r="KN3" s="119"/>
      <c r="KO3" s="119"/>
      <c r="KP3" s="119"/>
      <c r="KQ3" s="119"/>
      <c r="KR3" s="119"/>
      <c r="KS3" s="119"/>
      <c r="KT3" s="119"/>
      <c r="KU3" s="119"/>
      <c r="KV3" s="119"/>
      <c r="KW3" s="119"/>
      <c r="KX3" s="119"/>
      <c r="KY3" s="119"/>
      <c r="KZ3" s="119"/>
      <c r="LA3" s="119"/>
      <c r="LB3" s="119"/>
      <c r="LC3" s="119"/>
      <c r="LD3" s="119"/>
      <c r="LE3" s="119"/>
      <c r="LF3" s="119"/>
      <c r="LG3" s="119"/>
      <c r="LH3" s="119"/>
      <c r="LI3" s="119"/>
      <c r="LJ3" s="119"/>
      <c r="LK3" s="119"/>
      <c r="LL3" s="119"/>
      <c r="LM3" s="119"/>
      <c r="LN3" s="119"/>
      <c r="LO3" s="119"/>
      <c r="LP3" s="119"/>
      <c r="LQ3" s="119"/>
      <c r="LR3" s="119"/>
      <c r="LS3" s="119"/>
      <c r="LT3" s="119"/>
      <c r="LU3" s="119"/>
      <c r="LV3" s="119"/>
      <c r="LW3" s="119"/>
      <c r="LX3" s="119"/>
      <c r="LY3" s="119"/>
      <c r="LZ3" s="119"/>
      <c r="MA3" s="119"/>
      <c r="MB3" s="119"/>
      <c r="MC3" s="119"/>
      <c r="MD3" s="119"/>
      <c r="ME3" s="119"/>
      <c r="MF3" s="119"/>
      <c r="MG3" s="119"/>
      <c r="MH3" s="119"/>
      <c r="MI3" s="119"/>
      <c r="MJ3" s="119"/>
      <c r="MK3" s="119"/>
      <c r="ML3" s="119"/>
      <c r="MM3" s="119"/>
      <c r="MN3" s="119"/>
      <c r="MO3" s="119"/>
      <c r="MP3" s="119"/>
      <c r="MQ3" s="119"/>
      <c r="MR3" s="119"/>
      <c r="MS3" s="119"/>
      <c r="MT3" s="119"/>
      <c r="MU3" s="119"/>
      <c r="MV3" s="119"/>
      <c r="MW3" s="119"/>
      <c r="MX3" s="119"/>
      <c r="MY3" s="119"/>
      <c r="MZ3" s="119"/>
      <c r="NA3" s="119"/>
      <c r="NB3" s="119"/>
      <c r="NC3" s="119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</row>
    <row r="4" spans="1:458" ht="20.100000000000001" customHeight="1" x14ac:dyDescent="0.25">
      <c r="A4" s="119" t="s">
        <v>41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  <c r="EU4" s="119"/>
      <c r="EV4" s="119"/>
      <c r="EW4" s="119"/>
      <c r="EX4" s="119"/>
      <c r="EY4" s="119"/>
      <c r="EZ4" s="119"/>
      <c r="FA4" s="119"/>
      <c r="FB4" s="119"/>
      <c r="FC4" s="119"/>
      <c r="FD4" s="119"/>
      <c r="FE4" s="119"/>
      <c r="FF4" s="119"/>
      <c r="FG4" s="119"/>
      <c r="FH4" s="119"/>
      <c r="FI4" s="119"/>
      <c r="FJ4" s="119"/>
      <c r="FK4" s="119"/>
      <c r="FL4" s="119"/>
      <c r="FM4" s="119"/>
      <c r="FN4" s="119"/>
      <c r="FO4" s="119"/>
      <c r="FP4" s="119"/>
      <c r="FQ4" s="119"/>
      <c r="FR4" s="119"/>
      <c r="FS4" s="119"/>
      <c r="FT4" s="119"/>
      <c r="FU4" s="119"/>
      <c r="FV4" s="119"/>
      <c r="FW4" s="119"/>
      <c r="FX4" s="119"/>
      <c r="FY4" s="119"/>
      <c r="FZ4" s="119"/>
      <c r="GA4" s="119"/>
      <c r="GB4" s="119"/>
      <c r="GC4" s="119"/>
      <c r="GD4" s="119"/>
      <c r="GE4" s="119"/>
      <c r="GF4" s="119"/>
      <c r="GG4" s="119"/>
      <c r="GH4" s="119"/>
      <c r="GI4" s="119"/>
      <c r="GJ4" s="119"/>
      <c r="GK4" s="119"/>
      <c r="GL4" s="119"/>
      <c r="GM4" s="119"/>
      <c r="GN4" s="119"/>
      <c r="GO4" s="119"/>
      <c r="GP4" s="119"/>
      <c r="GQ4" s="119"/>
      <c r="GR4" s="119"/>
      <c r="GS4" s="119"/>
      <c r="GT4" s="119"/>
      <c r="GU4" s="119"/>
      <c r="GV4" s="119"/>
      <c r="GW4" s="119"/>
      <c r="GX4" s="119"/>
      <c r="GY4" s="119"/>
      <c r="GZ4" s="119"/>
      <c r="HA4" s="119"/>
      <c r="HB4" s="119"/>
      <c r="HC4" s="119"/>
      <c r="HD4" s="119"/>
      <c r="HE4" s="119"/>
      <c r="HF4" s="119"/>
      <c r="HG4" s="119"/>
      <c r="HH4" s="119"/>
      <c r="HI4" s="119"/>
      <c r="HJ4" s="119"/>
      <c r="HK4" s="119"/>
      <c r="HL4" s="119"/>
      <c r="HM4" s="119"/>
      <c r="HN4" s="119"/>
      <c r="HO4" s="119"/>
      <c r="HP4" s="119"/>
      <c r="HQ4" s="119"/>
      <c r="HR4" s="119"/>
      <c r="HS4" s="119"/>
      <c r="HT4" s="119"/>
      <c r="HU4" s="119"/>
      <c r="HV4" s="119"/>
      <c r="HW4" s="119"/>
      <c r="HX4" s="119"/>
      <c r="HY4" s="119"/>
      <c r="HZ4" s="119"/>
      <c r="IA4" s="119"/>
      <c r="IB4" s="119"/>
      <c r="IC4" s="119"/>
      <c r="ID4" s="119"/>
      <c r="IE4" s="119"/>
      <c r="IF4" s="119"/>
      <c r="IG4" s="119"/>
      <c r="IH4" s="119"/>
      <c r="II4" s="119"/>
      <c r="IJ4" s="119"/>
      <c r="IK4" s="119"/>
      <c r="IL4" s="119"/>
      <c r="IM4" s="119"/>
      <c r="IN4" s="119"/>
      <c r="IO4" s="119"/>
      <c r="IP4" s="119"/>
      <c r="IQ4" s="119"/>
      <c r="IR4" s="119"/>
      <c r="IS4" s="119"/>
      <c r="IT4" s="119"/>
      <c r="IU4" s="119"/>
      <c r="IV4" s="119"/>
      <c r="IW4" s="119"/>
      <c r="IX4" s="119"/>
      <c r="IY4" s="119"/>
      <c r="IZ4" s="119"/>
      <c r="JA4" s="119"/>
      <c r="JB4" s="119"/>
      <c r="JC4" s="119"/>
      <c r="JD4" s="119"/>
      <c r="JE4" s="119"/>
      <c r="JF4" s="119"/>
      <c r="JG4" s="119"/>
      <c r="JH4" s="119"/>
      <c r="JI4" s="119"/>
      <c r="JJ4" s="119"/>
      <c r="JK4" s="119"/>
      <c r="JL4" s="119"/>
      <c r="JM4" s="119"/>
      <c r="JN4" s="119"/>
      <c r="JO4" s="119"/>
      <c r="JP4" s="119"/>
      <c r="JQ4" s="119"/>
      <c r="JR4" s="119"/>
      <c r="JS4" s="119"/>
      <c r="JT4" s="119"/>
      <c r="JU4" s="119"/>
      <c r="JV4" s="119"/>
      <c r="JW4" s="119"/>
      <c r="JX4" s="119"/>
      <c r="JY4" s="119"/>
      <c r="JZ4" s="119"/>
      <c r="KA4" s="119"/>
      <c r="KB4" s="119"/>
      <c r="KC4" s="119"/>
      <c r="KD4" s="119"/>
      <c r="KE4" s="119"/>
      <c r="KF4" s="119"/>
      <c r="KG4" s="119"/>
      <c r="KH4" s="119"/>
      <c r="KI4" s="119"/>
      <c r="KJ4" s="119"/>
      <c r="KK4" s="119"/>
      <c r="KL4" s="119"/>
      <c r="KM4" s="119"/>
      <c r="KN4" s="119"/>
      <c r="KO4" s="119"/>
      <c r="KP4" s="119"/>
      <c r="KQ4" s="119"/>
      <c r="KR4" s="119"/>
      <c r="KS4" s="119"/>
      <c r="KT4" s="119"/>
      <c r="KU4" s="119"/>
      <c r="KV4" s="119"/>
      <c r="KW4" s="119"/>
      <c r="KX4" s="119"/>
      <c r="KY4" s="119"/>
      <c r="KZ4" s="119"/>
      <c r="LA4" s="119"/>
      <c r="LB4" s="119"/>
      <c r="LC4" s="119"/>
      <c r="LD4" s="119"/>
      <c r="LE4" s="119"/>
      <c r="LF4" s="119"/>
      <c r="LG4" s="119"/>
      <c r="LH4" s="119"/>
      <c r="LI4" s="119"/>
      <c r="LJ4" s="119"/>
      <c r="LK4" s="119"/>
      <c r="LL4" s="119"/>
      <c r="LM4" s="119"/>
      <c r="LN4" s="119"/>
      <c r="LO4" s="119"/>
      <c r="LP4" s="119"/>
      <c r="LQ4" s="119"/>
      <c r="LR4" s="119"/>
      <c r="LS4" s="119"/>
      <c r="LT4" s="119"/>
      <c r="LU4" s="119"/>
      <c r="LV4" s="119"/>
      <c r="LW4" s="119"/>
      <c r="LX4" s="119"/>
      <c r="LY4" s="119"/>
      <c r="LZ4" s="119"/>
      <c r="MA4" s="119"/>
      <c r="MB4" s="119"/>
      <c r="MC4" s="119"/>
      <c r="MD4" s="119"/>
      <c r="ME4" s="119"/>
      <c r="MF4" s="119"/>
      <c r="MG4" s="119"/>
      <c r="MH4" s="119"/>
      <c r="MI4" s="119"/>
      <c r="MJ4" s="119"/>
      <c r="MK4" s="119"/>
      <c r="ML4" s="119"/>
      <c r="MM4" s="119"/>
      <c r="MN4" s="119"/>
      <c r="MO4" s="119"/>
      <c r="MP4" s="119"/>
      <c r="MQ4" s="119"/>
      <c r="MR4" s="119"/>
      <c r="MS4" s="119"/>
      <c r="MT4" s="119"/>
      <c r="MU4" s="119"/>
      <c r="MV4" s="119"/>
      <c r="MW4" s="119"/>
      <c r="MX4" s="119"/>
      <c r="MY4" s="119"/>
      <c r="MZ4" s="119"/>
      <c r="NA4" s="119"/>
      <c r="NB4" s="119"/>
      <c r="NC4" s="119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</row>
    <row r="5" spans="1:458" ht="20.100000000000001" customHeight="1" x14ac:dyDescent="0.25">
      <c r="A5" s="119" t="s">
        <v>42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9"/>
      <c r="DN5" s="119"/>
      <c r="DO5" s="119"/>
      <c r="DP5" s="119"/>
      <c r="DQ5" s="119"/>
      <c r="DR5" s="119"/>
      <c r="DS5" s="119"/>
      <c r="DT5" s="119"/>
      <c r="DU5" s="119"/>
      <c r="DV5" s="119"/>
      <c r="DW5" s="119"/>
      <c r="DX5" s="119"/>
      <c r="DY5" s="119"/>
      <c r="DZ5" s="119"/>
      <c r="EA5" s="119"/>
      <c r="EB5" s="119"/>
      <c r="EC5" s="119"/>
      <c r="ED5" s="119"/>
      <c r="EE5" s="119"/>
      <c r="EF5" s="119"/>
      <c r="EG5" s="119"/>
      <c r="EH5" s="119"/>
      <c r="EI5" s="119"/>
      <c r="EJ5" s="119"/>
      <c r="EK5" s="119"/>
      <c r="EL5" s="119"/>
      <c r="EM5" s="119"/>
      <c r="EN5" s="119"/>
      <c r="EO5" s="119"/>
      <c r="EP5" s="119"/>
      <c r="EQ5" s="119"/>
      <c r="ER5" s="119"/>
      <c r="ES5" s="119"/>
      <c r="ET5" s="119"/>
      <c r="EU5" s="119"/>
      <c r="EV5" s="119"/>
      <c r="EW5" s="119"/>
      <c r="EX5" s="119"/>
      <c r="EY5" s="119"/>
      <c r="EZ5" s="119"/>
      <c r="FA5" s="119"/>
      <c r="FB5" s="119"/>
      <c r="FC5" s="119"/>
      <c r="FD5" s="119"/>
      <c r="FE5" s="119"/>
      <c r="FF5" s="119"/>
      <c r="FG5" s="119"/>
      <c r="FH5" s="119"/>
      <c r="FI5" s="119"/>
      <c r="FJ5" s="119"/>
      <c r="FK5" s="119"/>
      <c r="FL5" s="119"/>
      <c r="FM5" s="119"/>
      <c r="FN5" s="119"/>
      <c r="FO5" s="119"/>
      <c r="FP5" s="119"/>
      <c r="FQ5" s="119"/>
      <c r="FR5" s="119"/>
      <c r="FS5" s="119"/>
      <c r="FT5" s="119"/>
      <c r="FU5" s="119"/>
      <c r="FV5" s="119"/>
      <c r="FW5" s="119"/>
      <c r="FX5" s="119"/>
      <c r="FY5" s="119"/>
      <c r="FZ5" s="119"/>
      <c r="GA5" s="119"/>
      <c r="GB5" s="119"/>
      <c r="GC5" s="119"/>
      <c r="GD5" s="119"/>
      <c r="GE5" s="119"/>
      <c r="GF5" s="119"/>
      <c r="GG5" s="119"/>
      <c r="GH5" s="119"/>
      <c r="GI5" s="119"/>
      <c r="GJ5" s="119"/>
      <c r="GK5" s="119"/>
      <c r="GL5" s="119"/>
      <c r="GM5" s="119"/>
      <c r="GN5" s="119"/>
      <c r="GO5" s="119"/>
      <c r="GP5" s="119"/>
      <c r="GQ5" s="119"/>
      <c r="GR5" s="119"/>
      <c r="GS5" s="119"/>
      <c r="GT5" s="119"/>
      <c r="GU5" s="119"/>
      <c r="GV5" s="119"/>
      <c r="GW5" s="119"/>
      <c r="GX5" s="119"/>
      <c r="GY5" s="119"/>
      <c r="GZ5" s="119"/>
      <c r="HA5" s="119"/>
      <c r="HB5" s="119"/>
      <c r="HC5" s="119"/>
      <c r="HD5" s="119"/>
      <c r="HE5" s="119"/>
      <c r="HF5" s="119"/>
      <c r="HG5" s="119"/>
      <c r="HH5" s="119"/>
      <c r="HI5" s="119"/>
      <c r="HJ5" s="119"/>
      <c r="HK5" s="119"/>
      <c r="HL5" s="119"/>
      <c r="HM5" s="119"/>
      <c r="HN5" s="119"/>
      <c r="HO5" s="119"/>
      <c r="HP5" s="119"/>
      <c r="HQ5" s="119"/>
      <c r="HR5" s="119"/>
      <c r="HS5" s="119"/>
      <c r="HT5" s="119"/>
      <c r="HU5" s="119"/>
      <c r="HV5" s="119"/>
      <c r="HW5" s="119"/>
      <c r="HX5" s="119"/>
      <c r="HY5" s="119"/>
      <c r="HZ5" s="119"/>
      <c r="IA5" s="119"/>
      <c r="IB5" s="119"/>
      <c r="IC5" s="119"/>
      <c r="ID5" s="119"/>
      <c r="IE5" s="119"/>
      <c r="IF5" s="119"/>
      <c r="IG5" s="119"/>
      <c r="IH5" s="119"/>
      <c r="II5" s="119"/>
      <c r="IJ5" s="119"/>
      <c r="IK5" s="119"/>
      <c r="IL5" s="119"/>
      <c r="IM5" s="119"/>
      <c r="IN5" s="119"/>
      <c r="IO5" s="119"/>
      <c r="IP5" s="119"/>
      <c r="IQ5" s="119"/>
      <c r="IR5" s="119"/>
      <c r="IS5" s="119"/>
      <c r="IT5" s="119"/>
      <c r="IU5" s="119"/>
      <c r="IV5" s="119"/>
      <c r="IW5" s="119"/>
      <c r="IX5" s="119"/>
      <c r="IY5" s="119"/>
      <c r="IZ5" s="119"/>
      <c r="JA5" s="119"/>
      <c r="JB5" s="119"/>
      <c r="JC5" s="119"/>
      <c r="JD5" s="119"/>
      <c r="JE5" s="119"/>
      <c r="JF5" s="119"/>
      <c r="JG5" s="119"/>
      <c r="JH5" s="119"/>
      <c r="JI5" s="119"/>
      <c r="JJ5" s="119"/>
      <c r="JK5" s="119"/>
      <c r="JL5" s="119"/>
      <c r="JM5" s="119"/>
      <c r="JN5" s="119"/>
      <c r="JO5" s="119"/>
      <c r="JP5" s="119"/>
      <c r="JQ5" s="119"/>
      <c r="JR5" s="119"/>
      <c r="JS5" s="119"/>
      <c r="JT5" s="119"/>
      <c r="JU5" s="119"/>
      <c r="JV5" s="119"/>
      <c r="JW5" s="119"/>
      <c r="JX5" s="119"/>
      <c r="JY5" s="119"/>
      <c r="JZ5" s="119"/>
      <c r="KA5" s="119"/>
      <c r="KB5" s="119"/>
      <c r="KC5" s="119"/>
      <c r="KD5" s="119"/>
      <c r="KE5" s="119"/>
      <c r="KF5" s="119"/>
      <c r="KG5" s="119"/>
      <c r="KH5" s="119"/>
      <c r="KI5" s="119"/>
      <c r="KJ5" s="119"/>
      <c r="KK5" s="119"/>
      <c r="KL5" s="119"/>
      <c r="KM5" s="119"/>
      <c r="KN5" s="119"/>
      <c r="KO5" s="119"/>
      <c r="KP5" s="119"/>
      <c r="KQ5" s="119"/>
      <c r="KR5" s="119"/>
      <c r="KS5" s="119"/>
      <c r="KT5" s="119"/>
      <c r="KU5" s="119"/>
      <c r="KV5" s="119"/>
      <c r="KW5" s="119"/>
      <c r="KX5" s="119"/>
      <c r="KY5" s="119"/>
      <c r="KZ5" s="119"/>
      <c r="LA5" s="119"/>
      <c r="LB5" s="119"/>
      <c r="LC5" s="119"/>
      <c r="LD5" s="119"/>
      <c r="LE5" s="119"/>
      <c r="LF5" s="119"/>
      <c r="LG5" s="119"/>
      <c r="LH5" s="119"/>
      <c r="LI5" s="119"/>
      <c r="LJ5" s="119"/>
      <c r="LK5" s="119"/>
      <c r="LL5" s="119"/>
      <c r="LM5" s="119"/>
      <c r="LN5" s="119"/>
      <c r="LO5" s="119"/>
      <c r="LP5" s="119"/>
      <c r="LQ5" s="119"/>
      <c r="LR5" s="119"/>
      <c r="LS5" s="119"/>
      <c r="LT5" s="119"/>
      <c r="LU5" s="119"/>
      <c r="LV5" s="119"/>
      <c r="LW5" s="119"/>
      <c r="LX5" s="119"/>
      <c r="LY5" s="119"/>
      <c r="LZ5" s="119"/>
      <c r="MA5" s="119"/>
      <c r="MB5" s="119"/>
      <c r="MC5" s="119"/>
      <c r="MD5" s="119"/>
      <c r="ME5" s="119"/>
      <c r="MF5" s="119"/>
      <c r="MG5" s="119"/>
      <c r="MH5" s="119"/>
      <c r="MI5" s="119"/>
      <c r="MJ5" s="119"/>
      <c r="MK5" s="119"/>
      <c r="ML5" s="119"/>
      <c r="MM5" s="119"/>
      <c r="MN5" s="119"/>
      <c r="MO5" s="119"/>
      <c r="MP5" s="119"/>
      <c r="MQ5" s="119"/>
      <c r="MR5" s="119"/>
      <c r="MS5" s="119"/>
      <c r="MT5" s="119"/>
      <c r="MU5" s="119"/>
      <c r="MV5" s="119"/>
      <c r="MW5" s="119"/>
      <c r="MX5" s="119"/>
      <c r="MY5" s="119"/>
      <c r="MZ5" s="119"/>
      <c r="NA5" s="119"/>
      <c r="NB5" s="119"/>
      <c r="NC5" s="119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</row>
    <row r="6" spans="1:458" ht="20.100000000000001" customHeight="1" x14ac:dyDescent="0.25">
      <c r="A6" s="119" t="s">
        <v>52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19"/>
      <c r="EC6" s="119"/>
      <c r="ED6" s="119"/>
      <c r="EE6" s="119"/>
      <c r="EF6" s="119"/>
      <c r="EG6" s="119"/>
      <c r="EH6" s="119"/>
      <c r="EI6" s="119"/>
      <c r="EJ6" s="119"/>
      <c r="EK6" s="119"/>
      <c r="EL6" s="119"/>
      <c r="EM6" s="119"/>
      <c r="EN6" s="119"/>
      <c r="EO6" s="119"/>
      <c r="EP6" s="119"/>
      <c r="EQ6" s="119"/>
      <c r="ER6" s="119"/>
      <c r="ES6" s="119"/>
      <c r="ET6" s="119"/>
      <c r="EU6" s="119"/>
      <c r="EV6" s="119"/>
      <c r="EW6" s="119"/>
      <c r="EX6" s="119"/>
      <c r="EY6" s="119"/>
      <c r="EZ6" s="119"/>
      <c r="FA6" s="119"/>
      <c r="FB6" s="119"/>
      <c r="FC6" s="119"/>
      <c r="FD6" s="119"/>
      <c r="FE6" s="119"/>
      <c r="FF6" s="119"/>
      <c r="FG6" s="119"/>
      <c r="FH6" s="119"/>
      <c r="FI6" s="119"/>
      <c r="FJ6" s="119"/>
      <c r="FK6" s="119"/>
      <c r="FL6" s="119"/>
      <c r="FM6" s="119"/>
      <c r="FN6" s="119"/>
      <c r="FO6" s="119"/>
      <c r="FP6" s="119"/>
      <c r="FQ6" s="119"/>
      <c r="FR6" s="119"/>
      <c r="FS6" s="119"/>
      <c r="FT6" s="119"/>
      <c r="FU6" s="119"/>
      <c r="FV6" s="119"/>
      <c r="FW6" s="119"/>
      <c r="FX6" s="119"/>
      <c r="FY6" s="119"/>
      <c r="FZ6" s="119"/>
      <c r="GA6" s="119"/>
      <c r="GB6" s="119"/>
      <c r="GC6" s="119"/>
      <c r="GD6" s="119"/>
      <c r="GE6" s="119"/>
      <c r="GF6" s="119"/>
      <c r="GG6" s="119"/>
      <c r="GH6" s="119"/>
      <c r="GI6" s="119"/>
      <c r="GJ6" s="119"/>
      <c r="GK6" s="119"/>
      <c r="GL6" s="119"/>
      <c r="GM6" s="119"/>
      <c r="GN6" s="119"/>
      <c r="GO6" s="119"/>
      <c r="GP6" s="119"/>
      <c r="GQ6" s="119"/>
      <c r="GR6" s="119"/>
      <c r="GS6" s="119"/>
      <c r="GT6" s="119"/>
      <c r="GU6" s="119"/>
      <c r="GV6" s="119"/>
      <c r="GW6" s="119"/>
      <c r="GX6" s="119"/>
      <c r="GY6" s="119"/>
      <c r="GZ6" s="119"/>
      <c r="HA6" s="119"/>
      <c r="HB6" s="119"/>
      <c r="HC6" s="119"/>
      <c r="HD6" s="119"/>
      <c r="HE6" s="119"/>
      <c r="HF6" s="119"/>
      <c r="HG6" s="119"/>
      <c r="HH6" s="119"/>
      <c r="HI6" s="119"/>
      <c r="HJ6" s="119"/>
      <c r="HK6" s="119"/>
      <c r="HL6" s="119"/>
      <c r="HM6" s="119"/>
      <c r="HN6" s="119"/>
      <c r="HO6" s="119"/>
      <c r="HP6" s="119"/>
      <c r="HQ6" s="119"/>
      <c r="HR6" s="119"/>
      <c r="HS6" s="119"/>
      <c r="HT6" s="119"/>
      <c r="HU6" s="119"/>
      <c r="HV6" s="119"/>
      <c r="HW6" s="119"/>
      <c r="HX6" s="119"/>
      <c r="HY6" s="119"/>
      <c r="HZ6" s="119"/>
      <c r="IA6" s="119"/>
      <c r="IB6" s="119"/>
      <c r="IC6" s="119"/>
      <c r="ID6" s="119"/>
      <c r="IE6" s="119"/>
      <c r="IF6" s="119"/>
      <c r="IG6" s="119"/>
      <c r="IH6" s="119"/>
      <c r="II6" s="119"/>
      <c r="IJ6" s="119"/>
      <c r="IK6" s="119"/>
      <c r="IL6" s="119"/>
      <c r="IM6" s="119"/>
      <c r="IN6" s="119"/>
      <c r="IO6" s="119"/>
      <c r="IP6" s="119"/>
      <c r="IQ6" s="119"/>
      <c r="IR6" s="119"/>
      <c r="IS6" s="119"/>
      <c r="IT6" s="119"/>
      <c r="IU6" s="119"/>
      <c r="IV6" s="119"/>
      <c r="IW6" s="119"/>
      <c r="IX6" s="119"/>
      <c r="IY6" s="119"/>
      <c r="IZ6" s="119"/>
      <c r="JA6" s="119"/>
      <c r="JB6" s="119"/>
      <c r="JC6" s="119"/>
      <c r="JD6" s="119"/>
      <c r="JE6" s="119"/>
      <c r="JF6" s="119"/>
      <c r="JG6" s="119"/>
      <c r="JH6" s="119"/>
      <c r="JI6" s="119"/>
      <c r="JJ6" s="119"/>
      <c r="JK6" s="119"/>
      <c r="JL6" s="119"/>
      <c r="JM6" s="119"/>
      <c r="JN6" s="119"/>
      <c r="JO6" s="119"/>
      <c r="JP6" s="119"/>
      <c r="JQ6" s="119"/>
      <c r="JR6" s="119"/>
      <c r="JS6" s="119"/>
      <c r="JT6" s="119"/>
      <c r="JU6" s="119"/>
      <c r="JV6" s="119"/>
      <c r="JW6" s="119"/>
      <c r="JX6" s="119"/>
      <c r="JY6" s="119"/>
      <c r="JZ6" s="119"/>
      <c r="KA6" s="119"/>
      <c r="KB6" s="119"/>
      <c r="KC6" s="119"/>
      <c r="KD6" s="119"/>
      <c r="KE6" s="119"/>
      <c r="KF6" s="119"/>
      <c r="KG6" s="119"/>
      <c r="KH6" s="119"/>
      <c r="KI6" s="119"/>
      <c r="KJ6" s="119"/>
      <c r="KK6" s="119"/>
      <c r="KL6" s="119"/>
      <c r="KM6" s="119"/>
      <c r="KN6" s="119"/>
      <c r="KO6" s="119"/>
      <c r="KP6" s="119"/>
      <c r="KQ6" s="119"/>
      <c r="KR6" s="119"/>
      <c r="KS6" s="119"/>
      <c r="KT6" s="119"/>
      <c r="KU6" s="119"/>
      <c r="KV6" s="119"/>
      <c r="KW6" s="119"/>
      <c r="KX6" s="119"/>
      <c r="KY6" s="119"/>
      <c r="KZ6" s="119"/>
      <c r="LA6" s="119"/>
      <c r="LB6" s="119"/>
      <c r="LC6" s="119"/>
      <c r="LD6" s="119"/>
      <c r="LE6" s="119"/>
      <c r="LF6" s="119"/>
      <c r="LG6" s="119"/>
      <c r="LH6" s="119"/>
      <c r="LI6" s="119"/>
      <c r="LJ6" s="119"/>
      <c r="LK6" s="119"/>
      <c r="LL6" s="119"/>
      <c r="LM6" s="119"/>
      <c r="LN6" s="119"/>
      <c r="LO6" s="119"/>
      <c r="LP6" s="119"/>
      <c r="LQ6" s="119"/>
      <c r="LR6" s="119"/>
      <c r="LS6" s="119"/>
      <c r="LT6" s="119"/>
      <c r="LU6" s="119"/>
      <c r="LV6" s="119"/>
      <c r="LW6" s="119"/>
      <c r="LX6" s="119"/>
      <c r="LY6" s="119"/>
      <c r="LZ6" s="119"/>
      <c r="MA6" s="119"/>
      <c r="MB6" s="119"/>
      <c r="MC6" s="119"/>
      <c r="MD6" s="119"/>
      <c r="ME6" s="119"/>
      <c r="MF6" s="119"/>
      <c r="MG6" s="119"/>
      <c r="MH6" s="119"/>
      <c r="MI6" s="119"/>
      <c r="MJ6" s="119"/>
      <c r="MK6" s="119"/>
      <c r="ML6" s="119"/>
      <c r="MM6" s="119"/>
      <c r="MN6" s="119"/>
      <c r="MO6" s="119"/>
      <c r="MP6" s="119"/>
      <c r="MQ6" s="119"/>
      <c r="MR6" s="119"/>
      <c r="MS6" s="119"/>
      <c r="MT6" s="119"/>
      <c r="MU6" s="119"/>
      <c r="MV6" s="119"/>
      <c r="MW6" s="119"/>
      <c r="MX6" s="119"/>
      <c r="MY6" s="119"/>
      <c r="MZ6" s="119"/>
      <c r="NA6" s="119"/>
      <c r="NB6" s="119"/>
      <c r="NC6" s="119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</row>
    <row r="7" spans="1:458" ht="24" customHeight="1" x14ac:dyDescent="0.25">
      <c r="A7" s="4" t="s">
        <v>0</v>
      </c>
      <c r="B7" s="150"/>
      <c r="C7" s="30" t="s">
        <v>1</v>
      </c>
      <c r="D7" s="148" t="s">
        <v>1</v>
      </c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28" t="s">
        <v>2</v>
      </c>
      <c r="AF7" s="124" t="s">
        <v>2</v>
      </c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28" t="s">
        <v>3</v>
      </c>
      <c r="BH7" s="124" t="s">
        <v>3</v>
      </c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28" t="s">
        <v>4</v>
      </c>
      <c r="CJ7" s="146" t="s">
        <v>4</v>
      </c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47"/>
      <c r="DK7" s="28" t="s">
        <v>5</v>
      </c>
      <c r="DL7" s="146" t="s">
        <v>5</v>
      </c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47"/>
      <c r="EM7" s="28" t="s">
        <v>6</v>
      </c>
      <c r="EN7" s="138" t="s">
        <v>6</v>
      </c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28" t="s">
        <v>7</v>
      </c>
      <c r="FB7" s="135" t="s">
        <v>7</v>
      </c>
      <c r="FC7" s="136"/>
      <c r="FD7" s="136"/>
      <c r="FE7" s="136"/>
      <c r="FF7" s="136"/>
      <c r="FG7" s="136"/>
      <c r="FH7" s="136"/>
      <c r="FI7" s="136"/>
      <c r="FJ7" s="136"/>
      <c r="FK7" s="136"/>
      <c r="FL7" s="136"/>
      <c r="FM7" s="136"/>
      <c r="FN7" s="137"/>
      <c r="FO7" s="28" t="s">
        <v>8</v>
      </c>
      <c r="FP7" s="138" t="s">
        <v>8</v>
      </c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28" t="s">
        <v>48</v>
      </c>
      <c r="GD7" s="138" t="s">
        <v>48</v>
      </c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28" t="s">
        <v>9</v>
      </c>
      <c r="GR7" s="138" t="s">
        <v>9</v>
      </c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28" t="s">
        <v>10</v>
      </c>
      <c r="HF7" s="146" t="s">
        <v>10</v>
      </c>
      <c r="HG7" s="124"/>
      <c r="HH7" s="124"/>
      <c r="HI7" s="124"/>
      <c r="HJ7" s="124"/>
      <c r="HK7" s="124"/>
      <c r="HL7" s="124"/>
      <c r="HM7" s="124"/>
      <c r="HN7" s="124"/>
      <c r="HO7" s="124"/>
      <c r="HP7" s="124"/>
      <c r="HQ7" s="124"/>
      <c r="HR7" s="147"/>
      <c r="HS7" s="28" t="s">
        <v>11</v>
      </c>
      <c r="HT7" s="143" t="s">
        <v>11</v>
      </c>
      <c r="HU7" s="144"/>
      <c r="HV7" s="144"/>
      <c r="HW7" s="144"/>
      <c r="HX7" s="144"/>
      <c r="HY7" s="144"/>
      <c r="HZ7" s="144"/>
      <c r="IA7" s="144"/>
      <c r="IB7" s="144"/>
      <c r="IC7" s="144"/>
      <c r="ID7" s="144"/>
      <c r="IE7" s="144"/>
      <c r="IF7" s="144"/>
      <c r="IG7" s="144"/>
      <c r="IH7" s="144"/>
      <c r="II7" s="144"/>
      <c r="IJ7" s="144"/>
      <c r="IK7" s="144"/>
      <c r="IL7" s="144"/>
      <c r="IM7" s="144"/>
      <c r="IN7" s="144"/>
      <c r="IO7" s="144"/>
      <c r="IP7" s="144"/>
      <c r="IQ7" s="144"/>
      <c r="IR7" s="144"/>
      <c r="IS7" s="144"/>
      <c r="IT7" s="145"/>
      <c r="IU7" s="28" t="s">
        <v>12</v>
      </c>
      <c r="IV7" s="143" t="s">
        <v>12</v>
      </c>
      <c r="IW7" s="144"/>
      <c r="IX7" s="144"/>
      <c r="IY7" s="144"/>
      <c r="IZ7" s="144"/>
      <c r="JA7" s="144"/>
      <c r="JB7" s="144"/>
      <c r="JC7" s="144"/>
      <c r="JD7" s="144"/>
      <c r="JE7" s="144"/>
      <c r="JF7" s="144"/>
      <c r="JG7" s="144"/>
      <c r="JH7" s="144"/>
      <c r="JI7" s="144"/>
      <c r="JJ7" s="144"/>
      <c r="JK7" s="144"/>
      <c r="JL7" s="144"/>
      <c r="JM7" s="144"/>
      <c r="JN7" s="144"/>
      <c r="JO7" s="144"/>
      <c r="JP7" s="144"/>
      <c r="JQ7" s="144"/>
      <c r="JR7" s="144"/>
      <c r="JS7" s="144"/>
      <c r="JT7" s="144"/>
      <c r="JU7" s="144"/>
      <c r="JV7" s="145"/>
      <c r="JW7" s="28" t="s">
        <v>13</v>
      </c>
      <c r="JX7" s="143" t="s">
        <v>13</v>
      </c>
      <c r="JY7" s="144"/>
      <c r="JZ7" s="144"/>
      <c r="KA7" s="144"/>
      <c r="KB7" s="144"/>
      <c r="KC7" s="144"/>
      <c r="KD7" s="144"/>
      <c r="KE7" s="144"/>
      <c r="KF7" s="144"/>
      <c r="KG7" s="144"/>
      <c r="KH7" s="144"/>
      <c r="KI7" s="144"/>
      <c r="KJ7" s="144"/>
      <c r="KK7" s="144"/>
      <c r="KL7" s="144"/>
      <c r="KM7" s="144"/>
      <c r="KN7" s="144"/>
      <c r="KO7" s="144"/>
      <c r="KP7" s="144"/>
      <c r="KQ7" s="144"/>
      <c r="KR7" s="144"/>
      <c r="KS7" s="144"/>
      <c r="KT7" s="144"/>
      <c r="KU7" s="144"/>
      <c r="KV7" s="144"/>
      <c r="KW7" s="144"/>
      <c r="KX7" s="145"/>
      <c r="KY7" s="28" t="s">
        <v>14</v>
      </c>
      <c r="KZ7" s="138" t="s">
        <v>14</v>
      </c>
      <c r="LA7" s="138"/>
      <c r="LB7" s="138"/>
      <c r="LC7" s="138"/>
      <c r="LD7" s="138"/>
      <c r="LE7" s="138"/>
      <c r="LF7" s="138"/>
      <c r="LG7" s="138"/>
      <c r="LH7" s="138"/>
      <c r="LI7" s="138"/>
      <c r="LJ7" s="138"/>
      <c r="LK7" s="138"/>
      <c r="LL7" s="138"/>
      <c r="LM7" s="28" t="s">
        <v>15</v>
      </c>
      <c r="LN7" s="146" t="s">
        <v>15</v>
      </c>
      <c r="LO7" s="124"/>
      <c r="LP7" s="124"/>
      <c r="LQ7" s="124"/>
      <c r="LR7" s="124"/>
      <c r="LS7" s="124"/>
      <c r="LT7" s="124"/>
      <c r="LU7" s="124"/>
      <c r="LV7" s="124"/>
      <c r="LW7" s="124"/>
      <c r="LX7" s="124"/>
      <c r="LY7" s="124"/>
      <c r="LZ7" s="147"/>
      <c r="MA7" s="28" t="s">
        <v>16</v>
      </c>
      <c r="MB7" s="138" t="s">
        <v>16</v>
      </c>
      <c r="MC7" s="138"/>
      <c r="MD7" s="138"/>
      <c r="ME7" s="138"/>
      <c r="MF7" s="138"/>
      <c r="MG7" s="138"/>
      <c r="MH7" s="138"/>
      <c r="MI7" s="138"/>
      <c r="MJ7" s="138"/>
      <c r="MK7" s="138"/>
      <c r="ML7" s="138"/>
      <c r="MM7" s="138"/>
      <c r="MN7" s="138"/>
      <c r="MO7" s="138"/>
      <c r="MP7" s="138"/>
      <c r="MQ7" s="138"/>
      <c r="MR7" s="138"/>
      <c r="MS7" s="138"/>
      <c r="MT7" s="138"/>
      <c r="MU7" s="138"/>
      <c r="MV7" s="138"/>
      <c r="MW7" s="138"/>
      <c r="MX7" s="138"/>
      <c r="MY7" s="138"/>
      <c r="MZ7" s="138"/>
      <c r="NA7" s="138"/>
      <c r="NB7" s="138"/>
      <c r="NC7" s="28" t="s">
        <v>49</v>
      </c>
      <c r="ND7" s="146" t="s">
        <v>49</v>
      </c>
      <c r="NE7" s="124"/>
      <c r="NF7" s="124"/>
      <c r="NG7" s="124"/>
      <c r="NH7" s="124"/>
      <c r="NI7" s="124"/>
      <c r="NJ7" s="124"/>
      <c r="NK7" s="124"/>
      <c r="NL7" s="124"/>
      <c r="NM7" s="124"/>
      <c r="NN7" s="124"/>
      <c r="NO7" s="124"/>
      <c r="NP7" s="124"/>
      <c r="NQ7" s="134" t="s">
        <v>54</v>
      </c>
      <c r="NR7" s="134" t="s">
        <v>55</v>
      </c>
      <c r="NS7" s="134" t="s">
        <v>56</v>
      </c>
      <c r="NT7" s="134" t="s">
        <v>50</v>
      </c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42"/>
      <c r="OR7" s="142"/>
      <c r="OS7" s="142"/>
      <c r="OT7" s="142"/>
      <c r="OU7" s="142"/>
      <c r="OV7" s="142"/>
      <c r="OW7" s="142"/>
      <c r="OX7" s="142"/>
      <c r="OY7" s="142"/>
      <c r="OZ7" s="142"/>
      <c r="PA7" s="142"/>
      <c r="PB7" s="142"/>
      <c r="PC7" s="142"/>
      <c r="PD7" s="142"/>
      <c r="PE7" s="142"/>
      <c r="PF7" s="142"/>
      <c r="PG7" s="142"/>
      <c r="PH7" s="142"/>
      <c r="PI7" s="142"/>
      <c r="PJ7" s="142"/>
      <c r="PK7" s="142"/>
      <c r="PL7" s="142"/>
      <c r="PM7" s="142"/>
      <c r="PN7" s="142"/>
      <c r="PO7" s="142"/>
      <c r="PP7" s="142"/>
      <c r="PQ7" s="142"/>
      <c r="PR7" s="142"/>
      <c r="PS7" s="142"/>
      <c r="PT7" s="142"/>
      <c r="PU7" s="142"/>
      <c r="PV7" s="142"/>
      <c r="PW7" s="142"/>
      <c r="PX7" s="142"/>
      <c r="PY7" s="142"/>
      <c r="PZ7" s="142"/>
      <c r="QA7" s="142"/>
      <c r="QB7" s="142"/>
      <c r="QC7" s="142"/>
      <c r="QD7" s="142"/>
      <c r="QE7" s="142"/>
      <c r="QF7" s="142"/>
      <c r="QG7" s="142"/>
      <c r="QH7" s="142"/>
      <c r="QI7" s="142"/>
      <c r="QJ7" s="142"/>
      <c r="QK7" s="142"/>
      <c r="QL7" s="142"/>
      <c r="QM7" s="142"/>
      <c r="QN7" s="142"/>
      <c r="QO7" s="142"/>
      <c r="QP7" s="142"/>
    </row>
    <row r="8" spans="1:458" ht="24" customHeight="1" x14ac:dyDescent="0.25">
      <c r="A8" s="149"/>
      <c r="B8" s="151" t="s">
        <v>57</v>
      </c>
      <c r="C8" s="30"/>
      <c r="D8" s="123" t="s">
        <v>45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2"/>
      <c r="Q8" s="123" t="s">
        <v>46</v>
      </c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2"/>
      <c r="AD8" s="33" t="s">
        <v>43</v>
      </c>
      <c r="AE8" s="28"/>
      <c r="AF8" s="121" t="s">
        <v>45</v>
      </c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2"/>
      <c r="AS8" s="123" t="s">
        <v>47</v>
      </c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2"/>
      <c r="BF8" s="39" t="s">
        <v>43</v>
      </c>
      <c r="BG8" s="28"/>
      <c r="BH8" s="121" t="s">
        <v>45</v>
      </c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2"/>
      <c r="BU8" s="123" t="s">
        <v>47</v>
      </c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2"/>
      <c r="CH8" s="39" t="s">
        <v>43</v>
      </c>
      <c r="CI8" s="28"/>
      <c r="CJ8" s="121" t="s">
        <v>45</v>
      </c>
      <c r="CK8" s="121"/>
      <c r="CL8" s="121"/>
      <c r="CM8" s="121"/>
      <c r="CN8" s="121"/>
      <c r="CO8" s="121"/>
      <c r="CP8" s="121"/>
      <c r="CQ8" s="121"/>
      <c r="CR8" s="121"/>
      <c r="CS8" s="121"/>
      <c r="CT8" s="121"/>
      <c r="CU8" s="121"/>
      <c r="CV8" s="122"/>
      <c r="CW8" s="123" t="s">
        <v>47</v>
      </c>
      <c r="CX8" s="121"/>
      <c r="CY8" s="121"/>
      <c r="CZ8" s="121"/>
      <c r="DA8" s="121"/>
      <c r="DB8" s="121"/>
      <c r="DC8" s="121"/>
      <c r="DD8" s="121"/>
      <c r="DE8" s="121"/>
      <c r="DF8" s="121"/>
      <c r="DG8" s="121"/>
      <c r="DH8" s="121"/>
      <c r="DI8" s="122"/>
      <c r="DJ8" s="72" t="s">
        <v>43</v>
      </c>
      <c r="DK8" s="28"/>
      <c r="DL8" s="123" t="s">
        <v>45</v>
      </c>
      <c r="DM8" s="121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2"/>
      <c r="DY8" s="123" t="s">
        <v>47</v>
      </c>
      <c r="DZ8" s="121"/>
      <c r="EA8" s="121"/>
      <c r="EB8" s="121"/>
      <c r="EC8" s="121"/>
      <c r="ED8" s="121"/>
      <c r="EE8" s="121"/>
      <c r="EF8" s="121"/>
      <c r="EG8" s="121"/>
      <c r="EH8" s="121"/>
      <c r="EI8" s="121"/>
      <c r="EJ8" s="121"/>
      <c r="EK8" s="122"/>
      <c r="EL8" s="80" t="s">
        <v>43</v>
      </c>
      <c r="EM8" s="28"/>
      <c r="EN8" s="133" t="s">
        <v>47</v>
      </c>
      <c r="EO8" s="133"/>
      <c r="EP8" s="133"/>
      <c r="EQ8" s="133"/>
      <c r="ER8" s="133"/>
      <c r="ES8" s="133"/>
      <c r="ET8" s="133"/>
      <c r="EU8" s="133"/>
      <c r="EV8" s="133"/>
      <c r="EW8" s="133"/>
      <c r="EX8" s="133"/>
      <c r="EY8" s="133"/>
      <c r="EZ8" s="133"/>
      <c r="FA8" s="28"/>
      <c r="FB8" s="133" t="s">
        <v>47</v>
      </c>
      <c r="FC8" s="133"/>
      <c r="FD8" s="133"/>
      <c r="FE8" s="133"/>
      <c r="FF8" s="133"/>
      <c r="FG8" s="133"/>
      <c r="FH8" s="133"/>
      <c r="FI8" s="133"/>
      <c r="FJ8" s="133"/>
      <c r="FK8" s="133"/>
      <c r="FL8" s="133"/>
      <c r="FM8" s="133"/>
      <c r="FN8" s="133"/>
      <c r="FO8" s="28"/>
      <c r="FP8" s="139" t="s">
        <v>47</v>
      </c>
      <c r="FQ8" s="140"/>
      <c r="FR8" s="140"/>
      <c r="FS8" s="140"/>
      <c r="FT8" s="140"/>
      <c r="FU8" s="140"/>
      <c r="FV8" s="140"/>
      <c r="FW8" s="140"/>
      <c r="FX8" s="140"/>
      <c r="FY8" s="140"/>
      <c r="FZ8" s="140"/>
      <c r="GA8" s="140"/>
      <c r="GB8" s="141"/>
      <c r="GC8" s="28"/>
      <c r="GD8" s="139" t="s">
        <v>47</v>
      </c>
      <c r="GE8" s="140"/>
      <c r="GF8" s="140"/>
      <c r="GG8" s="140"/>
      <c r="GH8" s="140"/>
      <c r="GI8" s="140"/>
      <c r="GJ8" s="140"/>
      <c r="GK8" s="140"/>
      <c r="GL8" s="140"/>
      <c r="GM8" s="140"/>
      <c r="GN8" s="140"/>
      <c r="GO8" s="140"/>
      <c r="GP8" s="141"/>
      <c r="GQ8" s="28"/>
      <c r="GR8" s="139" t="s">
        <v>45</v>
      </c>
      <c r="GS8" s="140"/>
      <c r="GT8" s="140"/>
      <c r="GU8" s="140"/>
      <c r="GV8" s="140"/>
      <c r="GW8" s="140"/>
      <c r="GX8" s="140"/>
      <c r="GY8" s="140"/>
      <c r="GZ8" s="140"/>
      <c r="HA8" s="140"/>
      <c r="HB8" s="140"/>
      <c r="HC8" s="140"/>
      <c r="HD8" s="141"/>
      <c r="HE8" s="28"/>
      <c r="HF8" s="125" t="s">
        <v>47</v>
      </c>
      <c r="HG8" s="121"/>
      <c r="HH8" s="121"/>
      <c r="HI8" s="121"/>
      <c r="HJ8" s="121"/>
      <c r="HK8" s="121"/>
      <c r="HL8" s="121"/>
      <c r="HM8" s="121"/>
      <c r="HN8" s="121"/>
      <c r="HO8" s="121"/>
      <c r="HP8" s="121"/>
      <c r="HQ8" s="121"/>
      <c r="HR8" s="126"/>
      <c r="HS8" s="28"/>
      <c r="HT8" s="127" t="s">
        <v>45</v>
      </c>
      <c r="HU8" s="128"/>
      <c r="HV8" s="128"/>
      <c r="HW8" s="128"/>
      <c r="HX8" s="128"/>
      <c r="HY8" s="128"/>
      <c r="HZ8" s="128"/>
      <c r="IA8" s="128"/>
      <c r="IB8" s="128"/>
      <c r="IC8" s="128"/>
      <c r="ID8" s="128"/>
      <c r="IE8" s="128"/>
      <c r="IF8" s="129"/>
      <c r="IG8" s="127" t="s">
        <v>47</v>
      </c>
      <c r="IH8" s="128"/>
      <c r="II8" s="128"/>
      <c r="IJ8" s="128"/>
      <c r="IK8" s="128"/>
      <c r="IL8" s="128"/>
      <c r="IM8" s="128"/>
      <c r="IN8" s="128"/>
      <c r="IO8" s="128"/>
      <c r="IP8" s="128"/>
      <c r="IQ8" s="128"/>
      <c r="IR8" s="128"/>
      <c r="IS8" s="129"/>
      <c r="IT8" s="94" t="s">
        <v>43</v>
      </c>
      <c r="IU8" s="28"/>
      <c r="IV8" s="127" t="s">
        <v>47</v>
      </c>
      <c r="IW8" s="128"/>
      <c r="IX8" s="128"/>
      <c r="IY8" s="128"/>
      <c r="IZ8" s="128"/>
      <c r="JA8" s="128"/>
      <c r="JB8" s="128"/>
      <c r="JC8" s="128"/>
      <c r="JD8" s="128"/>
      <c r="JE8" s="128"/>
      <c r="JF8" s="128"/>
      <c r="JG8" s="128"/>
      <c r="JH8" s="129"/>
      <c r="JI8" s="127" t="s">
        <v>46</v>
      </c>
      <c r="JJ8" s="128"/>
      <c r="JK8" s="128"/>
      <c r="JL8" s="128"/>
      <c r="JM8" s="128"/>
      <c r="JN8" s="128"/>
      <c r="JO8" s="128"/>
      <c r="JP8" s="128"/>
      <c r="JQ8" s="128"/>
      <c r="JR8" s="128"/>
      <c r="JS8" s="128"/>
      <c r="JT8" s="128"/>
      <c r="JU8" s="129"/>
      <c r="JV8" s="94" t="s">
        <v>43</v>
      </c>
      <c r="JW8" s="28"/>
      <c r="JX8" s="133" t="s">
        <v>45</v>
      </c>
      <c r="JY8" s="133"/>
      <c r="JZ8" s="133"/>
      <c r="KA8" s="133"/>
      <c r="KB8" s="133"/>
      <c r="KC8" s="133"/>
      <c r="KD8" s="133"/>
      <c r="KE8" s="133"/>
      <c r="KF8" s="133"/>
      <c r="KG8" s="133"/>
      <c r="KH8" s="133"/>
      <c r="KI8" s="133"/>
      <c r="KJ8" s="133"/>
      <c r="KK8" s="128" t="s">
        <v>47</v>
      </c>
      <c r="KL8" s="128"/>
      <c r="KM8" s="128"/>
      <c r="KN8" s="128"/>
      <c r="KO8" s="128"/>
      <c r="KP8" s="128"/>
      <c r="KQ8" s="128"/>
      <c r="KR8" s="128"/>
      <c r="KS8" s="128"/>
      <c r="KT8" s="128"/>
      <c r="KU8" s="128"/>
      <c r="KV8" s="128"/>
      <c r="KW8" s="129"/>
      <c r="KX8" s="12" t="s">
        <v>43</v>
      </c>
      <c r="KY8" s="28"/>
      <c r="KZ8" s="133" t="s">
        <v>47</v>
      </c>
      <c r="LA8" s="133"/>
      <c r="LB8" s="133"/>
      <c r="LC8" s="133"/>
      <c r="LD8" s="133"/>
      <c r="LE8" s="133"/>
      <c r="LF8" s="133"/>
      <c r="LG8" s="133"/>
      <c r="LH8" s="133"/>
      <c r="LI8" s="133"/>
      <c r="LJ8" s="133"/>
      <c r="LK8" s="133"/>
      <c r="LL8" s="133"/>
      <c r="LM8" s="28"/>
      <c r="LN8" s="123" t="s">
        <v>47</v>
      </c>
      <c r="LO8" s="121"/>
      <c r="LP8" s="121"/>
      <c r="LQ8" s="121"/>
      <c r="LR8" s="121"/>
      <c r="LS8" s="121"/>
      <c r="LT8" s="121"/>
      <c r="LU8" s="121"/>
      <c r="LV8" s="121"/>
      <c r="LW8" s="121"/>
      <c r="LX8" s="121"/>
      <c r="LY8" s="121"/>
      <c r="LZ8" s="122"/>
      <c r="MA8" s="28"/>
      <c r="MB8" s="127" t="s">
        <v>47</v>
      </c>
      <c r="MC8" s="128"/>
      <c r="MD8" s="128"/>
      <c r="ME8" s="128"/>
      <c r="MF8" s="128"/>
      <c r="MG8" s="128"/>
      <c r="MH8" s="128"/>
      <c r="MI8" s="128"/>
      <c r="MJ8" s="128"/>
      <c r="MK8" s="128"/>
      <c r="ML8" s="128"/>
      <c r="MM8" s="128"/>
      <c r="MN8" s="129"/>
      <c r="MO8" s="127" t="s">
        <v>46</v>
      </c>
      <c r="MP8" s="128"/>
      <c r="MQ8" s="128"/>
      <c r="MR8" s="128"/>
      <c r="MS8" s="128"/>
      <c r="MT8" s="128"/>
      <c r="MU8" s="128"/>
      <c r="MV8" s="128"/>
      <c r="MW8" s="128"/>
      <c r="MX8" s="128"/>
      <c r="MY8" s="128"/>
      <c r="MZ8" s="128"/>
      <c r="NA8" s="129"/>
      <c r="NB8" s="94" t="s">
        <v>37</v>
      </c>
      <c r="NC8" s="28"/>
      <c r="ND8" s="123" t="s">
        <v>47</v>
      </c>
      <c r="NE8" s="121"/>
      <c r="NF8" s="121"/>
      <c r="NG8" s="121"/>
      <c r="NH8" s="121"/>
      <c r="NI8" s="121"/>
      <c r="NJ8" s="121"/>
      <c r="NK8" s="121"/>
      <c r="NL8" s="121"/>
      <c r="NM8" s="121"/>
      <c r="NN8" s="121"/>
      <c r="NO8" s="121"/>
      <c r="NP8" s="121"/>
      <c r="NQ8" s="134"/>
      <c r="NR8" s="134"/>
      <c r="NS8" s="134"/>
      <c r="NT8" s="134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42"/>
      <c r="OR8" s="142"/>
      <c r="OS8" s="142"/>
      <c r="OT8" s="142"/>
      <c r="OU8" s="142"/>
      <c r="OV8" s="142"/>
      <c r="OW8" s="142"/>
      <c r="OX8" s="142"/>
      <c r="OY8" s="142"/>
      <c r="OZ8" s="142"/>
      <c r="PA8" s="142"/>
      <c r="PB8" s="142"/>
      <c r="PC8" s="142"/>
      <c r="PD8" s="142"/>
      <c r="PE8" s="142"/>
      <c r="PF8" s="142"/>
      <c r="PG8" s="142"/>
      <c r="PH8" s="142"/>
      <c r="PI8" s="142"/>
      <c r="PJ8" s="142"/>
      <c r="PK8" s="142"/>
      <c r="PL8" s="142"/>
      <c r="PM8" s="142"/>
      <c r="PN8" s="142"/>
      <c r="PO8" s="142"/>
      <c r="PP8" s="142"/>
      <c r="PQ8" s="142"/>
      <c r="PR8" s="142"/>
      <c r="PS8" s="142"/>
      <c r="PT8" s="142"/>
      <c r="PU8" s="142"/>
      <c r="PV8" s="142"/>
      <c r="PW8" s="142"/>
      <c r="PX8" s="142"/>
      <c r="PY8" s="142"/>
      <c r="PZ8" s="142"/>
      <c r="QA8" s="142"/>
      <c r="QB8" s="142"/>
      <c r="QC8" s="142"/>
      <c r="QD8" s="142"/>
      <c r="QE8" s="142"/>
      <c r="QF8" s="142"/>
      <c r="QG8" s="142"/>
      <c r="QH8" s="142"/>
      <c r="QI8" s="142"/>
      <c r="QJ8" s="142"/>
      <c r="QK8" s="142"/>
      <c r="QL8" s="142"/>
      <c r="QM8" s="142"/>
      <c r="QN8" s="142"/>
      <c r="QO8" s="142"/>
      <c r="QP8" s="142"/>
    </row>
    <row r="9" spans="1:458" ht="18.75" x14ac:dyDescent="0.25">
      <c r="A9" s="4" t="s">
        <v>35</v>
      </c>
      <c r="B9" s="5"/>
      <c r="C9" s="2" t="s">
        <v>36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31</v>
      </c>
      <c r="M9" s="3" t="s">
        <v>32</v>
      </c>
      <c r="N9" s="3" t="s">
        <v>33</v>
      </c>
      <c r="O9" s="3" t="s">
        <v>34</v>
      </c>
      <c r="P9" s="8" t="s">
        <v>44</v>
      </c>
      <c r="Q9" s="3" t="s">
        <v>23</v>
      </c>
      <c r="R9" s="3" t="s">
        <v>24</v>
      </c>
      <c r="S9" s="3" t="s">
        <v>25</v>
      </c>
      <c r="T9" s="3" t="s">
        <v>26</v>
      </c>
      <c r="U9" s="3" t="s">
        <v>27</v>
      </c>
      <c r="V9" s="3" t="s">
        <v>28</v>
      </c>
      <c r="W9" s="3" t="s">
        <v>29</v>
      </c>
      <c r="X9" s="3" t="s">
        <v>30</v>
      </c>
      <c r="Y9" s="3" t="s">
        <v>31</v>
      </c>
      <c r="Z9" s="3" t="s">
        <v>32</v>
      </c>
      <c r="AA9" s="3" t="s">
        <v>33</v>
      </c>
      <c r="AB9" s="3" t="s">
        <v>34</v>
      </c>
      <c r="AC9" s="8" t="s">
        <v>44</v>
      </c>
      <c r="AD9" s="34"/>
      <c r="AE9" s="29" t="s">
        <v>36</v>
      </c>
      <c r="AF9" s="15" t="s">
        <v>23</v>
      </c>
      <c r="AG9" s="3" t="s">
        <v>24</v>
      </c>
      <c r="AH9" s="3" t="s">
        <v>25</v>
      </c>
      <c r="AI9" s="3" t="s">
        <v>26</v>
      </c>
      <c r="AJ9" s="3" t="s">
        <v>27</v>
      </c>
      <c r="AK9" s="3" t="s">
        <v>28</v>
      </c>
      <c r="AL9" s="3" t="s">
        <v>29</v>
      </c>
      <c r="AM9" s="3" t="s">
        <v>30</v>
      </c>
      <c r="AN9" s="3" t="s">
        <v>31</v>
      </c>
      <c r="AO9" s="3" t="s">
        <v>32</v>
      </c>
      <c r="AP9" s="3" t="s">
        <v>33</v>
      </c>
      <c r="AQ9" s="3" t="s">
        <v>34</v>
      </c>
      <c r="AR9" s="8" t="s">
        <v>44</v>
      </c>
      <c r="AS9" s="3" t="s">
        <v>23</v>
      </c>
      <c r="AT9" s="3" t="s">
        <v>24</v>
      </c>
      <c r="AU9" s="3" t="s">
        <v>25</v>
      </c>
      <c r="AV9" s="3" t="s">
        <v>26</v>
      </c>
      <c r="AW9" s="3" t="s">
        <v>27</v>
      </c>
      <c r="AX9" s="3" t="s">
        <v>28</v>
      </c>
      <c r="AY9" s="3" t="s">
        <v>29</v>
      </c>
      <c r="AZ9" s="3" t="s">
        <v>30</v>
      </c>
      <c r="BA9" s="3" t="s">
        <v>31</v>
      </c>
      <c r="BB9" s="3" t="s">
        <v>32</v>
      </c>
      <c r="BC9" s="3" t="s">
        <v>33</v>
      </c>
      <c r="BD9" s="3" t="s">
        <v>34</v>
      </c>
      <c r="BE9" s="8" t="s">
        <v>44</v>
      </c>
      <c r="BF9" s="34"/>
      <c r="BG9" s="29" t="s">
        <v>36</v>
      </c>
      <c r="BH9" s="15" t="s">
        <v>23</v>
      </c>
      <c r="BI9" s="3" t="s">
        <v>24</v>
      </c>
      <c r="BJ9" s="3" t="s">
        <v>25</v>
      </c>
      <c r="BK9" s="3" t="s">
        <v>26</v>
      </c>
      <c r="BL9" s="3" t="s">
        <v>27</v>
      </c>
      <c r="BM9" s="3" t="s">
        <v>28</v>
      </c>
      <c r="BN9" s="3" t="s">
        <v>29</v>
      </c>
      <c r="BO9" s="3" t="s">
        <v>30</v>
      </c>
      <c r="BP9" s="3" t="s">
        <v>31</v>
      </c>
      <c r="BQ9" s="3" t="s">
        <v>32</v>
      </c>
      <c r="BR9" s="3" t="s">
        <v>33</v>
      </c>
      <c r="BS9" s="3" t="s">
        <v>34</v>
      </c>
      <c r="BT9" s="8" t="s">
        <v>44</v>
      </c>
      <c r="BU9" s="3" t="s">
        <v>23</v>
      </c>
      <c r="BV9" s="3" t="s">
        <v>24</v>
      </c>
      <c r="BW9" s="3" t="s">
        <v>25</v>
      </c>
      <c r="BX9" s="3" t="s">
        <v>26</v>
      </c>
      <c r="BY9" s="3" t="s">
        <v>27</v>
      </c>
      <c r="BZ9" s="3" t="s">
        <v>28</v>
      </c>
      <c r="CA9" s="3" t="s">
        <v>29</v>
      </c>
      <c r="CB9" s="3" t="s">
        <v>30</v>
      </c>
      <c r="CC9" s="3" t="s">
        <v>31</v>
      </c>
      <c r="CD9" s="3" t="s">
        <v>32</v>
      </c>
      <c r="CE9" s="3" t="s">
        <v>33</v>
      </c>
      <c r="CF9" s="3" t="s">
        <v>34</v>
      </c>
      <c r="CG9" s="8" t="s">
        <v>44</v>
      </c>
      <c r="CH9" s="34"/>
      <c r="CI9" s="29" t="s">
        <v>36</v>
      </c>
      <c r="CJ9" s="15" t="s">
        <v>23</v>
      </c>
      <c r="CK9" s="3" t="s">
        <v>24</v>
      </c>
      <c r="CL9" s="3" t="s">
        <v>25</v>
      </c>
      <c r="CM9" s="3" t="s">
        <v>26</v>
      </c>
      <c r="CN9" s="3" t="s">
        <v>27</v>
      </c>
      <c r="CO9" s="3" t="s">
        <v>28</v>
      </c>
      <c r="CP9" s="3" t="s">
        <v>29</v>
      </c>
      <c r="CQ9" s="3" t="s">
        <v>30</v>
      </c>
      <c r="CR9" s="3" t="s">
        <v>31</v>
      </c>
      <c r="CS9" s="3" t="s">
        <v>32</v>
      </c>
      <c r="CT9" s="3" t="s">
        <v>33</v>
      </c>
      <c r="CU9" s="3" t="s">
        <v>34</v>
      </c>
      <c r="CV9" s="8" t="s">
        <v>44</v>
      </c>
      <c r="CW9" s="3" t="s">
        <v>23</v>
      </c>
      <c r="CX9" s="3" t="s">
        <v>24</v>
      </c>
      <c r="CY9" s="3" t="s">
        <v>25</v>
      </c>
      <c r="CZ9" s="3" t="s">
        <v>26</v>
      </c>
      <c r="DA9" s="3" t="s">
        <v>27</v>
      </c>
      <c r="DB9" s="3" t="s">
        <v>28</v>
      </c>
      <c r="DC9" s="3" t="s">
        <v>29</v>
      </c>
      <c r="DD9" s="3" t="s">
        <v>30</v>
      </c>
      <c r="DE9" s="3" t="s">
        <v>31</v>
      </c>
      <c r="DF9" s="3" t="s">
        <v>32</v>
      </c>
      <c r="DG9" s="3" t="s">
        <v>33</v>
      </c>
      <c r="DH9" s="3" t="s">
        <v>34</v>
      </c>
      <c r="DI9" s="8" t="s">
        <v>44</v>
      </c>
      <c r="DJ9" s="73"/>
      <c r="DK9" s="29" t="s">
        <v>36</v>
      </c>
      <c r="DL9" s="3" t="s">
        <v>23</v>
      </c>
      <c r="DM9" s="3" t="s">
        <v>24</v>
      </c>
      <c r="DN9" s="3" t="s">
        <v>25</v>
      </c>
      <c r="DO9" s="3" t="s">
        <v>26</v>
      </c>
      <c r="DP9" s="3" t="s">
        <v>27</v>
      </c>
      <c r="DQ9" s="3" t="s">
        <v>28</v>
      </c>
      <c r="DR9" s="3" t="s">
        <v>29</v>
      </c>
      <c r="DS9" s="3" t="s">
        <v>30</v>
      </c>
      <c r="DT9" s="3" t="s">
        <v>31</v>
      </c>
      <c r="DU9" s="3" t="s">
        <v>32</v>
      </c>
      <c r="DV9" s="3" t="s">
        <v>33</v>
      </c>
      <c r="DW9" s="3" t="s">
        <v>34</v>
      </c>
      <c r="DX9" s="8" t="s">
        <v>44</v>
      </c>
      <c r="DY9" s="3" t="s">
        <v>23</v>
      </c>
      <c r="DZ9" s="3" t="s">
        <v>24</v>
      </c>
      <c r="EA9" s="3" t="s">
        <v>25</v>
      </c>
      <c r="EB9" s="3" t="s">
        <v>26</v>
      </c>
      <c r="EC9" s="3" t="s">
        <v>27</v>
      </c>
      <c r="ED9" s="3" t="s">
        <v>28</v>
      </c>
      <c r="EE9" s="3" t="s">
        <v>29</v>
      </c>
      <c r="EF9" s="3" t="s">
        <v>30</v>
      </c>
      <c r="EG9" s="3" t="s">
        <v>31</v>
      </c>
      <c r="EH9" s="3" t="s">
        <v>32</v>
      </c>
      <c r="EI9" s="3" t="s">
        <v>33</v>
      </c>
      <c r="EJ9" s="3" t="s">
        <v>34</v>
      </c>
      <c r="EK9" s="8" t="s">
        <v>44</v>
      </c>
      <c r="EL9" s="73"/>
      <c r="EM9" s="29" t="s">
        <v>36</v>
      </c>
      <c r="EN9" s="11" t="s">
        <v>23</v>
      </c>
      <c r="EO9" s="11" t="s">
        <v>24</v>
      </c>
      <c r="EP9" s="11" t="s">
        <v>25</v>
      </c>
      <c r="EQ9" s="11" t="s">
        <v>26</v>
      </c>
      <c r="ER9" s="11" t="s">
        <v>27</v>
      </c>
      <c r="ES9" s="11" t="s">
        <v>28</v>
      </c>
      <c r="ET9" s="11" t="s">
        <v>29</v>
      </c>
      <c r="EU9" s="11" t="s">
        <v>30</v>
      </c>
      <c r="EV9" s="11" t="s">
        <v>31</v>
      </c>
      <c r="EW9" s="11" t="s">
        <v>32</v>
      </c>
      <c r="EX9" s="11" t="s">
        <v>33</v>
      </c>
      <c r="EY9" s="11" t="s">
        <v>34</v>
      </c>
      <c r="EZ9" s="13" t="s">
        <v>51</v>
      </c>
      <c r="FA9" s="29" t="s">
        <v>36</v>
      </c>
      <c r="FB9" s="11" t="s">
        <v>23</v>
      </c>
      <c r="FC9" s="11" t="s">
        <v>24</v>
      </c>
      <c r="FD9" s="11" t="s">
        <v>25</v>
      </c>
      <c r="FE9" s="11" t="s">
        <v>26</v>
      </c>
      <c r="FF9" s="11" t="s">
        <v>27</v>
      </c>
      <c r="FG9" s="11" t="s">
        <v>28</v>
      </c>
      <c r="FH9" s="11" t="s">
        <v>29</v>
      </c>
      <c r="FI9" s="11" t="s">
        <v>30</v>
      </c>
      <c r="FJ9" s="11" t="s">
        <v>31</v>
      </c>
      <c r="FK9" s="11" t="s">
        <v>32</v>
      </c>
      <c r="FL9" s="11" t="s">
        <v>33</v>
      </c>
      <c r="FM9" s="11" t="s">
        <v>34</v>
      </c>
      <c r="FN9" s="91" t="s">
        <v>44</v>
      </c>
      <c r="FO9" s="29" t="s">
        <v>36</v>
      </c>
      <c r="FP9" s="11" t="s">
        <v>23</v>
      </c>
      <c r="FQ9" s="11" t="s">
        <v>24</v>
      </c>
      <c r="FR9" s="11" t="s">
        <v>25</v>
      </c>
      <c r="FS9" s="11" t="s">
        <v>26</v>
      </c>
      <c r="FT9" s="11" t="s">
        <v>27</v>
      </c>
      <c r="FU9" s="11" t="s">
        <v>28</v>
      </c>
      <c r="FV9" s="11" t="s">
        <v>29</v>
      </c>
      <c r="FW9" s="11" t="s">
        <v>30</v>
      </c>
      <c r="FX9" s="11" t="s">
        <v>31</v>
      </c>
      <c r="FY9" s="11" t="s">
        <v>32</v>
      </c>
      <c r="FZ9" s="11" t="s">
        <v>33</v>
      </c>
      <c r="GA9" s="11" t="s">
        <v>34</v>
      </c>
      <c r="GB9" s="105" t="s">
        <v>44</v>
      </c>
      <c r="GC9" s="29" t="s">
        <v>36</v>
      </c>
      <c r="GD9" s="11" t="s">
        <v>23</v>
      </c>
      <c r="GE9" s="11" t="s">
        <v>24</v>
      </c>
      <c r="GF9" s="11" t="s">
        <v>25</v>
      </c>
      <c r="GG9" s="11" t="s">
        <v>26</v>
      </c>
      <c r="GH9" s="11" t="s">
        <v>27</v>
      </c>
      <c r="GI9" s="11" t="s">
        <v>28</v>
      </c>
      <c r="GJ9" s="11" t="s">
        <v>29</v>
      </c>
      <c r="GK9" s="11" t="s">
        <v>30</v>
      </c>
      <c r="GL9" s="11" t="s">
        <v>31</v>
      </c>
      <c r="GM9" s="11" t="s">
        <v>32</v>
      </c>
      <c r="GN9" s="11" t="s">
        <v>33</v>
      </c>
      <c r="GO9" s="11" t="s">
        <v>34</v>
      </c>
      <c r="GP9" s="105" t="s">
        <v>44</v>
      </c>
      <c r="GQ9" s="29" t="s">
        <v>36</v>
      </c>
      <c r="GR9" s="11" t="s">
        <v>23</v>
      </c>
      <c r="GS9" s="11" t="s">
        <v>24</v>
      </c>
      <c r="GT9" s="11" t="s">
        <v>25</v>
      </c>
      <c r="GU9" s="11" t="s">
        <v>26</v>
      </c>
      <c r="GV9" s="11" t="s">
        <v>27</v>
      </c>
      <c r="GW9" s="11" t="s">
        <v>28</v>
      </c>
      <c r="GX9" s="11" t="s">
        <v>29</v>
      </c>
      <c r="GY9" s="11" t="s">
        <v>30</v>
      </c>
      <c r="GZ9" s="11" t="s">
        <v>31</v>
      </c>
      <c r="HA9" s="11" t="s">
        <v>32</v>
      </c>
      <c r="HB9" s="11" t="s">
        <v>33</v>
      </c>
      <c r="HC9" s="11" t="s">
        <v>34</v>
      </c>
      <c r="HD9" s="91" t="s">
        <v>44</v>
      </c>
      <c r="HE9" s="29" t="s">
        <v>36</v>
      </c>
      <c r="HF9" s="3" t="s">
        <v>23</v>
      </c>
      <c r="HG9" s="3" t="s">
        <v>24</v>
      </c>
      <c r="HH9" s="3" t="s">
        <v>25</v>
      </c>
      <c r="HI9" s="3" t="s">
        <v>26</v>
      </c>
      <c r="HJ9" s="3" t="s">
        <v>27</v>
      </c>
      <c r="HK9" s="3" t="s">
        <v>28</v>
      </c>
      <c r="HL9" s="3" t="s">
        <v>29</v>
      </c>
      <c r="HM9" s="3" t="s">
        <v>30</v>
      </c>
      <c r="HN9" s="3" t="s">
        <v>31</v>
      </c>
      <c r="HO9" s="3" t="s">
        <v>32</v>
      </c>
      <c r="HP9" s="3" t="s">
        <v>33</v>
      </c>
      <c r="HQ9" s="3" t="s">
        <v>34</v>
      </c>
      <c r="HR9" s="91" t="s">
        <v>44</v>
      </c>
      <c r="HS9" s="29" t="s">
        <v>36</v>
      </c>
      <c r="HT9" s="3" t="s">
        <v>23</v>
      </c>
      <c r="HU9" s="3" t="s">
        <v>24</v>
      </c>
      <c r="HV9" s="3" t="s">
        <v>25</v>
      </c>
      <c r="HW9" s="3" t="s">
        <v>26</v>
      </c>
      <c r="HX9" s="3" t="s">
        <v>27</v>
      </c>
      <c r="HY9" s="3" t="s">
        <v>28</v>
      </c>
      <c r="HZ9" s="3" t="s">
        <v>29</v>
      </c>
      <c r="IA9" s="3" t="s">
        <v>30</v>
      </c>
      <c r="IB9" s="3" t="s">
        <v>31</v>
      </c>
      <c r="IC9" s="3" t="s">
        <v>32</v>
      </c>
      <c r="ID9" s="3" t="s">
        <v>33</v>
      </c>
      <c r="IE9" s="14" t="s">
        <v>34</v>
      </c>
      <c r="IF9" s="81" t="s">
        <v>44</v>
      </c>
      <c r="IG9" s="15" t="s">
        <v>23</v>
      </c>
      <c r="IH9" s="3" t="s">
        <v>24</v>
      </c>
      <c r="II9" s="3" t="s">
        <v>25</v>
      </c>
      <c r="IJ9" s="3" t="s">
        <v>26</v>
      </c>
      <c r="IK9" s="3" t="s">
        <v>27</v>
      </c>
      <c r="IL9" s="3" t="s">
        <v>28</v>
      </c>
      <c r="IM9" s="3" t="s">
        <v>29</v>
      </c>
      <c r="IN9" s="3" t="s">
        <v>30</v>
      </c>
      <c r="IO9" s="3" t="s">
        <v>31</v>
      </c>
      <c r="IP9" s="3" t="s">
        <v>32</v>
      </c>
      <c r="IQ9" s="3" t="s">
        <v>33</v>
      </c>
      <c r="IR9" s="3" t="s">
        <v>34</v>
      </c>
      <c r="IS9" s="27" t="s">
        <v>44</v>
      </c>
      <c r="IT9" s="108"/>
      <c r="IU9" s="29" t="s">
        <v>36</v>
      </c>
      <c r="IV9" s="3" t="s">
        <v>23</v>
      </c>
      <c r="IW9" s="3" t="s">
        <v>24</v>
      </c>
      <c r="IX9" s="3" t="s">
        <v>25</v>
      </c>
      <c r="IY9" s="3" t="s">
        <v>26</v>
      </c>
      <c r="IZ9" s="3" t="s">
        <v>27</v>
      </c>
      <c r="JA9" s="3" t="s">
        <v>28</v>
      </c>
      <c r="JB9" s="3" t="s">
        <v>29</v>
      </c>
      <c r="JC9" s="3" t="s">
        <v>30</v>
      </c>
      <c r="JD9" s="3" t="s">
        <v>31</v>
      </c>
      <c r="JE9" s="3" t="s">
        <v>32</v>
      </c>
      <c r="JF9" s="3" t="s">
        <v>33</v>
      </c>
      <c r="JG9" s="3" t="s">
        <v>34</v>
      </c>
      <c r="JH9" s="8" t="s">
        <v>44</v>
      </c>
      <c r="JI9" s="3" t="s">
        <v>23</v>
      </c>
      <c r="JJ9" s="3" t="s">
        <v>24</v>
      </c>
      <c r="JK9" s="3" t="s">
        <v>25</v>
      </c>
      <c r="JL9" s="3" t="s">
        <v>26</v>
      </c>
      <c r="JM9" s="3" t="s">
        <v>27</v>
      </c>
      <c r="JN9" s="3" t="s">
        <v>28</v>
      </c>
      <c r="JO9" s="3" t="s">
        <v>29</v>
      </c>
      <c r="JP9" s="3" t="s">
        <v>30</v>
      </c>
      <c r="JQ9" s="3" t="s">
        <v>31</v>
      </c>
      <c r="JR9" s="3" t="s">
        <v>32</v>
      </c>
      <c r="JS9" s="3" t="s">
        <v>33</v>
      </c>
      <c r="JT9" s="3" t="s">
        <v>34</v>
      </c>
      <c r="JU9" s="8" t="s">
        <v>44</v>
      </c>
      <c r="JV9" s="73"/>
      <c r="JW9" s="29" t="s">
        <v>36</v>
      </c>
      <c r="JX9" s="11" t="s">
        <v>23</v>
      </c>
      <c r="JY9" s="11" t="s">
        <v>24</v>
      </c>
      <c r="JZ9" s="11" t="s">
        <v>25</v>
      </c>
      <c r="KA9" s="11" t="s">
        <v>26</v>
      </c>
      <c r="KB9" s="11" t="s">
        <v>27</v>
      </c>
      <c r="KC9" s="11" t="s">
        <v>28</v>
      </c>
      <c r="KD9" s="11" t="s">
        <v>29</v>
      </c>
      <c r="KE9" s="11" t="s">
        <v>30</v>
      </c>
      <c r="KF9" s="11" t="s">
        <v>31</v>
      </c>
      <c r="KG9" s="11" t="s">
        <v>32</v>
      </c>
      <c r="KH9" s="11" t="s">
        <v>33</v>
      </c>
      <c r="KI9" s="11" t="s">
        <v>34</v>
      </c>
      <c r="KJ9" s="13" t="s">
        <v>44</v>
      </c>
      <c r="KK9" s="3" t="s">
        <v>23</v>
      </c>
      <c r="KL9" s="3" t="s">
        <v>24</v>
      </c>
      <c r="KM9" s="3" t="s">
        <v>25</v>
      </c>
      <c r="KN9" s="3" t="s">
        <v>26</v>
      </c>
      <c r="KO9" s="3" t="s">
        <v>27</v>
      </c>
      <c r="KP9" s="3" t="s">
        <v>28</v>
      </c>
      <c r="KQ9" s="3" t="s">
        <v>29</v>
      </c>
      <c r="KR9" s="3" t="s">
        <v>30</v>
      </c>
      <c r="KS9" s="3" t="s">
        <v>31</v>
      </c>
      <c r="KT9" s="3" t="s">
        <v>32</v>
      </c>
      <c r="KU9" s="3" t="s">
        <v>33</v>
      </c>
      <c r="KV9" s="3" t="s">
        <v>34</v>
      </c>
      <c r="KW9" s="8" t="s">
        <v>44</v>
      </c>
      <c r="KX9" s="8"/>
      <c r="KY9" s="29" t="s">
        <v>36</v>
      </c>
      <c r="KZ9" s="11" t="s">
        <v>23</v>
      </c>
      <c r="LA9" s="11" t="s">
        <v>24</v>
      </c>
      <c r="LB9" s="11" t="s">
        <v>25</v>
      </c>
      <c r="LC9" s="11" t="s">
        <v>26</v>
      </c>
      <c r="LD9" s="11" t="s">
        <v>27</v>
      </c>
      <c r="LE9" s="11" t="s">
        <v>28</v>
      </c>
      <c r="LF9" s="11" t="s">
        <v>29</v>
      </c>
      <c r="LG9" s="11" t="s">
        <v>30</v>
      </c>
      <c r="LH9" s="11" t="s">
        <v>31</v>
      </c>
      <c r="LI9" s="11" t="s">
        <v>32</v>
      </c>
      <c r="LJ9" s="11" t="s">
        <v>33</v>
      </c>
      <c r="LK9" s="11" t="s">
        <v>34</v>
      </c>
      <c r="LL9" s="91" t="s">
        <v>44</v>
      </c>
      <c r="LM9" s="29" t="s">
        <v>36</v>
      </c>
      <c r="LN9" s="3" t="s">
        <v>23</v>
      </c>
      <c r="LO9" s="3" t="s">
        <v>24</v>
      </c>
      <c r="LP9" s="3" t="s">
        <v>25</v>
      </c>
      <c r="LQ9" s="3" t="s">
        <v>26</v>
      </c>
      <c r="LR9" s="3" t="s">
        <v>27</v>
      </c>
      <c r="LS9" s="3" t="s">
        <v>28</v>
      </c>
      <c r="LT9" s="3" t="s">
        <v>29</v>
      </c>
      <c r="LU9" s="3" t="s">
        <v>30</v>
      </c>
      <c r="LV9" s="3" t="s">
        <v>31</v>
      </c>
      <c r="LW9" s="3" t="s">
        <v>32</v>
      </c>
      <c r="LX9" s="3" t="s">
        <v>33</v>
      </c>
      <c r="LY9" s="3" t="s">
        <v>34</v>
      </c>
      <c r="LZ9" s="8" t="s">
        <v>44</v>
      </c>
      <c r="MA9" s="29" t="s">
        <v>36</v>
      </c>
      <c r="MB9" s="3" t="s">
        <v>23</v>
      </c>
      <c r="MC9" s="3" t="s">
        <v>24</v>
      </c>
      <c r="MD9" s="3" t="s">
        <v>25</v>
      </c>
      <c r="ME9" s="3" t="s">
        <v>26</v>
      </c>
      <c r="MF9" s="3" t="s">
        <v>27</v>
      </c>
      <c r="MG9" s="3" t="s">
        <v>28</v>
      </c>
      <c r="MH9" s="3" t="s">
        <v>29</v>
      </c>
      <c r="MI9" s="3" t="s">
        <v>30</v>
      </c>
      <c r="MJ9" s="3" t="s">
        <v>31</v>
      </c>
      <c r="MK9" s="3" t="s">
        <v>32</v>
      </c>
      <c r="ML9" s="3" t="s">
        <v>33</v>
      </c>
      <c r="MM9" s="3" t="s">
        <v>34</v>
      </c>
      <c r="MN9" s="8" t="s">
        <v>44</v>
      </c>
      <c r="MO9" s="3" t="s">
        <v>23</v>
      </c>
      <c r="MP9" s="3" t="s">
        <v>24</v>
      </c>
      <c r="MQ9" s="3" t="s">
        <v>25</v>
      </c>
      <c r="MR9" s="3" t="s">
        <v>26</v>
      </c>
      <c r="MS9" s="3" t="s">
        <v>27</v>
      </c>
      <c r="MT9" s="3" t="s">
        <v>28</v>
      </c>
      <c r="MU9" s="3" t="s">
        <v>29</v>
      </c>
      <c r="MV9" s="3" t="s">
        <v>30</v>
      </c>
      <c r="MW9" s="3" t="s">
        <v>31</v>
      </c>
      <c r="MX9" s="3" t="s">
        <v>32</v>
      </c>
      <c r="MY9" s="3" t="s">
        <v>33</v>
      </c>
      <c r="MZ9" s="14" t="s">
        <v>34</v>
      </c>
      <c r="NA9" s="81" t="s">
        <v>44</v>
      </c>
      <c r="NB9" s="100"/>
      <c r="NC9" s="99" t="s">
        <v>36</v>
      </c>
      <c r="ND9" s="3" t="s">
        <v>23</v>
      </c>
      <c r="NE9" s="3" t="s">
        <v>24</v>
      </c>
      <c r="NF9" s="3" t="s">
        <v>25</v>
      </c>
      <c r="NG9" s="3" t="s">
        <v>26</v>
      </c>
      <c r="NH9" s="3" t="s">
        <v>27</v>
      </c>
      <c r="NI9" s="3" t="s">
        <v>28</v>
      </c>
      <c r="NJ9" s="3" t="s">
        <v>29</v>
      </c>
      <c r="NK9" s="3" t="s">
        <v>30</v>
      </c>
      <c r="NL9" s="3" t="s">
        <v>31</v>
      </c>
      <c r="NM9" s="3" t="s">
        <v>32</v>
      </c>
      <c r="NN9" s="3" t="s">
        <v>33</v>
      </c>
      <c r="NO9" s="3" t="s">
        <v>34</v>
      </c>
      <c r="NP9" s="27" t="s">
        <v>44</v>
      </c>
      <c r="NQ9" s="134"/>
      <c r="NR9" s="134"/>
      <c r="NS9" s="134"/>
      <c r="NT9" s="134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</row>
    <row r="10" spans="1:458" s="1" customFormat="1" ht="50.1" customHeight="1" x14ac:dyDescent="0.25">
      <c r="A10" s="120">
        <v>2017</v>
      </c>
      <c r="B10" s="6" t="s">
        <v>17</v>
      </c>
      <c r="C10" s="23"/>
      <c r="D10" s="41">
        <v>604</v>
      </c>
      <c r="E10" s="41">
        <v>948</v>
      </c>
      <c r="F10" s="41">
        <v>2611.6666666666665</v>
      </c>
      <c r="G10" s="41">
        <v>1027</v>
      </c>
      <c r="H10" s="41">
        <v>802</v>
      </c>
      <c r="I10" s="41">
        <v>4050</v>
      </c>
      <c r="J10" s="41">
        <v>3818</v>
      </c>
      <c r="K10" s="41">
        <v>3676</v>
      </c>
      <c r="L10" s="41">
        <v>3561</v>
      </c>
      <c r="M10" s="41">
        <v>3803</v>
      </c>
      <c r="N10" s="41">
        <v>1848</v>
      </c>
      <c r="O10" s="41">
        <v>768</v>
      </c>
      <c r="P10" s="38">
        <f>SUM(D10:O10)</f>
        <v>27516.666666666664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38">
        <f>SUM(Q10:AB10)</f>
        <v>0</v>
      </c>
      <c r="AD10" s="36">
        <f>SUM(P10+AC10)</f>
        <v>27516.666666666664</v>
      </c>
      <c r="AE10" s="26"/>
      <c r="AF10" s="32">
        <v>114</v>
      </c>
      <c r="AG10" s="32">
        <v>131</v>
      </c>
      <c r="AH10" s="32">
        <v>122</v>
      </c>
      <c r="AI10" s="32">
        <v>138</v>
      </c>
      <c r="AJ10" s="32">
        <v>126</v>
      </c>
      <c r="AK10" s="32">
        <v>135</v>
      </c>
      <c r="AL10" s="32">
        <v>135</v>
      </c>
      <c r="AM10" s="32">
        <v>137</v>
      </c>
      <c r="AN10" s="32">
        <v>125</v>
      </c>
      <c r="AO10" s="32">
        <v>149</v>
      </c>
      <c r="AP10" s="32">
        <v>126</v>
      </c>
      <c r="AQ10" s="32">
        <v>133</v>
      </c>
      <c r="AR10" s="38">
        <f>SUM(AF10:AQ10)</f>
        <v>1571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8">
        <f>SUM(AS10:BD10)</f>
        <v>0</v>
      </c>
      <c r="BF10" s="36">
        <f>SUM(AR10+BE10)</f>
        <v>1571</v>
      </c>
      <c r="BG10" s="26"/>
      <c r="BH10" s="41">
        <v>0</v>
      </c>
      <c r="BI10" s="41">
        <v>0</v>
      </c>
      <c r="BJ10" s="41">
        <v>0</v>
      </c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41">
        <v>0</v>
      </c>
      <c r="BQ10" s="41">
        <v>0</v>
      </c>
      <c r="BR10" s="41">
        <v>0</v>
      </c>
      <c r="BS10" s="41">
        <v>0</v>
      </c>
      <c r="BT10" s="38">
        <f>SUM(BH10:BS10)</f>
        <v>0</v>
      </c>
      <c r="BU10" s="53">
        <v>870</v>
      </c>
      <c r="BV10" s="53">
        <v>879</v>
      </c>
      <c r="BW10" s="53">
        <v>1239</v>
      </c>
      <c r="BX10" s="53">
        <v>900</v>
      </c>
      <c r="BY10" s="53">
        <v>836</v>
      </c>
      <c r="BZ10" s="53">
        <v>681</v>
      </c>
      <c r="CA10" s="53">
        <v>761</v>
      </c>
      <c r="CB10" s="53">
        <v>804</v>
      </c>
      <c r="CC10" s="53">
        <v>993</v>
      </c>
      <c r="CD10" s="53">
        <v>1102</v>
      </c>
      <c r="CE10" s="53">
        <v>943</v>
      </c>
      <c r="CF10" s="53">
        <v>760</v>
      </c>
      <c r="CG10" s="116">
        <f>SUM(BU10:CF10)</f>
        <v>10768</v>
      </c>
      <c r="CH10" s="36">
        <f>SUM(BT10+CG10)</f>
        <v>10768</v>
      </c>
      <c r="CI10" s="26"/>
      <c r="CJ10" s="32">
        <v>0</v>
      </c>
      <c r="CK10" s="32">
        <v>0</v>
      </c>
      <c r="CL10" s="32">
        <v>0</v>
      </c>
      <c r="CM10" s="32">
        <v>0</v>
      </c>
      <c r="CN10" s="32">
        <v>0</v>
      </c>
      <c r="CO10" s="32">
        <v>0</v>
      </c>
      <c r="CP10" s="32">
        <v>0</v>
      </c>
      <c r="CQ10" s="32">
        <v>0</v>
      </c>
      <c r="CR10" s="32">
        <v>0</v>
      </c>
      <c r="CS10" s="32">
        <v>0</v>
      </c>
      <c r="CT10" s="32">
        <v>0</v>
      </c>
      <c r="CU10" s="32">
        <v>0</v>
      </c>
      <c r="CV10" s="38">
        <f>SUM(CJ10:CU10)</f>
        <v>0</v>
      </c>
      <c r="CW10" s="54">
        <v>1172</v>
      </c>
      <c r="CX10" s="54">
        <v>1103</v>
      </c>
      <c r="CY10" s="54">
        <v>1181</v>
      </c>
      <c r="CZ10" s="54">
        <v>917</v>
      </c>
      <c r="DA10" s="54">
        <v>1171</v>
      </c>
      <c r="DB10" s="54">
        <v>1057</v>
      </c>
      <c r="DC10" s="54">
        <v>1293</v>
      </c>
      <c r="DD10" s="54">
        <v>1315</v>
      </c>
      <c r="DE10" s="54">
        <v>1323</v>
      </c>
      <c r="DF10" s="54">
        <v>1441</v>
      </c>
      <c r="DG10" s="54">
        <v>1201</v>
      </c>
      <c r="DH10" s="54">
        <v>1105</v>
      </c>
      <c r="DI10" s="38">
        <f>SUM(CW10:DH10)</f>
        <v>14279</v>
      </c>
      <c r="DJ10" s="36">
        <f>SUM(CV10+DI10)</f>
        <v>14279</v>
      </c>
      <c r="DK10" s="26"/>
      <c r="DL10" s="75">
        <v>1228</v>
      </c>
      <c r="DM10" s="75">
        <v>1283</v>
      </c>
      <c r="DN10" s="75">
        <v>1188</v>
      </c>
      <c r="DO10" s="75">
        <v>1085</v>
      </c>
      <c r="DP10" s="75">
        <v>1180</v>
      </c>
      <c r="DQ10" s="75">
        <v>1386</v>
      </c>
      <c r="DR10" s="75">
        <v>878</v>
      </c>
      <c r="DS10" s="75">
        <v>827</v>
      </c>
      <c r="DT10" s="75">
        <v>913</v>
      </c>
      <c r="DU10" s="75">
        <v>1023</v>
      </c>
      <c r="DV10" s="75">
        <v>853</v>
      </c>
      <c r="DW10" s="75">
        <v>770</v>
      </c>
      <c r="DX10" s="38">
        <f t="shared" ref="DX10:DX62" si="0">SUM(DL10:DW10)</f>
        <v>12614</v>
      </c>
      <c r="DY10" s="86">
        <v>3000</v>
      </c>
      <c r="DZ10" s="64">
        <v>4000</v>
      </c>
      <c r="EA10" s="64">
        <v>3459</v>
      </c>
      <c r="EB10" s="64">
        <v>3251</v>
      </c>
      <c r="EC10" s="64">
        <v>2516</v>
      </c>
      <c r="ED10" s="64">
        <v>3200</v>
      </c>
      <c r="EE10" s="64">
        <v>3000</v>
      </c>
      <c r="EF10" s="64">
        <v>3030</v>
      </c>
      <c r="EG10" s="64">
        <v>2230</v>
      </c>
      <c r="EH10" s="64">
        <v>2600</v>
      </c>
      <c r="EI10" s="64">
        <v>2000</v>
      </c>
      <c r="EJ10" s="64">
        <v>1716</v>
      </c>
      <c r="EK10" s="38">
        <f>SUM(DY10:EJ10)</f>
        <v>34002</v>
      </c>
      <c r="EL10" s="36">
        <f t="shared" ref="EL10:EL63" si="1">SUM(DX10+EK10)</f>
        <v>46616</v>
      </c>
      <c r="EM10" s="26"/>
      <c r="EN10" s="32">
        <v>2322</v>
      </c>
      <c r="EO10" s="32">
        <v>2232</v>
      </c>
      <c r="EP10" s="32">
        <v>2640</v>
      </c>
      <c r="EQ10" s="32">
        <v>2046</v>
      </c>
      <c r="ER10" s="32">
        <v>1928</v>
      </c>
      <c r="ES10" s="32">
        <v>1962</v>
      </c>
      <c r="ET10" s="32">
        <v>1984</v>
      </c>
      <c r="EU10" s="32">
        <v>1900</v>
      </c>
      <c r="EV10" s="32">
        <v>2514</v>
      </c>
      <c r="EW10" s="32">
        <v>2512</v>
      </c>
      <c r="EX10" s="32">
        <v>2358</v>
      </c>
      <c r="EY10" s="32">
        <v>2254</v>
      </c>
      <c r="EZ10" s="38">
        <f>SUM(EN10:EY10)</f>
        <v>26652</v>
      </c>
      <c r="FA10" s="26"/>
      <c r="FB10" s="104">
        <v>4959</v>
      </c>
      <c r="FC10" s="104">
        <v>4504</v>
      </c>
      <c r="FD10" s="104">
        <v>4338</v>
      </c>
      <c r="FE10" s="104">
        <v>3651</v>
      </c>
      <c r="FF10" s="104">
        <v>4289</v>
      </c>
      <c r="FG10" s="104">
        <v>3434</v>
      </c>
      <c r="FH10" s="104">
        <v>4581</v>
      </c>
      <c r="FI10" s="104">
        <v>4596</v>
      </c>
      <c r="FJ10" s="104">
        <v>3388</v>
      </c>
      <c r="FK10" s="104">
        <v>3669</v>
      </c>
      <c r="FL10" s="104">
        <v>3735</v>
      </c>
      <c r="FM10" s="104">
        <v>4096</v>
      </c>
      <c r="FN10" s="38">
        <f>SUM(FB10:FM10)</f>
        <v>49240</v>
      </c>
      <c r="FO10" s="26"/>
      <c r="FP10" s="32">
        <v>1054</v>
      </c>
      <c r="FQ10" s="32">
        <v>897</v>
      </c>
      <c r="FR10" s="32">
        <v>952</v>
      </c>
      <c r="FS10" s="32">
        <v>924</v>
      </c>
      <c r="FT10" s="32">
        <v>850</v>
      </c>
      <c r="FU10" s="32">
        <v>827</v>
      </c>
      <c r="FV10" s="32">
        <v>1042</v>
      </c>
      <c r="FW10" s="32">
        <v>1114</v>
      </c>
      <c r="FX10" s="32">
        <v>1123</v>
      </c>
      <c r="FY10" s="32">
        <v>1076</v>
      </c>
      <c r="FZ10" s="32">
        <v>1018</v>
      </c>
      <c r="GA10" s="32">
        <v>937</v>
      </c>
      <c r="GB10" s="38">
        <f>SUM(FP10:GA10)</f>
        <v>11814</v>
      </c>
      <c r="GC10" s="26"/>
      <c r="GD10" s="101">
        <v>1844</v>
      </c>
      <c r="GE10" s="101">
        <v>1895</v>
      </c>
      <c r="GF10" s="101">
        <v>1182</v>
      </c>
      <c r="GG10" s="101">
        <v>1939</v>
      </c>
      <c r="GH10" s="101">
        <v>2148</v>
      </c>
      <c r="GI10" s="101">
        <v>2043</v>
      </c>
      <c r="GJ10" s="101">
        <v>2115</v>
      </c>
      <c r="GK10" s="101">
        <v>2303</v>
      </c>
      <c r="GL10" s="101">
        <v>2010</v>
      </c>
      <c r="GM10" s="101">
        <v>2148</v>
      </c>
      <c r="GN10" s="101">
        <v>1832</v>
      </c>
      <c r="GO10" s="101">
        <v>1774</v>
      </c>
      <c r="GP10" s="38">
        <f>SUM(GD10:GO10)</f>
        <v>23233</v>
      </c>
      <c r="GQ10" s="26"/>
      <c r="GR10" s="32">
        <v>396</v>
      </c>
      <c r="GS10" s="32">
        <v>511</v>
      </c>
      <c r="GT10" s="32">
        <v>503</v>
      </c>
      <c r="GU10" s="32">
        <v>675</v>
      </c>
      <c r="GV10" s="32">
        <v>626</v>
      </c>
      <c r="GW10" s="32">
        <v>586</v>
      </c>
      <c r="GX10" s="32">
        <v>710</v>
      </c>
      <c r="GY10" s="32">
        <v>639</v>
      </c>
      <c r="GZ10" s="32">
        <v>560</v>
      </c>
      <c r="HA10" s="32">
        <v>758</v>
      </c>
      <c r="HB10" s="32">
        <v>523</v>
      </c>
      <c r="HC10" s="32">
        <v>717</v>
      </c>
      <c r="HD10" s="38">
        <f>SUM(GR10:HC10)</f>
        <v>7204</v>
      </c>
      <c r="HE10" s="26"/>
      <c r="HF10" s="54">
        <v>2412</v>
      </c>
      <c r="HG10" s="54">
        <v>2157</v>
      </c>
      <c r="HH10" s="54">
        <v>2410</v>
      </c>
      <c r="HI10" s="54">
        <v>2960</v>
      </c>
      <c r="HJ10" s="54">
        <v>2937</v>
      </c>
      <c r="HK10" s="54">
        <v>2676</v>
      </c>
      <c r="HL10" s="54">
        <v>2983</v>
      </c>
      <c r="HM10" s="54">
        <v>3420</v>
      </c>
      <c r="HN10" s="54">
        <v>3210</v>
      </c>
      <c r="HO10" s="54">
        <v>2723</v>
      </c>
      <c r="HP10" s="54">
        <v>2864</v>
      </c>
      <c r="HQ10" s="54">
        <v>2391</v>
      </c>
      <c r="HR10" s="38">
        <f>SUM(HF10:HQ10)</f>
        <v>33143</v>
      </c>
      <c r="HS10" s="26"/>
      <c r="HT10" s="32">
        <v>295</v>
      </c>
      <c r="HU10" s="32">
        <v>304</v>
      </c>
      <c r="HV10" s="32">
        <v>245</v>
      </c>
      <c r="HW10" s="32">
        <v>303</v>
      </c>
      <c r="HX10" s="32">
        <v>327</v>
      </c>
      <c r="HY10" s="32">
        <v>298</v>
      </c>
      <c r="HZ10" s="32">
        <v>277</v>
      </c>
      <c r="IA10" s="32">
        <v>319</v>
      </c>
      <c r="IB10" s="32">
        <v>398</v>
      </c>
      <c r="IC10" s="32">
        <v>347</v>
      </c>
      <c r="ID10" s="32">
        <v>304</v>
      </c>
      <c r="IE10" s="69">
        <v>297</v>
      </c>
      <c r="IF10" s="38">
        <f t="shared" ref="IF10:IF57" si="2">SUM(HT10:IE10)</f>
        <v>3714</v>
      </c>
      <c r="IG10" s="104">
        <v>1578</v>
      </c>
      <c r="IH10" s="104">
        <v>1276</v>
      </c>
      <c r="II10" s="104">
        <v>1456</v>
      </c>
      <c r="IJ10" s="104">
        <v>1298</v>
      </c>
      <c r="IK10" s="104">
        <v>1265</v>
      </c>
      <c r="IL10" s="104">
        <v>1134</v>
      </c>
      <c r="IM10" s="104">
        <v>1599</v>
      </c>
      <c r="IN10" s="104">
        <v>1385</v>
      </c>
      <c r="IO10" s="104">
        <v>1453</v>
      </c>
      <c r="IP10" s="104">
        <v>1698</v>
      </c>
      <c r="IQ10" s="104">
        <v>1145</v>
      </c>
      <c r="IR10" s="107">
        <v>1344</v>
      </c>
      <c r="IS10" s="38">
        <f t="shared" ref="IS10:IS57" si="3">SUM(IG10:IR10)</f>
        <v>16631</v>
      </c>
      <c r="IT10" s="36">
        <f>SUM(IF10+IS10)</f>
        <v>20345</v>
      </c>
      <c r="IU10" s="26"/>
      <c r="IV10" s="32">
        <v>206</v>
      </c>
      <c r="IW10" s="32">
        <v>218</v>
      </c>
      <c r="IX10" s="32">
        <v>236</v>
      </c>
      <c r="IY10" s="32">
        <v>288</v>
      </c>
      <c r="IZ10" s="32">
        <v>256</v>
      </c>
      <c r="JA10" s="32">
        <v>239</v>
      </c>
      <c r="JB10" s="32">
        <v>195</v>
      </c>
      <c r="JC10" s="32">
        <v>182</v>
      </c>
      <c r="JD10" s="32">
        <v>209</v>
      </c>
      <c r="JE10" s="32">
        <v>220</v>
      </c>
      <c r="JF10" s="32">
        <v>249</v>
      </c>
      <c r="JG10" s="32">
        <v>206</v>
      </c>
      <c r="JH10" s="38">
        <f t="shared" ref="JH10:JH57" si="4">SUM(IV10:JG10)</f>
        <v>2704</v>
      </c>
      <c r="JI10" s="109">
        <v>3923.2000000000003</v>
      </c>
      <c r="JJ10" s="97">
        <v>4068.8</v>
      </c>
      <c r="JK10" s="97">
        <v>4076</v>
      </c>
      <c r="JL10" s="97">
        <v>3349.6000000000004</v>
      </c>
      <c r="JM10" s="97">
        <v>3042.4</v>
      </c>
      <c r="JN10" s="97">
        <v>2786.4</v>
      </c>
      <c r="JO10" s="97">
        <v>3156.8</v>
      </c>
      <c r="JP10" s="97">
        <v>4184</v>
      </c>
      <c r="JQ10" s="97">
        <v>3569.6000000000004</v>
      </c>
      <c r="JR10" s="97">
        <v>4508</v>
      </c>
      <c r="JS10" s="97">
        <v>3295.2000000000003</v>
      </c>
      <c r="JT10" s="97">
        <v>3953.6000000000004</v>
      </c>
      <c r="JU10" s="35">
        <f t="shared" ref="JU10:JU62" si="5">SUM(JI10:JT10)</f>
        <v>43913.599999999999</v>
      </c>
      <c r="JV10" s="40">
        <f>SUM(JH10+JU10)</f>
        <v>46617.599999999999</v>
      </c>
      <c r="JW10" s="26"/>
      <c r="JX10" s="32">
        <v>0</v>
      </c>
      <c r="JY10" s="32">
        <v>0</v>
      </c>
      <c r="JZ10" s="32">
        <v>0</v>
      </c>
      <c r="KA10" s="32">
        <v>0</v>
      </c>
      <c r="KB10" s="32">
        <v>0</v>
      </c>
      <c r="KC10" s="32">
        <v>0</v>
      </c>
      <c r="KD10" s="32">
        <v>0</v>
      </c>
      <c r="KE10" s="32">
        <v>0</v>
      </c>
      <c r="KF10" s="32">
        <v>0</v>
      </c>
      <c r="KG10" s="32">
        <v>0</v>
      </c>
      <c r="KH10" s="32">
        <v>0</v>
      </c>
      <c r="KI10" s="32">
        <v>0</v>
      </c>
      <c r="KJ10" s="38">
        <f t="shared" ref="KJ10:KJ57" si="6">SUM(JX10:KI10)</f>
        <v>0</v>
      </c>
      <c r="KK10" s="32">
        <v>1548</v>
      </c>
      <c r="KL10" s="32">
        <v>1591</v>
      </c>
      <c r="KM10" s="32">
        <v>1624</v>
      </c>
      <c r="KN10" s="32">
        <v>1298</v>
      </c>
      <c r="KO10" s="32">
        <v>1398</v>
      </c>
      <c r="KP10" s="32">
        <v>1233</v>
      </c>
      <c r="KQ10" s="32">
        <v>975</v>
      </c>
      <c r="KR10" s="32">
        <v>1021</v>
      </c>
      <c r="KS10" s="32">
        <v>997</v>
      </c>
      <c r="KT10" s="32">
        <v>1748</v>
      </c>
      <c r="KU10" s="32">
        <v>1523</v>
      </c>
      <c r="KV10" s="32">
        <v>1141</v>
      </c>
      <c r="KW10" s="38">
        <f t="shared" ref="KW10:KW57" si="7">SUM(KK10:KV10)</f>
        <v>16097</v>
      </c>
      <c r="KX10" s="36">
        <f>SUM(KJ10+KW10)</f>
        <v>16097</v>
      </c>
      <c r="KY10" s="26"/>
      <c r="KZ10" s="32">
        <v>0</v>
      </c>
      <c r="LA10" s="32">
        <v>0</v>
      </c>
      <c r="LB10" s="32">
        <v>0</v>
      </c>
      <c r="LC10" s="32">
        <v>0</v>
      </c>
      <c r="LD10" s="32">
        <v>0</v>
      </c>
      <c r="LE10" s="32">
        <v>0</v>
      </c>
      <c r="LF10" s="32">
        <v>0</v>
      </c>
      <c r="LG10" s="32">
        <v>0</v>
      </c>
      <c r="LH10" s="32">
        <v>0</v>
      </c>
      <c r="LI10" s="32">
        <v>0</v>
      </c>
      <c r="LJ10" s="32">
        <v>0</v>
      </c>
      <c r="LK10" s="69">
        <v>0</v>
      </c>
      <c r="LL10" s="38">
        <f>SUM(KZ10:LK10)</f>
        <v>0</v>
      </c>
      <c r="LM10" s="26"/>
      <c r="LN10" s="71">
        <v>5617</v>
      </c>
      <c r="LO10" s="71">
        <v>4997</v>
      </c>
      <c r="LP10" s="71">
        <v>3880</v>
      </c>
      <c r="LQ10" s="71">
        <v>5363</v>
      </c>
      <c r="LR10" s="71">
        <v>4973</v>
      </c>
      <c r="LS10" s="71">
        <v>6260</v>
      </c>
      <c r="LT10" s="71">
        <v>5812</v>
      </c>
      <c r="LU10" s="45">
        <v>5918</v>
      </c>
      <c r="LV10" s="45">
        <v>6589</v>
      </c>
      <c r="LW10" s="45">
        <v>6651</v>
      </c>
      <c r="LX10" s="45">
        <v>5303</v>
      </c>
      <c r="LY10" s="45">
        <v>5954</v>
      </c>
      <c r="LZ10" s="38">
        <f t="shared" ref="LZ10:LZ57" si="8">SUM(LN10:LY10)</f>
        <v>67317</v>
      </c>
      <c r="MA10" s="26"/>
      <c r="MB10" s="45">
        <v>3778</v>
      </c>
      <c r="MC10" s="45">
        <v>3577</v>
      </c>
      <c r="MD10" s="45">
        <v>3212</v>
      </c>
      <c r="ME10" s="45">
        <v>2930</v>
      </c>
      <c r="MF10" s="45">
        <v>3701</v>
      </c>
      <c r="MG10" s="45">
        <v>3386</v>
      </c>
      <c r="MH10" s="45">
        <v>4689</v>
      </c>
      <c r="MI10" s="45">
        <v>3584</v>
      </c>
      <c r="MJ10" s="45">
        <v>3686</v>
      </c>
      <c r="MK10" s="45">
        <v>4608</v>
      </c>
      <c r="ML10" s="45">
        <v>3906</v>
      </c>
      <c r="MM10" s="45">
        <v>3224</v>
      </c>
      <c r="MN10" s="38">
        <f t="shared" ref="MN10:MN57" si="9">SUM(MB10:MM10)</f>
        <v>44281</v>
      </c>
      <c r="MO10" s="32">
        <v>6973</v>
      </c>
      <c r="MP10" s="32">
        <v>4837</v>
      </c>
      <c r="MQ10" s="32">
        <v>8015</v>
      </c>
      <c r="MR10" s="32">
        <v>6013</v>
      </c>
      <c r="MS10" s="32">
        <v>7225</v>
      </c>
      <c r="MT10" s="32">
        <v>7310</v>
      </c>
      <c r="MU10" s="32">
        <v>6627</v>
      </c>
      <c r="MV10" s="32">
        <v>7265</v>
      </c>
      <c r="MW10" s="32">
        <v>5037</v>
      </c>
      <c r="MX10" s="32">
        <v>6262</v>
      </c>
      <c r="MY10" s="32">
        <v>5358</v>
      </c>
      <c r="MZ10" s="32">
        <v>4532</v>
      </c>
      <c r="NA10" s="38">
        <f t="shared" ref="NA10:NA57" si="10">SUM(MO10:MZ10)</f>
        <v>75454</v>
      </c>
      <c r="NB10" s="36">
        <f>SUM(MN10+NA10)</f>
        <v>119735</v>
      </c>
      <c r="NC10" s="26"/>
      <c r="ND10" s="32">
        <v>1361</v>
      </c>
      <c r="NE10" s="32">
        <v>1411</v>
      </c>
      <c r="NF10" s="32">
        <v>1068</v>
      </c>
      <c r="NG10" s="32">
        <v>1309</v>
      </c>
      <c r="NH10" s="32">
        <v>1181</v>
      </c>
      <c r="NI10" s="32">
        <v>1011</v>
      </c>
      <c r="NJ10" s="32">
        <v>1376</v>
      </c>
      <c r="NK10" s="32">
        <v>1339</v>
      </c>
      <c r="NL10" s="32">
        <v>999</v>
      </c>
      <c r="NM10" s="32">
        <v>1032</v>
      </c>
      <c r="NN10" s="32">
        <v>1081</v>
      </c>
      <c r="NO10" s="32">
        <v>1308</v>
      </c>
      <c r="NP10" s="118">
        <f t="shared" ref="NP10:NP57" si="11">SUM(ND10:NO10)</f>
        <v>14476</v>
      </c>
      <c r="NQ10" s="36">
        <f>SUM(P10+AR10+BT10+CV10+DX10+HD10+IF10+KJ10)</f>
        <v>52619.666666666664</v>
      </c>
      <c r="NR10" s="36">
        <f>SUM(BE10+CG10+DI10+EK10+EZ10+FN10+GB10+GP10+HR10+IS10+JH10+KW10+LL10+LZ10+MN10+NP10)</f>
        <v>364637</v>
      </c>
      <c r="NS10" s="36">
        <f>SUM(AC10+JU10+NA10)</f>
        <v>119367.6</v>
      </c>
      <c r="NT10" s="36">
        <f>SUM(NQ10:NS10)</f>
        <v>536624.26666666672</v>
      </c>
      <c r="NU10" s="18"/>
      <c r="NV10" s="18"/>
      <c r="NW10" s="18"/>
      <c r="NX10" s="19"/>
      <c r="NY10" s="19"/>
      <c r="NZ10" s="19"/>
      <c r="OA10" s="19"/>
      <c r="OB10" s="19"/>
      <c r="OC10" s="19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8"/>
      <c r="OR10" s="18"/>
      <c r="OS10" s="18"/>
      <c r="OT10" s="18"/>
      <c r="OU10" s="18"/>
      <c r="OV10" s="18"/>
      <c r="OW10" s="18"/>
      <c r="OX10" s="19"/>
      <c r="OY10" s="19"/>
      <c r="OZ10" s="19"/>
      <c r="PA10" s="19"/>
      <c r="PB10" s="19"/>
      <c r="PC10" s="19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8"/>
      <c r="PR10" s="18"/>
      <c r="PS10" s="18"/>
      <c r="PT10" s="18"/>
      <c r="PU10" s="18"/>
      <c r="PV10" s="18"/>
      <c r="PW10" s="18"/>
      <c r="PX10" s="19"/>
      <c r="PY10" s="19"/>
      <c r="PZ10" s="19"/>
      <c r="QA10" s="19"/>
      <c r="QB10" s="19"/>
      <c r="QC10" s="19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</row>
    <row r="11" spans="1:458" s="1" customFormat="1" ht="50.1" customHeight="1" x14ac:dyDescent="0.25">
      <c r="A11" s="120"/>
      <c r="B11" s="6" t="s">
        <v>18</v>
      </c>
      <c r="C11" s="23"/>
      <c r="D11" s="41">
        <v>129</v>
      </c>
      <c r="E11" s="41">
        <v>72</v>
      </c>
      <c r="F11" s="41">
        <v>200.88888888888889</v>
      </c>
      <c r="G11" s="41">
        <v>111</v>
      </c>
      <c r="H11" s="41">
        <v>67</v>
      </c>
      <c r="I11" s="41">
        <v>252</v>
      </c>
      <c r="J11" s="41">
        <v>189</v>
      </c>
      <c r="K11" s="41">
        <v>145</v>
      </c>
      <c r="L11" s="41">
        <v>242</v>
      </c>
      <c r="M11" s="41">
        <v>331</v>
      </c>
      <c r="N11" s="41">
        <v>280</v>
      </c>
      <c r="O11" s="41">
        <v>171</v>
      </c>
      <c r="P11" s="38">
        <f t="shared" ref="P11:P63" si="12">SUM(D11:O11)</f>
        <v>2189.8888888888887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38">
        <f>SUM(Q11:AB11)</f>
        <v>0</v>
      </c>
      <c r="AD11" s="36">
        <f t="shared" ref="AD11:AD63" si="13">SUM(P11+AC11)</f>
        <v>2189.8888888888887</v>
      </c>
      <c r="AE11" s="26"/>
      <c r="AF11" s="32">
        <v>6</v>
      </c>
      <c r="AG11" s="32">
        <v>3</v>
      </c>
      <c r="AH11" s="32">
        <v>2</v>
      </c>
      <c r="AI11" s="32">
        <v>4</v>
      </c>
      <c r="AJ11" s="32">
        <v>2</v>
      </c>
      <c r="AK11" s="32">
        <v>1</v>
      </c>
      <c r="AL11" s="32">
        <v>2</v>
      </c>
      <c r="AM11" s="32">
        <v>3</v>
      </c>
      <c r="AN11" s="32">
        <v>1</v>
      </c>
      <c r="AO11" s="32">
        <v>1</v>
      </c>
      <c r="AP11" s="32">
        <v>3</v>
      </c>
      <c r="AQ11" s="32">
        <v>4</v>
      </c>
      <c r="AR11" s="38">
        <f t="shared" ref="AR11:AR63" si="14">SUM(AF11:AQ11)</f>
        <v>32</v>
      </c>
      <c r="AS11" s="32">
        <v>0</v>
      </c>
      <c r="AT11" s="32">
        <v>0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8">
        <f t="shared" ref="BE11:BE63" si="15">SUM(AS11:BD11)</f>
        <v>0</v>
      </c>
      <c r="BF11" s="36">
        <f t="shared" ref="BF11:BF63" si="16">SUM(AR11+BE11)</f>
        <v>32</v>
      </c>
      <c r="BG11" s="26"/>
      <c r="BH11" s="41">
        <v>0</v>
      </c>
      <c r="BI11" s="41">
        <v>0</v>
      </c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</v>
      </c>
      <c r="BR11" s="41">
        <v>0</v>
      </c>
      <c r="BS11" s="41">
        <v>0</v>
      </c>
      <c r="BT11" s="38">
        <f t="shared" ref="BT11:BT63" si="17">SUM(BH11:BS11)</f>
        <v>0</v>
      </c>
      <c r="BU11" s="54">
        <v>677</v>
      </c>
      <c r="BV11" s="54">
        <v>634</v>
      </c>
      <c r="BW11" s="54">
        <v>1060</v>
      </c>
      <c r="BX11" s="54">
        <v>831</v>
      </c>
      <c r="BY11" s="54">
        <v>722</v>
      </c>
      <c r="BZ11" s="54">
        <v>580</v>
      </c>
      <c r="CA11" s="54">
        <v>714</v>
      </c>
      <c r="CB11" s="54">
        <v>732</v>
      </c>
      <c r="CC11" s="54">
        <v>907</v>
      </c>
      <c r="CD11" s="54">
        <v>1014</v>
      </c>
      <c r="CE11" s="54">
        <v>895</v>
      </c>
      <c r="CF11" s="54">
        <v>613</v>
      </c>
      <c r="CG11" s="38">
        <f t="shared" ref="CG11:CG63" si="18">SUM(BU11:CF11)</f>
        <v>9379</v>
      </c>
      <c r="CH11" s="36">
        <f t="shared" ref="CH11:CH63" si="19">SUM(BT11+CG11)</f>
        <v>9379</v>
      </c>
      <c r="CI11" s="26"/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0</v>
      </c>
      <c r="CR11" s="32">
        <v>0</v>
      </c>
      <c r="CS11" s="32">
        <v>0</v>
      </c>
      <c r="CT11" s="32">
        <v>0</v>
      </c>
      <c r="CU11" s="32">
        <v>0</v>
      </c>
      <c r="CV11" s="38">
        <f t="shared" ref="CV11:CV63" si="20">SUM(CJ11:CU11)</f>
        <v>0</v>
      </c>
      <c r="CW11" s="54">
        <v>346</v>
      </c>
      <c r="CX11" s="54">
        <v>303</v>
      </c>
      <c r="CY11" s="54">
        <v>410</v>
      </c>
      <c r="CZ11" s="54">
        <v>214</v>
      </c>
      <c r="DA11" s="54">
        <v>333</v>
      </c>
      <c r="DB11" s="54">
        <v>332</v>
      </c>
      <c r="DC11" s="54">
        <v>248</v>
      </c>
      <c r="DD11" s="54">
        <v>249</v>
      </c>
      <c r="DE11" s="54">
        <v>299</v>
      </c>
      <c r="DF11" s="54">
        <v>233</v>
      </c>
      <c r="DG11" s="54">
        <v>191</v>
      </c>
      <c r="DH11" s="54">
        <v>152</v>
      </c>
      <c r="DI11" s="38">
        <f t="shared" ref="DI11:DI63" si="21">SUM(CW11:DH11)</f>
        <v>3310</v>
      </c>
      <c r="DJ11" s="36">
        <f t="shared" ref="DJ11:DJ63" si="22">SUM(CV11+DI11)</f>
        <v>3310</v>
      </c>
      <c r="DK11" s="26"/>
      <c r="DL11" s="75">
        <v>13</v>
      </c>
      <c r="DM11" s="75">
        <v>12</v>
      </c>
      <c r="DN11" s="75">
        <v>5</v>
      </c>
      <c r="DO11" s="75">
        <v>22</v>
      </c>
      <c r="DP11" s="75">
        <v>19</v>
      </c>
      <c r="DQ11" s="75">
        <v>28</v>
      </c>
      <c r="DR11" s="75">
        <v>28</v>
      </c>
      <c r="DS11" s="75">
        <v>0</v>
      </c>
      <c r="DT11" s="75">
        <v>5</v>
      </c>
      <c r="DU11" s="75">
        <v>0</v>
      </c>
      <c r="DV11" s="75">
        <v>0</v>
      </c>
      <c r="DW11" s="75">
        <v>0</v>
      </c>
      <c r="DX11" s="38">
        <f t="shared" si="0"/>
        <v>132</v>
      </c>
      <c r="DY11" s="64">
        <v>24</v>
      </c>
      <c r="DZ11" s="64">
        <v>228</v>
      </c>
      <c r="EA11" s="64">
        <v>200</v>
      </c>
      <c r="EB11" s="64">
        <v>222</v>
      </c>
      <c r="EC11" s="64">
        <v>325</v>
      </c>
      <c r="ED11" s="64">
        <v>350</v>
      </c>
      <c r="EE11" s="64">
        <v>315</v>
      </c>
      <c r="EF11" s="64">
        <v>140</v>
      </c>
      <c r="EG11" s="64">
        <v>115</v>
      </c>
      <c r="EH11" s="64">
        <v>200</v>
      </c>
      <c r="EI11" s="64">
        <v>215</v>
      </c>
      <c r="EJ11" s="64">
        <v>248</v>
      </c>
      <c r="EK11" s="38">
        <f t="shared" ref="EK11:EK63" si="23">SUM(DY11:EJ11)</f>
        <v>2582</v>
      </c>
      <c r="EL11" s="36">
        <f>SUM(DX11+EK11)</f>
        <v>2714</v>
      </c>
      <c r="EM11" s="26"/>
      <c r="EN11" s="32">
        <v>174</v>
      </c>
      <c r="EO11" s="32">
        <v>126</v>
      </c>
      <c r="EP11" s="32">
        <v>66</v>
      </c>
      <c r="EQ11" s="32">
        <v>108</v>
      </c>
      <c r="ER11" s="32">
        <v>140</v>
      </c>
      <c r="ES11" s="32">
        <v>126</v>
      </c>
      <c r="ET11" s="32">
        <v>208</v>
      </c>
      <c r="EU11" s="32">
        <v>330</v>
      </c>
      <c r="EV11" s="32">
        <v>254</v>
      </c>
      <c r="EW11" s="32">
        <v>738</v>
      </c>
      <c r="EX11" s="32">
        <v>524</v>
      </c>
      <c r="EY11" s="32">
        <v>564</v>
      </c>
      <c r="EZ11" s="38">
        <f t="shared" ref="EZ11:EZ63" si="24">SUM(EN11:EY11)</f>
        <v>3358</v>
      </c>
      <c r="FA11" s="26"/>
      <c r="FB11" s="104">
        <v>525</v>
      </c>
      <c r="FC11" s="104">
        <v>904</v>
      </c>
      <c r="FD11" s="104">
        <v>1345</v>
      </c>
      <c r="FE11" s="104">
        <v>1046</v>
      </c>
      <c r="FF11" s="104">
        <v>1218</v>
      </c>
      <c r="FG11" s="104">
        <v>1259</v>
      </c>
      <c r="FH11" s="104">
        <v>1103</v>
      </c>
      <c r="FI11" s="104">
        <v>1347</v>
      </c>
      <c r="FJ11" s="104">
        <v>1410</v>
      </c>
      <c r="FK11" s="104">
        <v>1199</v>
      </c>
      <c r="FL11" s="104">
        <v>1324</v>
      </c>
      <c r="FM11" s="104">
        <v>878</v>
      </c>
      <c r="FN11" s="38">
        <f t="shared" ref="FN11:FN63" si="25">SUM(FB11:FM11)</f>
        <v>13558</v>
      </c>
      <c r="FO11" s="26"/>
      <c r="FP11" s="32">
        <v>131</v>
      </c>
      <c r="FQ11" s="32">
        <v>172</v>
      </c>
      <c r="FR11" s="32">
        <v>109</v>
      </c>
      <c r="FS11" s="32">
        <v>94</v>
      </c>
      <c r="FT11" s="32">
        <v>155</v>
      </c>
      <c r="FU11" s="32">
        <v>155</v>
      </c>
      <c r="FV11" s="32">
        <v>67</v>
      </c>
      <c r="FW11" s="32">
        <v>47</v>
      </c>
      <c r="FX11" s="32">
        <v>75</v>
      </c>
      <c r="FY11" s="32">
        <v>113</v>
      </c>
      <c r="FZ11" s="32">
        <v>103</v>
      </c>
      <c r="GA11" s="32">
        <v>88</v>
      </c>
      <c r="GB11" s="38">
        <f t="shared" ref="GB11:GB63" si="26">SUM(FP11:GA11)</f>
        <v>1309</v>
      </c>
      <c r="GC11" s="26"/>
      <c r="GD11" s="101">
        <v>277</v>
      </c>
      <c r="GE11" s="101">
        <v>382</v>
      </c>
      <c r="GF11" s="101">
        <v>7</v>
      </c>
      <c r="GG11" s="101">
        <v>332</v>
      </c>
      <c r="GH11" s="101">
        <v>316</v>
      </c>
      <c r="GI11" s="101">
        <v>256</v>
      </c>
      <c r="GJ11" s="101">
        <v>327</v>
      </c>
      <c r="GK11" s="101">
        <v>374</v>
      </c>
      <c r="GL11" s="101">
        <v>644</v>
      </c>
      <c r="GM11" s="101">
        <v>316</v>
      </c>
      <c r="GN11" s="101">
        <v>467</v>
      </c>
      <c r="GO11" s="101">
        <v>337</v>
      </c>
      <c r="GP11" s="38">
        <f t="shared" ref="GP11:GP63" si="27">SUM(GD11:GO11)</f>
        <v>4035</v>
      </c>
      <c r="GQ11" s="26"/>
      <c r="GR11" s="32">
        <v>77</v>
      </c>
      <c r="GS11" s="32">
        <v>97</v>
      </c>
      <c r="GT11" s="32">
        <v>93</v>
      </c>
      <c r="GU11" s="32">
        <v>212</v>
      </c>
      <c r="GV11" s="32">
        <v>135</v>
      </c>
      <c r="GW11" s="32">
        <v>61</v>
      </c>
      <c r="GX11" s="32">
        <v>86</v>
      </c>
      <c r="GY11" s="32">
        <v>118</v>
      </c>
      <c r="GZ11" s="32">
        <v>165</v>
      </c>
      <c r="HA11" s="32">
        <v>114</v>
      </c>
      <c r="HB11" s="32">
        <v>186</v>
      </c>
      <c r="HC11" s="32">
        <v>167</v>
      </c>
      <c r="HD11" s="38">
        <f t="shared" ref="HD11:HD63" si="28">SUM(GR11:HC11)</f>
        <v>1511</v>
      </c>
      <c r="HE11" s="26"/>
      <c r="HF11" s="54">
        <v>854</v>
      </c>
      <c r="HG11" s="54">
        <v>954</v>
      </c>
      <c r="HH11" s="54">
        <v>847</v>
      </c>
      <c r="HI11" s="54">
        <v>613</v>
      </c>
      <c r="HJ11" s="54">
        <v>759</v>
      </c>
      <c r="HK11" s="54">
        <v>962</v>
      </c>
      <c r="HL11" s="54">
        <v>728</v>
      </c>
      <c r="HM11" s="54">
        <v>679</v>
      </c>
      <c r="HN11" s="54">
        <v>673</v>
      </c>
      <c r="HO11" s="54">
        <v>758</v>
      </c>
      <c r="HP11" s="54">
        <v>826</v>
      </c>
      <c r="HQ11" s="54">
        <v>882</v>
      </c>
      <c r="HR11" s="38">
        <f t="shared" ref="HR11:HR63" si="29">SUM(HF11:HQ11)</f>
        <v>9535</v>
      </c>
      <c r="HS11" s="26"/>
      <c r="HT11" s="32">
        <v>6</v>
      </c>
      <c r="HU11" s="32">
        <v>2</v>
      </c>
      <c r="HV11" s="32">
        <v>4</v>
      </c>
      <c r="HW11" s="32">
        <v>8</v>
      </c>
      <c r="HX11" s="32">
        <v>5</v>
      </c>
      <c r="HY11" s="32">
        <v>1</v>
      </c>
      <c r="HZ11" s="32">
        <v>0</v>
      </c>
      <c r="IA11" s="32">
        <v>7</v>
      </c>
      <c r="IB11" s="32">
        <v>0</v>
      </c>
      <c r="IC11" s="32">
        <v>2</v>
      </c>
      <c r="ID11" s="32">
        <v>3</v>
      </c>
      <c r="IE11" s="69">
        <v>4</v>
      </c>
      <c r="IF11" s="38">
        <f t="shared" si="2"/>
        <v>42</v>
      </c>
      <c r="IG11" s="104">
        <v>164</v>
      </c>
      <c r="IH11" s="104">
        <v>156</v>
      </c>
      <c r="II11" s="104">
        <v>233</v>
      </c>
      <c r="IJ11" s="104">
        <v>334</v>
      </c>
      <c r="IK11" s="104">
        <v>346</v>
      </c>
      <c r="IL11" s="104">
        <v>232</v>
      </c>
      <c r="IM11" s="104">
        <v>147</v>
      </c>
      <c r="IN11" s="104">
        <v>164</v>
      </c>
      <c r="IO11" s="104">
        <v>248</v>
      </c>
      <c r="IP11" s="104">
        <v>178</v>
      </c>
      <c r="IQ11" s="104">
        <v>187</v>
      </c>
      <c r="IR11" s="107">
        <v>157</v>
      </c>
      <c r="IS11" s="38">
        <f t="shared" si="3"/>
        <v>2546</v>
      </c>
      <c r="IT11" s="36">
        <f>SUM(IF11+IS11)</f>
        <v>2588</v>
      </c>
      <c r="IU11" s="26"/>
      <c r="IV11" s="32">
        <v>60</v>
      </c>
      <c r="IW11" s="32">
        <v>58</v>
      </c>
      <c r="IX11" s="32">
        <v>46</v>
      </c>
      <c r="IY11" s="32">
        <v>49</v>
      </c>
      <c r="IZ11" s="32">
        <v>43</v>
      </c>
      <c r="JA11" s="32">
        <v>56</v>
      </c>
      <c r="JB11" s="32">
        <v>55</v>
      </c>
      <c r="JC11" s="32">
        <v>61</v>
      </c>
      <c r="JD11" s="32">
        <v>65</v>
      </c>
      <c r="JE11" s="32">
        <v>53</v>
      </c>
      <c r="JF11" s="32">
        <v>48</v>
      </c>
      <c r="JG11" s="32">
        <v>46</v>
      </c>
      <c r="JH11" s="38">
        <f t="shared" si="4"/>
        <v>640</v>
      </c>
      <c r="JI11" s="109">
        <v>660.80000000000007</v>
      </c>
      <c r="JJ11" s="97">
        <v>587.20000000000005</v>
      </c>
      <c r="JK11" s="97">
        <v>676.80000000000007</v>
      </c>
      <c r="JL11" s="97">
        <v>649.6</v>
      </c>
      <c r="JM11" s="97">
        <v>1029.6000000000001</v>
      </c>
      <c r="JN11" s="97">
        <v>937.6</v>
      </c>
      <c r="JO11" s="97">
        <v>596</v>
      </c>
      <c r="JP11" s="97">
        <v>576.80000000000007</v>
      </c>
      <c r="JQ11" s="97">
        <v>713.6</v>
      </c>
      <c r="JR11" s="97">
        <v>560.80000000000007</v>
      </c>
      <c r="JS11" s="97">
        <v>520</v>
      </c>
      <c r="JT11" s="97">
        <v>576</v>
      </c>
      <c r="JU11" s="35">
        <f t="shared" si="5"/>
        <v>8084.8000000000011</v>
      </c>
      <c r="JV11" s="40">
        <f t="shared" ref="JV11:JV63" si="30">SUM(JH11+JU11)</f>
        <v>8724.8000000000011</v>
      </c>
      <c r="JW11" s="26"/>
      <c r="JX11" s="32">
        <v>0</v>
      </c>
      <c r="JY11" s="32">
        <v>0</v>
      </c>
      <c r="JZ11" s="32">
        <v>0</v>
      </c>
      <c r="KA11" s="32">
        <v>0</v>
      </c>
      <c r="KB11" s="32">
        <v>0</v>
      </c>
      <c r="KC11" s="32">
        <v>0</v>
      </c>
      <c r="KD11" s="32">
        <v>0</v>
      </c>
      <c r="KE11" s="32">
        <v>0</v>
      </c>
      <c r="KF11" s="32">
        <v>0</v>
      </c>
      <c r="KG11" s="32">
        <v>0</v>
      </c>
      <c r="KH11" s="32">
        <v>0</v>
      </c>
      <c r="KI11" s="32">
        <v>0</v>
      </c>
      <c r="KJ11" s="38">
        <f t="shared" si="6"/>
        <v>0</v>
      </c>
      <c r="KK11" s="32">
        <v>29</v>
      </c>
      <c r="KL11" s="32">
        <v>12</v>
      </c>
      <c r="KM11" s="32">
        <v>82</v>
      </c>
      <c r="KN11" s="32">
        <v>177</v>
      </c>
      <c r="KO11" s="32">
        <v>32</v>
      </c>
      <c r="KP11" s="32">
        <v>17</v>
      </c>
      <c r="KQ11" s="32">
        <v>0</v>
      </c>
      <c r="KR11" s="32">
        <v>0</v>
      </c>
      <c r="KS11" s="32">
        <v>2</v>
      </c>
      <c r="KT11" s="32">
        <v>118</v>
      </c>
      <c r="KU11" s="32">
        <v>54</v>
      </c>
      <c r="KV11" s="32">
        <v>42</v>
      </c>
      <c r="KW11" s="38">
        <f t="shared" si="7"/>
        <v>565</v>
      </c>
      <c r="KX11" s="36">
        <f t="shared" ref="KX11:KX63" si="31">SUM(KJ11+KW11)</f>
        <v>565</v>
      </c>
      <c r="KY11" s="26"/>
      <c r="KZ11" s="32">
        <v>0</v>
      </c>
      <c r="LA11" s="32">
        <v>0</v>
      </c>
      <c r="LB11" s="32">
        <v>0</v>
      </c>
      <c r="LC11" s="32">
        <v>0</v>
      </c>
      <c r="LD11" s="32">
        <v>0</v>
      </c>
      <c r="LE11" s="32">
        <v>0</v>
      </c>
      <c r="LF11" s="32">
        <v>0</v>
      </c>
      <c r="LG11" s="32">
        <v>0</v>
      </c>
      <c r="LH11" s="32">
        <v>0</v>
      </c>
      <c r="LI11" s="32">
        <v>0</v>
      </c>
      <c r="LJ11" s="32">
        <v>0</v>
      </c>
      <c r="LK11" s="69">
        <v>0</v>
      </c>
      <c r="LL11" s="38">
        <f t="shared" ref="LL11:LL63" si="32">SUM(KZ11:LK11)</f>
        <v>0</v>
      </c>
      <c r="LM11" s="26"/>
      <c r="LN11" s="71">
        <v>1097</v>
      </c>
      <c r="LO11" s="71">
        <v>1392</v>
      </c>
      <c r="LP11" s="71">
        <v>1014</v>
      </c>
      <c r="LQ11" s="71">
        <v>777</v>
      </c>
      <c r="LR11" s="71">
        <v>690</v>
      </c>
      <c r="LS11" s="71">
        <v>523</v>
      </c>
      <c r="LT11" s="71">
        <v>383</v>
      </c>
      <c r="LU11" s="45">
        <v>288</v>
      </c>
      <c r="LV11" s="45">
        <v>398</v>
      </c>
      <c r="LW11" s="45">
        <v>547</v>
      </c>
      <c r="LX11" s="45">
        <v>560</v>
      </c>
      <c r="LY11" s="45">
        <v>343</v>
      </c>
      <c r="LZ11" s="38">
        <f t="shared" si="8"/>
        <v>8012</v>
      </c>
      <c r="MA11" s="26"/>
      <c r="MB11" s="45">
        <v>493</v>
      </c>
      <c r="MC11" s="45">
        <v>1017</v>
      </c>
      <c r="MD11" s="45">
        <v>920</v>
      </c>
      <c r="ME11" s="45">
        <v>494</v>
      </c>
      <c r="MF11" s="45">
        <v>964</v>
      </c>
      <c r="MG11" s="45">
        <v>937</v>
      </c>
      <c r="MH11" s="45">
        <v>913</v>
      </c>
      <c r="MI11" s="45">
        <v>915</v>
      </c>
      <c r="MJ11" s="45">
        <v>1059</v>
      </c>
      <c r="MK11" s="45">
        <v>1092</v>
      </c>
      <c r="ML11" s="45">
        <v>808</v>
      </c>
      <c r="MM11" s="45">
        <v>698</v>
      </c>
      <c r="MN11" s="38">
        <f t="shared" si="9"/>
        <v>10310</v>
      </c>
      <c r="MO11" s="32">
        <v>2660</v>
      </c>
      <c r="MP11" s="32">
        <v>2485</v>
      </c>
      <c r="MQ11" s="32">
        <v>2524</v>
      </c>
      <c r="MR11" s="32">
        <v>1521</v>
      </c>
      <c r="MS11" s="32">
        <v>2538</v>
      </c>
      <c r="MT11" s="32">
        <v>2717</v>
      </c>
      <c r="MU11" s="32">
        <v>1663</v>
      </c>
      <c r="MV11" s="32">
        <v>1921</v>
      </c>
      <c r="MW11" s="32">
        <v>1807</v>
      </c>
      <c r="MX11" s="32">
        <v>3679</v>
      </c>
      <c r="MY11" s="32">
        <v>3231</v>
      </c>
      <c r="MZ11" s="32">
        <v>3187</v>
      </c>
      <c r="NA11" s="38">
        <f t="shared" si="10"/>
        <v>29933</v>
      </c>
      <c r="NB11" s="36">
        <f t="shared" ref="NB11:NB63" si="33">SUM(MN11+NA11)</f>
        <v>40243</v>
      </c>
      <c r="NC11" s="26"/>
      <c r="ND11" s="32">
        <v>302</v>
      </c>
      <c r="NE11" s="32">
        <v>358</v>
      </c>
      <c r="NF11" s="32">
        <v>368</v>
      </c>
      <c r="NG11" s="32">
        <v>315</v>
      </c>
      <c r="NH11" s="32">
        <v>305</v>
      </c>
      <c r="NI11" s="32">
        <v>49</v>
      </c>
      <c r="NJ11" s="32">
        <v>314</v>
      </c>
      <c r="NK11" s="32">
        <v>308</v>
      </c>
      <c r="NL11" s="32">
        <v>291</v>
      </c>
      <c r="NM11" s="32">
        <v>135</v>
      </c>
      <c r="NN11" s="32">
        <v>174</v>
      </c>
      <c r="NO11" s="32">
        <v>191</v>
      </c>
      <c r="NP11" s="118">
        <f t="shared" si="11"/>
        <v>3110</v>
      </c>
      <c r="NQ11" s="36">
        <f t="shared" ref="NQ11:NQ63" si="34">SUM(P11+AR11+BT11+CV11+DX11+HD11+IF11+KJ11)</f>
        <v>3906.8888888888887</v>
      </c>
      <c r="NR11" s="36">
        <f t="shared" ref="NR11:NR63" si="35">SUM(BE11+CG11+DI11+EK11+EZ11+FN11+GB11+GP11+HR11+IS11+JH11+KW11+LL11+LZ11+MN11+NP11)</f>
        <v>72249</v>
      </c>
      <c r="NS11" s="36">
        <f t="shared" ref="NS11:NS63" si="36">SUM(AC11+JU11+NA11)</f>
        <v>38017.800000000003</v>
      </c>
      <c r="NT11" s="36">
        <f t="shared" ref="NT11:NT63" si="37">SUM(NQ11:NS11)</f>
        <v>114173.68888888889</v>
      </c>
      <c r="NU11" s="18"/>
      <c r="NV11" s="18"/>
      <c r="NW11" s="18"/>
      <c r="NX11" s="19"/>
      <c r="NY11" s="19"/>
      <c r="NZ11" s="19"/>
      <c r="OA11" s="19"/>
      <c r="OB11" s="19"/>
      <c r="OC11" s="19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8"/>
      <c r="OR11" s="18"/>
      <c r="OS11" s="18"/>
      <c r="OT11" s="18"/>
      <c r="OU11" s="18"/>
      <c r="OV11" s="18"/>
      <c r="OW11" s="18"/>
      <c r="OX11" s="19"/>
      <c r="OY11" s="19"/>
      <c r="OZ11" s="19"/>
      <c r="PA11" s="19"/>
      <c r="PB11" s="19"/>
      <c r="PC11" s="19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8"/>
      <c r="PR11" s="18"/>
      <c r="PS11" s="18"/>
      <c r="PT11" s="18"/>
      <c r="PU11" s="18"/>
      <c r="PV11" s="18"/>
      <c r="PW11" s="18"/>
      <c r="PX11" s="19"/>
      <c r="PY11" s="19"/>
      <c r="PZ11" s="19"/>
      <c r="QA11" s="19"/>
      <c r="QB11" s="19"/>
      <c r="QC11" s="19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</row>
    <row r="12" spans="1:458" s="1" customFormat="1" ht="50.1" customHeight="1" x14ac:dyDescent="0.25">
      <c r="A12" s="120"/>
      <c r="B12" s="6" t="s">
        <v>19</v>
      </c>
      <c r="C12" s="23"/>
      <c r="D12" s="41">
        <v>35</v>
      </c>
      <c r="E12" s="41">
        <v>11</v>
      </c>
      <c r="F12" s="41">
        <v>42.777777777777779</v>
      </c>
      <c r="G12" s="41">
        <v>41</v>
      </c>
      <c r="H12" s="41">
        <v>20</v>
      </c>
      <c r="I12" s="41">
        <v>138</v>
      </c>
      <c r="J12" s="41">
        <v>36</v>
      </c>
      <c r="K12" s="41">
        <v>29</v>
      </c>
      <c r="L12" s="41">
        <v>18</v>
      </c>
      <c r="M12" s="41">
        <v>35</v>
      </c>
      <c r="N12" s="41">
        <v>26</v>
      </c>
      <c r="O12" s="41">
        <v>43</v>
      </c>
      <c r="P12" s="38">
        <f t="shared" si="12"/>
        <v>474.77777777777777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38">
        <f t="shared" ref="AC12:AC63" si="38">SUM(Q12:AB12)</f>
        <v>0</v>
      </c>
      <c r="AD12" s="36">
        <f t="shared" si="13"/>
        <v>474.77777777777777</v>
      </c>
      <c r="AE12" s="26"/>
      <c r="AF12" s="32">
        <v>0</v>
      </c>
      <c r="AG12" s="32">
        <v>0</v>
      </c>
      <c r="AH12" s="32">
        <v>1</v>
      </c>
      <c r="AI12" s="32">
        <v>3</v>
      </c>
      <c r="AJ12" s="32">
        <v>6</v>
      </c>
      <c r="AK12" s="32">
        <v>3</v>
      </c>
      <c r="AL12" s="32">
        <v>0</v>
      </c>
      <c r="AM12" s="32">
        <v>0</v>
      </c>
      <c r="AN12" s="32">
        <v>3</v>
      </c>
      <c r="AO12" s="32">
        <v>1</v>
      </c>
      <c r="AP12" s="32">
        <v>0</v>
      </c>
      <c r="AQ12" s="32">
        <v>0</v>
      </c>
      <c r="AR12" s="38">
        <f t="shared" si="14"/>
        <v>17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8">
        <f t="shared" si="15"/>
        <v>0</v>
      </c>
      <c r="BF12" s="36">
        <f t="shared" si="16"/>
        <v>17</v>
      </c>
      <c r="BG12" s="26"/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  <c r="BQ12" s="41">
        <v>0</v>
      </c>
      <c r="BR12" s="41">
        <v>0</v>
      </c>
      <c r="BS12" s="41">
        <v>0</v>
      </c>
      <c r="BT12" s="38">
        <f t="shared" si="17"/>
        <v>0</v>
      </c>
      <c r="BU12" s="54">
        <v>140</v>
      </c>
      <c r="BV12" s="54">
        <v>189</v>
      </c>
      <c r="BW12" s="54">
        <v>150</v>
      </c>
      <c r="BX12" s="54">
        <v>66</v>
      </c>
      <c r="BY12" s="54">
        <v>106</v>
      </c>
      <c r="BZ12" s="54">
        <v>89</v>
      </c>
      <c r="CA12" s="54">
        <v>43</v>
      </c>
      <c r="CB12" s="54">
        <v>72</v>
      </c>
      <c r="CC12" s="54">
        <v>86</v>
      </c>
      <c r="CD12" s="54">
        <v>88</v>
      </c>
      <c r="CE12" s="54">
        <v>59</v>
      </c>
      <c r="CF12" s="54">
        <v>141</v>
      </c>
      <c r="CG12" s="38">
        <f t="shared" si="18"/>
        <v>1229</v>
      </c>
      <c r="CH12" s="36">
        <f t="shared" si="19"/>
        <v>1229</v>
      </c>
      <c r="CI12" s="26"/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2">
        <v>0</v>
      </c>
      <c r="CS12" s="32">
        <v>0</v>
      </c>
      <c r="CT12" s="32">
        <v>0</v>
      </c>
      <c r="CU12" s="32">
        <v>0</v>
      </c>
      <c r="CV12" s="38">
        <f t="shared" si="20"/>
        <v>0</v>
      </c>
      <c r="CW12" s="54">
        <v>6</v>
      </c>
      <c r="CX12" s="54">
        <v>56</v>
      </c>
      <c r="CY12" s="54">
        <v>22</v>
      </c>
      <c r="CZ12" s="54">
        <v>14</v>
      </c>
      <c r="DA12" s="54">
        <v>75</v>
      </c>
      <c r="DB12" s="54">
        <v>60</v>
      </c>
      <c r="DC12" s="54">
        <v>24</v>
      </c>
      <c r="DD12" s="54">
        <v>34</v>
      </c>
      <c r="DE12" s="54">
        <v>21</v>
      </c>
      <c r="DF12" s="54">
        <v>30</v>
      </c>
      <c r="DG12" s="54">
        <v>15</v>
      </c>
      <c r="DH12" s="54">
        <v>14</v>
      </c>
      <c r="DI12" s="38">
        <f t="shared" si="21"/>
        <v>371</v>
      </c>
      <c r="DJ12" s="36">
        <f t="shared" si="22"/>
        <v>371</v>
      </c>
      <c r="DK12" s="26"/>
      <c r="DL12" s="75">
        <v>0</v>
      </c>
      <c r="DM12" s="75">
        <v>0</v>
      </c>
      <c r="DN12" s="75">
        <v>0</v>
      </c>
      <c r="DO12" s="75">
        <v>0</v>
      </c>
      <c r="DP12" s="75">
        <v>0</v>
      </c>
      <c r="DQ12" s="75">
        <v>0</v>
      </c>
      <c r="DR12" s="75">
        <v>0</v>
      </c>
      <c r="DS12" s="75">
        <v>0</v>
      </c>
      <c r="DT12" s="75">
        <v>0</v>
      </c>
      <c r="DU12" s="75">
        <v>0</v>
      </c>
      <c r="DV12" s="75">
        <v>0</v>
      </c>
      <c r="DW12" s="75">
        <v>0</v>
      </c>
      <c r="DX12" s="38">
        <f t="shared" si="0"/>
        <v>0</v>
      </c>
      <c r="DY12" s="64">
        <v>9</v>
      </c>
      <c r="DZ12" s="64">
        <v>13</v>
      </c>
      <c r="EA12" s="64">
        <v>5</v>
      </c>
      <c r="EB12" s="64">
        <v>10</v>
      </c>
      <c r="EC12" s="64">
        <v>25</v>
      </c>
      <c r="ED12" s="64">
        <v>37</v>
      </c>
      <c r="EE12" s="64">
        <v>31</v>
      </c>
      <c r="EF12" s="64">
        <v>4</v>
      </c>
      <c r="EG12" s="64">
        <v>3</v>
      </c>
      <c r="EH12" s="64">
        <v>32</v>
      </c>
      <c r="EI12" s="64">
        <v>32</v>
      </c>
      <c r="EJ12" s="64">
        <v>38</v>
      </c>
      <c r="EK12" s="38">
        <f t="shared" si="23"/>
        <v>239</v>
      </c>
      <c r="EL12" s="36">
        <f t="shared" si="1"/>
        <v>239</v>
      </c>
      <c r="EM12" s="26"/>
      <c r="EN12" s="32">
        <v>24</v>
      </c>
      <c r="EO12" s="32">
        <v>54</v>
      </c>
      <c r="EP12" s="32">
        <v>18</v>
      </c>
      <c r="EQ12" s="32">
        <v>68</v>
      </c>
      <c r="ER12" s="32">
        <v>62</v>
      </c>
      <c r="ES12" s="32">
        <v>46</v>
      </c>
      <c r="ET12" s="32">
        <v>46</v>
      </c>
      <c r="EU12" s="32">
        <v>120</v>
      </c>
      <c r="EV12" s="32">
        <v>78</v>
      </c>
      <c r="EW12" s="32">
        <v>42</v>
      </c>
      <c r="EX12" s="32">
        <v>80</v>
      </c>
      <c r="EY12" s="32">
        <v>84</v>
      </c>
      <c r="EZ12" s="38">
        <f t="shared" si="24"/>
        <v>722</v>
      </c>
      <c r="FA12" s="26"/>
      <c r="FB12" s="104">
        <v>144</v>
      </c>
      <c r="FC12" s="104">
        <v>291</v>
      </c>
      <c r="FD12" s="104">
        <v>332</v>
      </c>
      <c r="FE12" s="104">
        <v>286</v>
      </c>
      <c r="FF12" s="104">
        <v>404</v>
      </c>
      <c r="FG12" s="104">
        <v>343</v>
      </c>
      <c r="FH12" s="104">
        <v>263</v>
      </c>
      <c r="FI12" s="104">
        <v>295</v>
      </c>
      <c r="FJ12" s="104">
        <v>643</v>
      </c>
      <c r="FK12" s="104">
        <v>321</v>
      </c>
      <c r="FL12" s="104">
        <v>381</v>
      </c>
      <c r="FM12" s="104">
        <v>238</v>
      </c>
      <c r="FN12" s="38">
        <f t="shared" si="25"/>
        <v>3941</v>
      </c>
      <c r="FO12" s="26"/>
      <c r="FP12" s="32">
        <v>30</v>
      </c>
      <c r="FQ12" s="32">
        <v>31</v>
      </c>
      <c r="FR12" s="32">
        <v>14</v>
      </c>
      <c r="FS12" s="32">
        <v>14</v>
      </c>
      <c r="FT12" s="32">
        <v>25</v>
      </c>
      <c r="FU12" s="32">
        <v>27</v>
      </c>
      <c r="FV12" s="32">
        <v>29</v>
      </c>
      <c r="FW12" s="32">
        <v>3</v>
      </c>
      <c r="FX12" s="32">
        <v>15</v>
      </c>
      <c r="FY12" s="32">
        <v>17</v>
      </c>
      <c r="FZ12" s="32">
        <v>12</v>
      </c>
      <c r="GA12" s="32">
        <v>15</v>
      </c>
      <c r="GB12" s="38">
        <f t="shared" si="26"/>
        <v>232</v>
      </c>
      <c r="GC12" s="26"/>
      <c r="GD12" s="101">
        <v>9</v>
      </c>
      <c r="GE12" s="101">
        <v>38</v>
      </c>
      <c r="GF12" s="101">
        <v>3</v>
      </c>
      <c r="GG12" s="101">
        <v>17</v>
      </c>
      <c r="GH12" s="101">
        <v>39</v>
      </c>
      <c r="GI12" s="101">
        <v>48</v>
      </c>
      <c r="GJ12" s="101">
        <v>30</v>
      </c>
      <c r="GK12" s="101">
        <v>87</v>
      </c>
      <c r="GL12" s="101">
        <v>41</v>
      </c>
      <c r="GM12" s="101">
        <v>39</v>
      </c>
      <c r="GN12" s="101">
        <v>47</v>
      </c>
      <c r="GO12" s="101">
        <v>49</v>
      </c>
      <c r="GP12" s="38">
        <f t="shared" si="27"/>
        <v>447</v>
      </c>
      <c r="GQ12" s="26"/>
      <c r="GR12" s="32">
        <v>0</v>
      </c>
      <c r="GS12" s="32">
        <v>0</v>
      </c>
      <c r="GT12" s="32">
        <v>0</v>
      </c>
      <c r="GU12" s="32">
        <v>0</v>
      </c>
      <c r="GV12" s="32">
        <v>0</v>
      </c>
      <c r="GW12" s="32">
        <v>0</v>
      </c>
      <c r="GX12" s="32">
        <v>0</v>
      </c>
      <c r="GY12" s="32">
        <v>0</v>
      </c>
      <c r="GZ12" s="32">
        <v>0</v>
      </c>
      <c r="HA12" s="32">
        <v>0</v>
      </c>
      <c r="HB12" s="32">
        <v>0</v>
      </c>
      <c r="HC12" s="32">
        <v>0</v>
      </c>
      <c r="HD12" s="38">
        <f t="shared" si="28"/>
        <v>0</v>
      </c>
      <c r="HE12" s="26"/>
      <c r="HF12" s="54">
        <v>57</v>
      </c>
      <c r="HG12" s="54">
        <v>61</v>
      </c>
      <c r="HH12" s="54">
        <v>22</v>
      </c>
      <c r="HI12" s="54">
        <v>47</v>
      </c>
      <c r="HJ12" s="54">
        <v>62</v>
      </c>
      <c r="HK12" s="54">
        <v>40</v>
      </c>
      <c r="HL12" s="54">
        <v>21</v>
      </c>
      <c r="HM12" s="54">
        <v>21</v>
      </c>
      <c r="HN12" s="54">
        <v>37</v>
      </c>
      <c r="HO12" s="54">
        <v>18</v>
      </c>
      <c r="HP12" s="54">
        <v>45</v>
      </c>
      <c r="HQ12" s="54">
        <v>23</v>
      </c>
      <c r="HR12" s="38">
        <f t="shared" si="29"/>
        <v>454</v>
      </c>
      <c r="HS12" s="26"/>
      <c r="HT12" s="32">
        <v>0</v>
      </c>
      <c r="HU12" s="32">
        <v>1</v>
      </c>
      <c r="HV12" s="32">
        <v>2</v>
      </c>
      <c r="HW12" s="32">
        <v>3</v>
      </c>
      <c r="HX12" s="32">
        <v>0</v>
      </c>
      <c r="HY12" s="32">
        <v>0</v>
      </c>
      <c r="HZ12" s="32">
        <v>1</v>
      </c>
      <c r="IA12" s="32">
        <v>2</v>
      </c>
      <c r="IB12" s="32">
        <v>2</v>
      </c>
      <c r="IC12" s="32">
        <v>3</v>
      </c>
      <c r="ID12" s="32">
        <v>0</v>
      </c>
      <c r="IE12" s="69">
        <v>4</v>
      </c>
      <c r="IF12" s="38">
        <f t="shared" si="2"/>
        <v>18</v>
      </c>
      <c r="IG12" s="104">
        <v>33</v>
      </c>
      <c r="IH12" s="104">
        <v>23</v>
      </c>
      <c r="II12" s="104">
        <v>25</v>
      </c>
      <c r="IJ12" s="104">
        <v>76</v>
      </c>
      <c r="IK12" s="104">
        <v>99</v>
      </c>
      <c r="IL12" s="104">
        <v>87</v>
      </c>
      <c r="IM12" s="104">
        <v>78</v>
      </c>
      <c r="IN12" s="104">
        <v>34</v>
      </c>
      <c r="IO12" s="104">
        <v>49</v>
      </c>
      <c r="IP12" s="104">
        <v>45</v>
      </c>
      <c r="IQ12" s="104">
        <v>69</v>
      </c>
      <c r="IR12" s="107">
        <v>39</v>
      </c>
      <c r="IS12" s="38">
        <f t="shared" si="3"/>
        <v>657</v>
      </c>
      <c r="IT12" s="36">
        <f t="shared" ref="IT12:IT63" si="39">SUM(IF12+IS12)</f>
        <v>675</v>
      </c>
      <c r="IU12" s="26"/>
      <c r="IV12" s="32">
        <v>20</v>
      </c>
      <c r="IW12" s="32">
        <v>26</v>
      </c>
      <c r="IX12" s="32">
        <v>23</v>
      </c>
      <c r="IY12" s="32">
        <v>26</v>
      </c>
      <c r="IZ12" s="32">
        <v>32</v>
      </c>
      <c r="JA12" s="32">
        <v>35</v>
      </c>
      <c r="JB12" s="32">
        <v>36</v>
      </c>
      <c r="JC12" s="32">
        <v>26</v>
      </c>
      <c r="JD12" s="32">
        <v>28</v>
      </c>
      <c r="JE12" s="32">
        <v>35</v>
      </c>
      <c r="JF12" s="32">
        <v>39</v>
      </c>
      <c r="JG12" s="32">
        <v>35</v>
      </c>
      <c r="JH12" s="38">
        <f t="shared" si="4"/>
        <v>361</v>
      </c>
      <c r="JI12" s="109">
        <v>77.600000000000009</v>
      </c>
      <c r="JJ12" s="97">
        <v>105.60000000000001</v>
      </c>
      <c r="JK12" s="97">
        <v>128.80000000000001</v>
      </c>
      <c r="JL12" s="97">
        <v>116.80000000000001</v>
      </c>
      <c r="JM12" s="97">
        <v>198.4</v>
      </c>
      <c r="JN12" s="97">
        <v>187.20000000000002</v>
      </c>
      <c r="JO12" s="97">
        <v>135.20000000000002</v>
      </c>
      <c r="JP12" s="97">
        <v>117.60000000000001</v>
      </c>
      <c r="JQ12" s="97">
        <v>133.6</v>
      </c>
      <c r="JR12" s="97">
        <v>87.2</v>
      </c>
      <c r="JS12" s="97">
        <v>111.2</v>
      </c>
      <c r="JT12" s="97">
        <v>157.60000000000002</v>
      </c>
      <c r="JU12" s="35">
        <f t="shared" si="5"/>
        <v>1556.8000000000002</v>
      </c>
      <c r="JV12" s="55">
        <f t="shared" si="30"/>
        <v>1917.8000000000002</v>
      </c>
      <c r="JW12" s="26"/>
      <c r="JX12" s="32">
        <v>0</v>
      </c>
      <c r="JY12" s="32">
        <v>0</v>
      </c>
      <c r="JZ12" s="32">
        <v>0</v>
      </c>
      <c r="KA12" s="32">
        <v>0</v>
      </c>
      <c r="KB12" s="32">
        <v>0</v>
      </c>
      <c r="KC12" s="32">
        <v>0</v>
      </c>
      <c r="KD12" s="32">
        <v>0</v>
      </c>
      <c r="KE12" s="32">
        <v>0</v>
      </c>
      <c r="KF12" s="32">
        <v>0</v>
      </c>
      <c r="KG12" s="32">
        <v>0</v>
      </c>
      <c r="KH12" s="32">
        <v>0</v>
      </c>
      <c r="KI12" s="32">
        <v>0</v>
      </c>
      <c r="KJ12" s="38">
        <f t="shared" si="6"/>
        <v>0</v>
      </c>
      <c r="KK12" s="32">
        <v>3</v>
      </c>
      <c r="KL12" s="32">
        <v>15</v>
      </c>
      <c r="KM12" s="32">
        <v>35</v>
      </c>
      <c r="KN12" s="32">
        <v>24</v>
      </c>
      <c r="KO12" s="32">
        <v>5</v>
      </c>
      <c r="KP12" s="32">
        <v>6</v>
      </c>
      <c r="KQ12" s="32">
        <v>0</v>
      </c>
      <c r="KR12" s="32">
        <v>4</v>
      </c>
      <c r="KS12" s="32">
        <v>9</v>
      </c>
      <c r="KT12" s="32">
        <v>11</v>
      </c>
      <c r="KU12" s="32">
        <v>5</v>
      </c>
      <c r="KV12" s="32">
        <v>3</v>
      </c>
      <c r="KW12" s="38">
        <f t="shared" si="7"/>
        <v>120</v>
      </c>
      <c r="KX12" s="36">
        <f t="shared" si="31"/>
        <v>120</v>
      </c>
      <c r="KY12" s="26"/>
      <c r="KZ12" s="32">
        <v>0</v>
      </c>
      <c r="LA12" s="32">
        <v>0</v>
      </c>
      <c r="LB12" s="32">
        <v>0</v>
      </c>
      <c r="LC12" s="32">
        <v>0</v>
      </c>
      <c r="LD12" s="32">
        <v>0</v>
      </c>
      <c r="LE12" s="32">
        <v>0</v>
      </c>
      <c r="LF12" s="32">
        <v>0</v>
      </c>
      <c r="LG12" s="32">
        <v>0</v>
      </c>
      <c r="LH12" s="32">
        <v>0</v>
      </c>
      <c r="LI12" s="32">
        <v>0</v>
      </c>
      <c r="LJ12" s="32">
        <v>0</v>
      </c>
      <c r="LK12" s="69">
        <v>0</v>
      </c>
      <c r="LL12" s="38">
        <f t="shared" si="32"/>
        <v>0</v>
      </c>
      <c r="LM12" s="26"/>
      <c r="LN12" s="71">
        <v>10</v>
      </c>
      <c r="LO12" s="71">
        <v>18</v>
      </c>
      <c r="LP12" s="71">
        <v>28</v>
      </c>
      <c r="LQ12" s="71">
        <v>32</v>
      </c>
      <c r="LR12" s="71">
        <v>30</v>
      </c>
      <c r="LS12" s="71">
        <v>8</v>
      </c>
      <c r="LT12" s="71">
        <v>25</v>
      </c>
      <c r="LU12" s="45">
        <v>33</v>
      </c>
      <c r="LV12" s="45">
        <v>13</v>
      </c>
      <c r="LW12" s="45">
        <v>12</v>
      </c>
      <c r="LX12" s="45">
        <v>23</v>
      </c>
      <c r="LY12" s="45">
        <v>14</v>
      </c>
      <c r="LZ12" s="38">
        <f t="shared" si="8"/>
        <v>246</v>
      </c>
      <c r="MA12" s="26"/>
      <c r="MB12" s="45">
        <v>32</v>
      </c>
      <c r="MC12" s="45">
        <v>55</v>
      </c>
      <c r="MD12" s="45">
        <v>21</v>
      </c>
      <c r="ME12" s="45">
        <v>27</v>
      </c>
      <c r="MF12" s="45">
        <v>82</v>
      </c>
      <c r="MG12" s="45">
        <v>48</v>
      </c>
      <c r="MH12" s="45">
        <v>63</v>
      </c>
      <c r="MI12" s="45">
        <v>61</v>
      </c>
      <c r="MJ12" s="45">
        <v>64</v>
      </c>
      <c r="MK12" s="45">
        <v>67</v>
      </c>
      <c r="ML12" s="45">
        <v>130</v>
      </c>
      <c r="MM12" s="45">
        <v>80</v>
      </c>
      <c r="MN12" s="38">
        <f t="shared" si="9"/>
        <v>730</v>
      </c>
      <c r="MO12" s="32">
        <v>221</v>
      </c>
      <c r="MP12" s="32">
        <v>196</v>
      </c>
      <c r="MQ12" s="32">
        <v>244</v>
      </c>
      <c r="MR12" s="32">
        <v>199</v>
      </c>
      <c r="MS12" s="32">
        <v>501</v>
      </c>
      <c r="MT12" s="32">
        <v>580</v>
      </c>
      <c r="MU12" s="32">
        <v>369</v>
      </c>
      <c r="MV12" s="32">
        <v>388</v>
      </c>
      <c r="MW12" s="32">
        <v>286</v>
      </c>
      <c r="MX12" s="32">
        <v>394</v>
      </c>
      <c r="MY12" s="32">
        <v>631</v>
      </c>
      <c r="MZ12" s="32">
        <v>456</v>
      </c>
      <c r="NA12" s="38">
        <f t="shared" si="10"/>
        <v>4465</v>
      </c>
      <c r="NB12" s="36">
        <f t="shared" si="33"/>
        <v>5195</v>
      </c>
      <c r="NC12" s="26"/>
      <c r="ND12" s="32">
        <v>0</v>
      </c>
      <c r="NE12" s="32">
        <v>0</v>
      </c>
      <c r="NF12" s="32">
        <v>0</v>
      </c>
      <c r="NG12" s="32">
        <v>20</v>
      </c>
      <c r="NH12" s="32">
        <v>43</v>
      </c>
      <c r="NI12" s="32">
        <v>0</v>
      </c>
      <c r="NJ12" s="32">
        <v>15</v>
      </c>
      <c r="NK12" s="32">
        <v>19</v>
      </c>
      <c r="NL12" s="32">
        <v>33</v>
      </c>
      <c r="NM12" s="32">
        <v>2</v>
      </c>
      <c r="NN12" s="32">
        <v>53</v>
      </c>
      <c r="NO12" s="32">
        <v>121</v>
      </c>
      <c r="NP12" s="118">
        <f t="shared" si="11"/>
        <v>306</v>
      </c>
      <c r="NQ12" s="36">
        <f t="shared" si="34"/>
        <v>509.77777777777777</v>
      </c>
      <c r="NR12" s="36">
        <f t="shared" si="35"/>
        <v>10055</v>
      </c>
      <c r="NS12" s="36">
        <f t="shared" si="36"/>
        <v>6021.8</v>
      </c>
      <c r="NT12" s="36">
        <f t="shared" si="37"/>
        <v>16586.577777777777</v>
      </c>
      <c r="NU12" s="18"/>
      <c r="NV12" s="18"/>
      <c r="NW12" s="18"/>
      <c r="NX12" s="19"/>
      <c r="NY12" s="19"/>
      <c r="NZ12" s="19"/>
      <c r="OA12" s="19"/>
      <c r="OB12" s="19"/>
      <c r="OC12" s="19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8"/>
      <c r="OR12" s="18"/>
      <c r="OS12" s="18"/>
      <c r="OT12" s="18"/>
      <c r="OU12" s="18"/>
      <c r="OV12" s="18"/>
      <c r="OW12" s="18"/>
      <c r="OX12" s="19"/>
      <c r="OY12" s="19"/>
      <c r="OZ12" s="19"/>
      <c r="PA12" s="19"/>
      <c r="PB12" s="19"/>
      <c r="PC12" s="19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8"/>
      <c r="PR12" s="18"/>
      <c r="PS12" s="18"/>
      <c r="PT12" s="18"/>
      <c r="PU12" s="18"/>
      <c r="PV12" s="18"/>
      <c r="PW12" s="18"/>
      <c r="PX12" s="19"/>
      <c r="PY12" s="19"/>
      <c r="PZ12" s="19"/>
      <c r="QA12" s="19"/>
      <c r="QB12" s="19"/>
      <c r="QC12" s="19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</row>
    <row r="13" spans="1:458" s="1" customFormat="1" ht="50.1" customHeight="1" x14ac:dyDescent="0.25">
      <c r="A13" s="120"/>
      <c r="B13" s="6" t="s">
        <v>20</v>
      </c>
      <c r="C13" s="23"/>
      <c r="D13" s="42">
        <f>SUM(D10:D12)</f>
        <v>768</v>
      </c>
      <c r="E13" s="42">
        <f t="shared" ref="E13:P13" si="40">SUM(E10:E12)</f>
        <v>1031</v>
      </c>
      <c r="F13" s="42">
        <f t="shared" si="40"/>
        <v>2855.333333333333</v>
      </c>
      <c r="G13" s="42">
        <f t="shared" si="40"/>
        <v>1179</v>
      </c>
      <c r="H13" s="42">
        <f t="shared" si="40"/>
        <v>889</v>
      </c>
      <c r="I13" s="42">
        <f t="shared" si="40"/>
        <v>4440</v>
      </c>
      <c r="J13" s="42">
        <f t="shared" si="40"/>
        <v>4043</v>
      </c>
      <c r="K13" s="42">
        <f t="shared" si="40"/>
        <v>3850</v>
      </c>
      <c r="L13" s="42">
        <f t="shared" si="40"/>
        <v>3821</v>
      </c>
      <c r="M13" s="42">
        <f t="shared" si="40"/>
        <v>4169</v>
      </c>
      <c r="N13" s="42">
        <f t="shared" si="40"/>
        <v>2154</v>
      </c>
      <c r="O13" s="42">
        <f t="shared" si="40"/>
        <v>982</v>
      </c>
      <c r="P13" s="38">
        <f t="shared" si="40"/>
        <v>30181.333333333332</v>
      </c>
      <c r="Q13" s="45">
        <f t="shared" ref="Q13:BD13" si="41">SUM(Q10:Q12)</f>
        <v>0</v>
      </c>
      <c r="R13" s="45">
        <f t="shared" si="41"/>
        <v>0</v>
      </c>
      <c r="S13" s="45">
        <f t="shared" si="41"/>
        <v>0</v>
      </c>
      <c r="T13" s="45">
        <f t="shared" si="41"/>
        <v>0</v>
      </c>
      <c r="U13" s="45">
        <f t="shared" si="41"/>
        <v>0</v>
      </c>
      <c r="V13" s="45">
        <f t="shared" si="41"/>
        <v>0</v>
      </c>
      <c r="W13" s="45">
        <f t="shared" si="41"/>
        <v>0</v>
      </c>
      <c r="X13" s="45">
        <f t="shared" si="41"/>
        <v>0</v>
      </c>
      <c r="Y13" s="45">
        <f t="shared" si="41"/>
        <v>0</v>
      </c>
      <c r="Z13" s="45">
        <f t="shared" si="41"/>
        <v>0</v>
      </c>
      <c r="AA13" s="45">
        <f t="shared" si="41"/>
        <v>0</v>
      </c>
      <c r="AB13" s="45">
        <f t="shared" si="41"/>
        <v>0</v>
      </c>
      <c r="AC13" s="38">
        <f t="shared" si="38"/>
        <v>0</v>
      </c>
      <c r="AD13" s="36">
        <f t="shared" si="13"/>
        <v>30181.333333333332</v>
      </c>
      <c r="AE13" s="43"/>
      <c r="AF13" s="32">
        <f>SUM(AF10:AF12)</f>
        <v>120</v>
      </c>
      <c r="AG13" s="32">
        <f t="shared" ref="AG13:AQ13" si="42">SUM(AG10:AG12)</f>
        <v>134</v>
      </c>
      <c r="AH13" s="32">
        <f t="shared" si="42"/>
        <v>125</v>
      </c>
      <c r="AI13" s="32">
        <f t="shared" si="42"/>
        <v>145</v>
      </c>
      <c r="AJ13" s="32">
        <f t="shared" si="42"/>
        <v>134</v>
      </c>
      <c r="AK13" s="32">
        <f t="shared" si="42"/>
        <v>139</v>
      </c>
      <c r="AL13" s="32">
        <f t="shared" si="42"/>
        <v>137</v>
      </c>
      <c r="AM13" s="32">
        <f t="shared" si="42"/>
        <v>140</v>
      </c>
      <c r="AN13" s="32">
        <f t="shared" si="42"/>
        <v>129</v>
      </c>
      <c r="AO13" s="32">
        <f t="shared" si="42"/>
        <v>151</v>
      </c>
      <c r="AP13" s="32">
        <f t="shared" si="42"/>
        <v>129</v>
      </c>
      <c r="AQ13" s="32">
        <f t="shared" si="42"/>
        <v>137</v>
      </c>
      <c r="AR13" s="38">
        <f t="shared" si="14"/>
        <v>1620</v>
      </c>
      <c r="AS13" s="46">
        <f>SUM(AS10:AS12)</f>
        <v>0</v>
      </c>
      <c r="AT13" s="46">
        <f t="shared" si="41"/>
        <v>0</v>
      </c>
      <c r="AU13" s="46">
        <f t="shared" si="41"/>
        <v>0</v>
      </c>
      <c r="AV13" s="46">
        <f t="shared" si="41"/>
        <v>0</v>
      </c>
      <c r="AW13" s="46">
        <f t="shared" si="41"/>
        <v>0</v>
      </c>
      <c r="AX13" s="46">
        <f t="shared" si="41"/>
        <v>0</v>
      </c>
      <c r="AY13" s="46">
        <f t="shared" si="41"/>
        <v>0</v>
      </c>
      <c r="AZ13" s="46">
        <f t="shared" si="41"/>
        <v>0</v>
      </c>
      <c r="BA13" s="46">
        <f t="shared" si="41"/>
        <v>0</v>
      </c>
      <c r="BB13" s="46">
        <f t="shared" si="41"/>
        <v>0</v>
      </c>
      <c r="BC13" s="46">
        <f t="shared" si="41"/>
        <v>0</v>
      </c>
      <c r="BD13" s="46">
        <f t="shared" si="41"/>
        <v>0</v>
      </c>
      <c r="BE13" s="38">
        <f t="shared" si="15"/>
        <v>0</v>
      </c>
      <c r="BF13" s="36">
        <f>SUM(AR13+BE13)</f>
        <v>1620</v>
      </c>
      <c r="BG13" s="43"/>
      <c r="BH13" s="41">
        <f>SUM(BH10:BH12)</f>
        <v>0</v>
      </c>
      <c r="BI13" s="41">
        <f t="shared" ref="BI13:BR13" si="43">SUM(BI10:BI12)</f>
        <v>0</v>
      </c>
      <c r="BJ13" s="41">
        <f t="shared" si="43"/>
        <v>0</v>
      </c>
      <c r="BK13" s="41">
        <f t="shared" si="43"/>
        <v>0</v>
      </c>
      <c r="BL13" s="41">
        <f t="shared" si="43"/>
        <v>0</v>
      </c>
      <c r="BM13" s="41">
        <f t="shared" si="43"/>
        <v>0</v>
      </c>
      <c r="BN13" s="41">
        <f t="shared" si="43"/>
        <v>0</v>
      </c>
      <c r="BO13" s="41">
        <f t="shared" si="43"/>
        <v>0</v>
      </c>
      <c r="BP13" s="41">
        <f t="shared" si="43"/>
        <v>0</v>
      </c>
      <c r="BQ13" s="41">
        <f t="shared" si="43"/>
        <v>0</v>
      </c>
      <c r="BR13" s="41">
        <f t="shared" si="43"/>
        <v>0</v>
      </c>
      <c r="BS13" s="41">
        <f>SUM(BS10:BS12)</f>
        <v>0</v>
      </c>
      <c r="BT13" s="38">
        <f t="shared" si="17"/>
        <v>0</v>
      </c>
      <c r="BU13" s="41">
        <f t="shared" ref="BU13:CF13" si="44">SUM(BU10:BU12)</f>
        <v>1687</v>
      </c>
      <c r="BV13" s="41">
        <f t="shared" si="44"/>
        <v>1702</v>
      </c>
      <c r="BW13" s="41">
        <f t="shared" si="44"/>
        <v>2449</v>
      </c>
      <c r="BX13" s="41">
        <f t="shared" si="44"/>
        <v>1797</v>
      </c>
      <c r="BY13" s="41">
        <f t="shared" si="44"/>
        <v>1664</v>
      </c>
      <c r="BZ13" s="41">
        <f t="shared" si="44"/>
        <v>1350</v>
      </c>
      <c r="CA13" s="41">
        <f t="shared" si="44"/>
        <v>1518</v>
      </c>
      <c r="CB13" s="41">
        <f t="shared" si="44"/>
        <v>1608</v>
      </c>
      <c r="CC13" s="41">
        <f t="shared" si="44"/>
        <v>1986</v>
      </c>
      <c r="CD13" s="41">
        <f t="shared" si="44"/>
        <v>2204</v>
      </c>
      <c r="CE13" s="41">
        <f t="shared" si="44"/>
        <v>1897</v>
      </c>
      <c r="CF13" s="41">
        <f t="shared" si="44"/>
        <v>1514</v>
      </c>
      <c r="CG13" s="38">
        <f>SUM(BU13:CF13)</f>
        <v>21376</v>
      </c>
      <c r="CH13" s="36">
        <f>SUM(BT13+CG13)</f>
        <v>21376</v>
      </c>
      <c r="CI13" s="43"/>
      <c r="CJ13" s="71">
        <f t="shared" ref="CJ13:CT13" si="45">SUM(CJ10:CJ12)</f>
        <v>0</v>
      </c>
      <c r="CK13" s="71">
        <f t="shared" si="45"/>
        <v>0</v>
      </c>
      <c r="CL13" s="71">
        <f t="shared" si="45"/>
        <v>0</v>
      </c>
      <c r="CM13" s="71">
        <f t="shared" si="45"/>
        <v>0</v>
      </c>
      <c r="CN13" s="71">
        <f t="shared" si="45"/>
        <v>0</v>
      </c>
      <c r="CO13" s="71">
        <f t="shared" si="45"/>
        <v>0</v>
      </c>
      <c r="CP13" s="71">
        <f t="shared" si="45"/>
        <v>0</v>
      </c>
      <c r="CQ13" s="71">
        <f t="shared" si="45"/>
        <v>0</v>
      </c>
      <c r="CR13" s="71">
        <f t="shared" si="45"/>
        <v>0</v>
      </c>
      <c r="CS13" s="71">
        <f t="shared" si="45"/>
        <v>0</v>
      </c>
      <c r="CT13" s="71">
        <f t="shared" si="45"/>
        <v>0</v>
      </c>
      <c r="CU13" s="71">
        <f>SUM(CU10:CU12)</f>
        <v>0</v>
      </c>
      <c r="CV13" s="38">
        <f t="shared" si="20"/>
        <v>0</v>
      </c>
      <c r="CW13" s="71">
        <f t="shared" ref="CW13:DH13" si="46">SUM(CW10:CW12)</f>
        <v>1524</v>
      </c>
      <c r="CX13" s="71">
        <f t="shared" si="46"/>
        <v>1462</v>
      </c>
      <c r="CY13" s="71">
        <f t="shared" si="46"/>
        <v>1613</v>
      </c>
      <c r="CZ13" s="71">
        <f t="shared" si="46"/>
        <v>1145</v>
      </c>
      <c r="DA13" s="71">
        <f t="shared" si="46"/>
        <v>1579</v>
      </c>
      <c r="DB13" s="71">
        <f t="shared" si="46"/>
        <v>1449</v>
      </c>
      <c r="DC13" s="71">
        <f t="shared" si="46"/>
        <v>1565</v>
      </c>
      <c r="DD13" s="71">
        <f t="shared" si="46"/>
        <v>1598</v>
      </c>
      <c r="DE13" s="71">
        <f t="shared" si="46"/>
        <v>1643</v>
      </c>
      <c r="DF13" s="71">
        <f t="shared" si="46"/>
        <v>1704</v>
      </c>
      <c r="DG13" s="71">
        <f t="shared" si="46"/>
        <v>1407</v>
      </c>
      <c r="DH13" s="71">
        <f t="shared" si="46"/>
        <v>1271</v>
      </c>
      <c r="DI13" s="38">
        <f t="shared" si="21"/>
        <v>17960</v>
      </c>
      <c r="DJ13" s="36">
        <f t="shared" si="22"/>
        <v>17960</v>
      </c>
      <c r="DK13" s="43"/>
      <c r="DL13" s="32">
        <f>SUM(DL10:DL12)</f>
        <v>1241</v>
      </c>
      <c r="DM13" s="32">
        <f t="shared" ref="DM13:DW13" si="47">SUM(DM10:DM12)</f>
        <v>1295</v>
      </c>
      <c r="DN13" s="32">
        <f t="shared" si="47"/>
        <v>1193</v>
      </c>
      <c r="DO13" s="32">
        <f t="shared" si="47"/>
        <v>1107</v>
      </c>
      <c r="DP13" s="32">
        <f t="shared" si="47"/>
        <v>1199</v>
      </c>
      <c r="DQ13" s="32">
        <f t="shared" si="47"/>
        <v>1414</v>
      </c>
      <c r="DR13" s="32">
        <f t="shared" si="47"/>
        <v>906</v>
      </c>
      <c r="DS13" s="32">
        <f t="shared" si="47"/>
        <v>827</v>
      </c>
      <c r="DT13" s="32">
        <f t="shared" si="47"/>
        <v>918</v>
      </c>
      <c r="DU13" s="32">
        <f t="shared" si="47"/>
        <v>1023</v>
      </c>
      <c r="DV13" s="32">
        <f t="shared" si="47"/>
        <v>853</v>
      </c>
      <c r="DW13" s="32">
        <f t="shared" si="47"/>
        <v>770</v>
      </c>
      <c r="DX13" s="38">
        <f t="shared" si="0"/>
        <v>12746</v>
      </c>
      <c r="DY13" s="62">
        <f>SUM(DY10:DY12)</f>
        <v>3033</v>
      </c>
      <c r="DZ13" s="62">
        <f t="shared" ref="DZ13:EJ13" si="48">SUM(DZ10:DZ12)</f>
        <v>4241</v>
      </c>
      <c r="EA13" s="62">
        <f t="shared" si="48"/>
        <v>3664</v>
      </c>
      <c r="EB13" s="62">
        <f t="shared" si="48"/>
        <v>3483</v>
      </c>
      <c r="EC13" s="62">
        <f t="shared" si="48"/>
        <v>2866</v>
      </c>
      <c r="ED13" s="62">
        <f t="shared" si="48"/>
        <v>3587</v>
      </c>
      <c r="EE13" s="62">
        <f t="shared" si="48"/>
        <v>3346</v>
      </c>
      <c r="EF13" s="62">
        <f t="shared" si="48"/>
        <v>3174</v>
      </c>
      <c r="EG13" s="62">
        <f t="shared" si="48"/>
        <v>2348</v>
      </c>
      <c r="EH13" s="62">
        <f t="shared" si="48"/>
        <v>2832</v>
      </c>
      <c r="EI13" s="62">
        <f t="shared" si="48"/>
        <v>2247</v>
      </c>
      <c r="EJ13" s="62">
        <f t="shared" si="48"/>
        <v>2002</v>
      </c>
      <c r="EK13" s="38">
        <f t="shared" si="23"/>
        <v>36823</v>
      </c>
      <c r="EL13" s="89">
        <f t="shared" ref="EL13" si="49">SUM(EL10:EL12)</f>
        <v>49569</v>
      </c>
      <c r="EM13" s="43"/>
      <c r="EN13" s="32">
        <f>SUM(EN10:EN12)</f>
        <v>2520</v>
      </c>
      <c r="EO13" s="32">
        <f t="shared" ref="EO13:EY13" si="50">SUM(EO10:EO12)</f>
        <v>2412</v>
      </c>
      <c r="EP13" s="32">
        <f t="shared" si="50"/>
        <v>2724</v>
      </c>
      <c r="EQ13" s="32">
        <f t="shared" si="50"/>
        <v>2222</v>
      </c>
      <c r="ER13" s="32">
        <f t="shared" si="50"/>
        <v>2130</v>
      </c>
      <c r="ES13" s="32">
        <f t="shared" si="50"/>
        <v>2134</v>
      </c>
      <c r="ET13" s="32">
        <f t="shared" si="50"/>
        <v>2238</v>
      </c>
      <c r="EU13" s="32">
        <f t="shared" si="50"/>
        <v>2350</v>
      </c>
      <c r="EV13" s="32">
        <f t="shared" si="50"/>
        <v>2846</v>
      </c>
      <c r="EW13" s="32">
        <f t="shared" si="50"/>
        <v>3292</v>
      </c>
      <c r="EX13" s="32">
        <f t="shared" si="50"/>
        <v>2962</v>
      </c>
      <c r="EY13" s="32">
        <f t="shared" si="50"/>
        <v>2902</v>
      </c>
      <c r="EZ13" s="38">
        <f t="shared" si="24"/>
        <v>30732</v>
      </c>
      <c r="FA13" s="43"/>
      <c r="FB13" s="104">
        <f>SUM(FB10:FB12)</f>
        <v>5628</v>
      </c>
      <c r="FC13" s="104">
        <f t="shared" ref="FC13:FM13" si="51">SUM(FC10:FC12)</f>
        <v>5699</v>
      </c>
      <c r="FD13" s="104">
        <f t="shared" si="51"/>
        <v>6015</v>
      </c>
      <c r="FE13" s="104">
        <f t="shared" si="51"/>
        <v>4983</v>
      </c>
      <c r="FF13" s="104">
        <f t="shared" si="51"/>
        <v>5911</v>
      </c>
      <c r="FG13" s="104">
        <f t="shared" si="51"/>
        <v>5036</v>
      </c>
      <c r="FH13" s="104">
        <f t="shared" si="51"/>
        <v>5947</v>
      </c>
      <c r="FI13" s="104">
        <f t="shared" si="51"/>
        <v>6238</v>
      </c>
      <c r="FJ13" s="104">
        <f t="shared" si="51"/>
        <v>5441</v>
      </c>
      <c r="FK13" s="104">
        <f t="shared" si="51"/>
        <v>5189</v>
      </c>
      <c r="FL13" s="104">
        <f t="shared" si="51"/>
        <v>5440</v>
      </c>
      <c r="FM13" s="104">
        <f t="shared" si="51"/>
        <v>5212</v>
      </c>
      <c r="FN13" s="38">
        <f>SUM(FB13:FM13)</f>
        <v>66739</v>
      </c>
      <c r="FO13" s="43"/>
      <c r="FP13" s="32">
        <f>SUM(FP10:FP12)</f>
        <v>1215</v>
      </c>
      <c r="FQ13" s="32">
        <f t="shared" ref="FQ13:GA13" si="52">SUM(FQ10:FQ12)</f>
        <v>1100</v>
      </c>
      <c r="FR13" s="32">
        <f t="shared" si="52"/>
        <v>1075</v>
      </c>
      <c r="FS13" s="32">
        <f t="shared" si="52"/>
        <v>1032</v>
      </c>
      <c r="FT13" s="32">
        <f t="shared" si="52"/>
        <v>1030</v>
      </c>
      <c r="FU13" s="32">
        <f t="shared" si="52"/>
        <v>1009</v>
      </c>
      <c r="FV13" s="32">
        <f t="shared" si="52"/>
        <v>1138</v>
      </c>
      <c r="FW13" s="32">
        <f t="shared" si="52"/>
        <v>1164</v>
      </c>
      <c r="FX13" s="32">
        <f t="shared" si="52"/>
        <v>1213</v>
      </c>
      <c r="FY13" s="32">
        <f t="shared" si="52"/>
        <v>1206</v>
      </c>
      <c r="FZ13" s="32">
        <f t="shared" si="52"/>
        <v>1133</v>
      </c>
      <c r="GA13" s="32">
        <f t="shared" si="52"/>
        <v>1040</v>
      </c>
      <c r="GB13" s="38">
        <f t="shared" si="26"/>
        <v>13355</v>
      </c>
      <c r="GC13" s="43"/>
      <c r="GD13" s="101">
        <f>SUM(GD10:GD12)</f>
        <v>2130</v>
      </c>
      <c r="GE13" s="101">
        <f t="shared" ref="GE13:GO13" si="53">SUM(GE10:GE12)</f>
        <v>2315</v>
      </c>
      <c r="GF13" s="101">
        <f t="shared" si="53"/>
        <v>1192</v>
      </c>
      <c r="GG13" s="101">
        <f t="shared" si="53"/>
        <v>2288</v>
      </c>
      <c r="GH13" s="101">
        <f t="shared" si="53"/>
        <v>2503</v>
      </c>
      <c r="GI13" s="101">
        <f t="shared" si="53"/>
        <v>2347</v>
      </c>
      <c r="GJ13" s="101">
        <f t="shared" si="53"/>
        <v>2472</v>
      </c>
      <c r="GK13" s="101">
        <f t="shared" si="53"/>
        <v>2764</v>
      </c>
      <c r="GL13" s="101">
        <f t="shared" si="53"/>
        <v>2695</v>
      </c>
      <c r="GM13" s="101">
        <f t="shared" si="53"/>
        <v>2503</v>
      </c>
      <c r="GN13" s="101">
        <f t="shared" si="53"/>
        <v>2346</v>
      </c>
      <c r="GO13" s="101">
        <f t="shared" si="53"/>
        <v>2160</v>
      </c>
      <c r="GP13" s="38">
        <f t="shared" si="27"/>
        <v>27715</v>
      </c>
      <c r="GQ13" s="43"/>
      <c r="GR13" s="32">
        <f>SUM(GR10:GR12)</f>
        <v>473</v>
      </c>
      <c r="GS13" s="32">
        <f t="shared" ref="GS13:HC13" si="54">SUM(GS10:GS12)</f>
        <v>608</v>
      </c>
      <c r="GT13" s="32">
        <f t="shared" si="54"/>
        <v>596</v>
      </c>
      <c r="GU13" s="32">
        <f t="shared" si="54"/>
        <v>887</v>
      </c>
      <c r="GV13" s="32">
        <f t="shared" si="54"/>
        <v>761</v>
      </c>
      <c r="GW13" s="32">
        <f t="shared" si="54"/>
        <v>647</v>
      </c>
      <c r="GX13" s="32">
        <f t="shared" si="54"/>
        <v>796</v>
      </c>
      <c r="GY13" s="32">
        <f t="shared" si="54"/>
        <v>757</v>
      </c>
      <c r="GZ13" s="32">
        <f t="shared" si="54"/>
        <v>725</v>
      </c>
      <c r="HA13" s="32">
        <f t="shared" si="54"/>
        <v>872</v>
      </c>
      <c r="HB13" s="32">
        <f t="shared" si="54"/>
        <v>709</v>
      </c>
      <c r="HC13" s="32">
        <f t="shared" si="54"/>
        <v>884</v>
      </c>
      <c r="HD13" s="38">
        <f t="shared" si="28"/>
        <v>8715</v>
      </c>
      <c r="HE13" s="43"/>
      <c r="HF13" s="54">
        <f>SUM(HF10:HF12)</f>
        <v>3323</v>
      </c>
      <c r="HG13" s="54">
        <f t="shared" ref="HG13:HQ13" si="55">SUM(HG10:HG12)</f>
        <v>3172</v>
      </c>
      <c r="HH13" s="54">
        <f t="shared" si="55"/>
        <v>3279</v>
      </c>
      <c r="HI13" s="54">
        <f t="shared" si="55"/>
        <v>3620</v>
      </c>
      <c r="HJ13" s="54">
        <f t="shared" si="55"/>
        <v>3758</v>
      </c>
      <c r="HK13" s="54">
        <f t="shared" si="55"/>
        <v>3678</v>
      </c>
      <c r="HL13" s="54">
        <f t="shared" si="55"/>
        <v>3732</v>
      </c>
      <c r="HM13" s="54">
        <f t="shared" si="55"/>
        <v>4120</v>
      </c>
      <c r="HN13" s="54">
        <f t="shared" si="55"/>
        <v>3920</v>
      </c>
      <c r="HO13" s="54">
        <f t="shared" si="55"/>
        <v>3499</v>
      </c>
      <c r="HP13" s="54">
        <f t="shared" si="55"/>
        <v>3735</v>
      </c>
      <c r="HQ13" s="54">
        <f t="shared" si="55"/>
        <v>3296</v>
      </c>
      <c r="HR13" s="38">
        <f t="shared" si="29"/>
        <v>43132</v>
      </c>
      <c r="HS13" s="43"/>
      <c r="HT13" s="32">
        <f>SUM(HT10:HT12)</f>
        <v>301</v>
      </c>
      <c r="HU13" s="32">
        <f t="shared" ref="HU13:IE13" si="56">SUM(HU10:HU12)</f>
        <v>307</v>
      </c>
      <c r="HV13" s="32">
        <f t="shared" si="56"/>
        <v>251</v>
      </c>
      <c r="HW13" s="32">
        <f t="shared" si="56"/>
        <v>314</v>
      </c>
      <c r="HX13" s="32">
        <f t="shared" si="56"/>
        <v>332</v>
      </c>
      <c r="HY13" s="32">
        <f t="shared" si="56"/>
        <v>299</v>
      </c>
      <c r="HZ13" s="32">
        <f t="shared" si="56"/>
        <v>278</v>
      </c>
      <c r="IA13" s="32">
        <f t="shared" si="56"/>
        <v>328</v>
      </c>
      <c r="IB13" s="32">
        <f t="shared" si="56"/>
        <v>400</v>
      </c>
      <c r="IC13" s="32">
        <f t="shared" si="56"/>
        <v>352</v>
      </c>
      <c r="ID13" s="32">
        <f t="shared" si="56"/>
        <v>307</v>
      </c>
      <c r="IE13" s="69">
        <f t="shared" si="56"/>
        <v>305</v>
      </c>
      <c r="IF13" s="38">
        <f t="shared" si="2"/>
        <v>3774</v>
      </c>
      <c r="IG13" s="104">
        <f>SUM(IG10:IG12)</f>
        <v>1775</v>
      </c>
      <c r="IH13" s="104">
        <f t="shared" ref="IH13:IR13" si="57">SUM(IH10:IH12)</f>
        <v>1455</v>
      </c>
      <c r="II13" s="104">
        <f t="shared" si="57"/>
        <v>1714</v>
      </c>
      <c r="IJ13" s="104">
        <f t="shared" si="57"/>
        <v>1708</v>
      </c>
      <c r="IK13" s="104">
        <f t="shared" si="57"/>
        <v>1710</v>
      </c>
      <c r="IL13" s="104">
        <f t="shared" si="57"/>
        <v>1453</v>
      </c>
      <c r="IM13" s="104">
        <f t="shared" si="57"/>
        <v>1824</v>
      </c>
      <c r="IN13" s="104">
        <f t="shared" si="57"/>
        <v>1583</v>
      </c>
      <c r="IO13" s="104">
        <f t="shared" si="57"/>
        <v>1750</v>
      </c>
      <c r="IP13" s="104">
        <f t="shared" si="57"/>
        <v>1921</v>
      </c>
      <c r="IQ13" s="104">
        <f t="shared" si="57"/>
        <v>1401</v>
      </c>
      <c r="IR13" s="107">
        <f t="shared" si="57"/>
        <v>1540</v>
      </c>
      <c r="IS13" s="38">
        <f t="shared" si="3"/>
        <v>19834</v>
      </c>
      <c r="IT13" s="36">
        <f t="shared" si="39"/>
        <v>23608</v>
      </c>
      <c r="IU13" s="43"/>
      <c r="IV13" s="32">
        <f>SUM(IV10:IV12)</f>
        <v>286</v>
      </c>
      <c r="IW13" s="32">
        <f t="shared" ref="IW13:JG13" si="58">SUM(IW10:IW12)</f>
        <v>302</v>
      </c>
      <c r="IX13" s="32">
        <f t="shared" si="58"/>
        <v>305</v>
      </c>
      <c r="IY13" s="32">
        <f t="shared" si="58"/>
        <v>363</v>
      </c>
      <c r="IZ13" s="32">
        <f t="shared" si="58"/>
        <v>331</v>
      </c>
      <c r="JA13" s="32">
        <f t="shared" si="58"/>
        <v>330</v>
      </c>
      <c r="JB13" s="32">
        <f t="shared" si="58"/>
        <v>286</v>
      </c>
      <c r="JC13" s="32">
        <f t="shared" si="58"/>
        <v>269</v>
      </c>
      <c r="JD13" s="32">
        <f t="shared" si="58"/>
        <v>302</v>
      </c>
      <c r="JE13" s="32">
        <f t="shared" si="58"/>
        <v>308</v>
      </c>
      <c r="JF13" s="32">
        <f t="shared" si="58"/>
        <v>336</v>
      </c>
      <c r="JG13" s="32">
        <f t="shared" si="58"/>
        <v>287</v>
      </c>
      <c r="JH13" s="38">
        <f t="shared" si="4"/>
        <v>3705</v>
      </c>
      <c r="JI13" s="110">
        <f>SUM(JI10:JI12)</f>
        <v>4661.6000000000004</v>
      </c>
      <c r="JJ13" s="32">
        <f t="shared" ref="JJ13:JT13" si="59">SUM(JJ10:JJ12)</f>
        <v>4761.6000000000004</v>
      </c>
      <c r="JK13" s="32">
        <f t="shared" si="59"/>
        <v>4881.6000000000004</v>
      </c>
      <c r="JL13" s="32">
        <f t="shared" si="59"/>
        <v>4116</v>
      </c>
      <c r="JM13" s="32">
        <f t="shared" si="59"/>
        <v>4270.3999999999996</v>
      </c>
      <c r="JN13" s="32">
        <f t="shared" si="59"/>
        <v>3911.2</v>
      </c>
      <c r="JO13" s="32">
        <f t="shared" si="59"/>
        <v>3888</v>
      </c>
      <c r="JP13" s="32">
        <f t="shared" si="59"/>
        <v>4878.4000000000005</v>
      </c>
      <c r="JQ13" s="32">
        <f t="shared" si="59"/>
        <v>4416.8000000000011</v>
      </c>
      <c r="JR13" s="32">
        <f t="shared" si="59"/>
        <v>5156</v>
      </c>
      <c r="JS13" s="32">
        <f t="shared" si="59"/>
        <v>3926.4</v>
      </c>
      <c r="JT13" s="32">
        <f t="shared" si="59"/>
        <v>4687.2000000000007</v>
      </c>
      <c r="JU13" s="35">
        <f t="shared" si="5"/>
        <v>53555.200000000012</v>
      </c>
      <c r="JV13" s="95">
        <f>SUM(JH13+JU13)</f>
        <v>57260.200000000012</v>
      </c>
      <c r="JW13" s="43"/>
      <c r="JX13" s="32">
        <f>SUM(JX10:JX12)</f>
        <v>0</v>
      </c>
      <c r="JY13" s="32">
        <f t="shared" ref="JY13:KI13" si="60">SUM(JY10:JY12)</f>
        <v>0</v>
      </c>
      <c r="JZ13" s="32">
        <f t="shared" si="60"/>
        <v>0</v>
      </c>
      <c r="KA13" s="32">
        <f t="shared" si="60"/>
        <v>0</v>
      </c>
      <c r="KB13" s="32">
        <f t="shared" si="60"/>
        <v>0</v>
      </c>
      <c r="KC13" s="32">
        <f t="shared" si="60"/>
        <v>0</v>
      </c>
      <c r="KD13" s="32">
        <f t="shared" si="60"/>
        <v>0</v>
      </c>
      <c r="KE13" s="32">
        <f t="shared" si="60"/>
        <v>0</v>
      </c>
      <c r="KF13" s="32">
        <f t="shared" si="60"/>
        <v>0</v>
      </c>
      <c r="KG13" s="32">
        <f t="shared" si="60"/>
        <v>0</v>
      </c>
      <c r="KH13" s="32">
        <f t="shared" si="60"/>
        <v>0</v>
      </c>
      <c r="KI13" s="32">
        <f t="shared" si="60"/>
        <v>0</v>
      </c>
      <c r="KJ13" s="38">
        <f t="shared" si="6"/>
        <v>0</v>
      </c>
      <c r="KK13" s="32">
        <f>SUM(KK10:KK12)</f>
        <v>1580</v>
      </c>
      <c r="KL13" s="32">
        <f t="shared" ref="KL13:KV13" si="61">SUM(KL10:KL12)</f>
        <v>1618</v>
      </c>
      <c r="KM13" s="32">
        <f t="shared" si="61"/>
        <v>1741</v>
      </c>
      <c r="KN13" s="32">
        <f t="shared" si="61"/>
        <v>1499</v>
      </c>
      <c r="KO13" s="32">
        <f t="shared" si="61"/>
        <v>1435</v>
      </c>
      <c r="KP13" s="32">
        <f t="shared" si="61"/>
        <v>1256</v>
      </c>
      <c r="KQ13" s="32">
        <f t="shared" si="61"/>
        <v>975</v>
      </c>
      <c r="KR13" s="32">
        <f t="shared" si="61"/>
        <v>1025</v>
      </c>
      <c r="KS13" s="32">
        <f t="shared" si="61"/>
        <v>1008</v>
      </c>
      <c r="KT13" s="32">
        <f t="shared" si="61"/>
        <v>1877</v>
      </c>
      <c r="KU13" s="32">
        <f t="shared" si="61"/>
        <v>1582</v>
      </c>
      <c r="KV13" s="32">
        <f t="shared" si="61"/>
        <v>1186</v>
      </c>
      <c r="KW13" s="38">
        <f t="shared" si="7"/>
        <v>16782</v>
      </c>
      <c r="KX13" s="36">
        <f t="shared" si="31"/>
        <v>16782</v>
      </c>
      <c r="KY13" s="43"/>
      <c r="KZ13" s="101">
        <f>SUM(KZ10:KZ12)</f>
        <v>0</v>
      </c>
      <c r="LA13" s="101">
        <f t="shared" ref="LA13:LK13" si="62">SUM(LA10:LA12)</f>
        <v>0</v>
      </c>
      <c r="LB13" s="101">
        <f t="shared" si="62"/>
        <v>0</v>
      </c>
      <c r="LC13" s="101">
        <f t="shared" si="62"/>
        <v>0</v>
      </c>
      <c r="LD13" s="101">
        <f t="shared" si="62"/>
        <v>0</v>
      </c>
      <c r="LE13" s="101">
        <f t="shared" si="62"/>
        <v>0</v>
      </c>
      <c r="LF13" s="101">
        <f t="shared" si="62"/>
        <v>0</v>
      </c>
      <c r="LG13" s="101">
        <f t="shared" si="62"/>
        <v>0</v>
      </c>
      <c r="LH13" s="101">
        <f t="shared" si="62"/>
        <v>0</v>
      </c>
      <c r="LI13" s="101">
        <f t="shared" si="62"/>
        <v>0</v>
      </c>
      <c r="LJ13" s="101">
        <f t="shared" si="62"/>
        <v>0</v>
      </c>
      <c r="LK13" s="115">
        <f t="shared" si="62"/>
        <v>0</v>
      </c>
      <c r="LL13" s="38">
        <f t="shared" si="32"/>
        <v>0</v>
      </c>
      <c r="LM13" s="43"/>
      <c r="LN13" s="71">
        <f>SUM(LN10:LN12)</f>
        <v>6724</v>
      </c>
      <c r="LO13" s="71">
        <f t="shared" ref="LO13:LY13" si="63">SUM(LO10:LO12)</f>
        <v>6407</v>
      </c>
      <c r="LP13" s="71">
        <f t="shared" si="63"/>
        <v>4922</v>
      </c>
      <c r="LQ13" s="71">
        <f t="shared" si="63"/>
        <v>6172</v>
      </c>
      <c r="LR13" s="71">
        <f t="shared" si="63"/>
        <v>5693</v>
      </c>
      <c r="LS13" s="71">
        <f t="shared" si="63"/>
        <v>6791</v>
      </c>
      <c r="LT13" s="71">
        <f t="shared" si="63"/>
        <v>6220</v>
      </c>
      <c r="LU13" s="71">
        <f t="shared" si="63"/>
        <v>6239</v>
      </c>
      <c r="LV13" s="71">
        <f t="shared" si="63"/>
        <v>7000</v>
      </c>
      <c r="LW13" s="71">
        <f t="shared" si="63"/>
        <v>7210</v>
      </c>
      <c r="LX13" s="71">
        <f t="shared" si="63"/>
        <v>5886</v>
      </c>
      <c r="LY13" s="71">
        <f t="shared" si="63"/>
        <v>6311</v>
      </c>
      <c r="LZ13" s="38">
        <f t="shared" si="8"/>
        <v>75575</v>
      </c>
      <c r="MA13" s="43"/>
      <c r="MB13" s="71">
        <f>SUM(MB10:MB12)</f>
        <v>4303</v>
      </c>
      <c r="MC13" s="71">
        <f t="shared" ref="MC13:MM13" si="64">SUM(MC10:MC12)</f>
        <v>4649</v>
      </c>
      <c r="MD13" s="71">
        <f t="shared" si="64"/>
        <v>4153</v>
      </c>
      <c r="ME13" s="71">
        <f t="shared" si="64"/>
        <v>3451</v>
      </c>
      <c r="MF13" s="71">
        <f t="shared" si="64"/>
        <v>4747</v>
      </c>
      <c r="MG13" s="71">
        <f t="shared" si="64"/>
        <v>4371</v>
      </c>
      <c r="MH13" s="71">
        <f t="shared" si="64"/>
        <v>5665</v>
      </c>
      <c r="MI13" s="71">
        <f t="shared" si="64"/>
        <v>4560</v>
      </c>
      <c r="MJ13" s="71">
        <f t="shared" si="64"/>
        <v>4809</v>
      </c>
      <c r="MK13" s="71">
        <f t="shared" si="64"/>
        <v>5767</v>
      </c>
      <c r="ML13" s="71">
        <f t="shared" si="64"/>
        <v>4844</v>
      </c>
      <c r="MM13" s="71">
        <f t="shared" si="64"/>
        <v>4002</v>
      </c>
      <c r="MN13" s="38">
        <f t="shared" si="9"/>
        <v>55321</v>
      </c>
      <c r="MO13" s="32">
        <f>SUM(MO10:MO12)</f>
        <v>9854</v>
      </c>
      <c r="MP13" s="32">
        <f t="shared" ref="MP13:MZ13" si="65">SUM(MP10:MP12)</f>
        <v>7518</v>
      </c>
      <c r="MQ13" s="32">
        <f t="shared" si="65"/>
        <v>10783</v>
      </c>
      <c r="MR13" s="32">
        <f t="shared" si="65"/>
        <v>7733</v>
      </c>
      <c r="MS13" s="32">
        <f t="shared" si="65"/>
        <v>10264</v>
      </c>
      <c r="MT13" s="32">
        <f t="shared" si="65"/>
        <v>10607</v>
      </c>
      <c r="MU13" s="32">
        <f t="shared" si="65"/>
        <v>8659</v>
      </c>
      <c r="MV13" s="32">
        <f t="shared" si="65"/>
        <v>9574</v>
      </c>
      <c r="MW13" s="32">
        <f t="shared" si="65"/>
        <v>7130</v>
      </c>
      <c r="MX13" s="32">
        <f t="shared" si="65"/>
        <v>10335</v>
      </c>
      <c r="MY13" s="32">
        <f t="shared" si="65"/>
        <v>9220</v>
      </c>
      <c r="MZ13" s="32">
        <f t="shared" si="65"/>
        <v>8175</v>
      </c>
      <c r="NA13" s="38">
        <f t="shared" si="10"/>
        <v>109852</v>
      </c>
      <c r="NB13" s="36">
        <f t="shared" si="33"/>
        <v>165173</v>
      </c>
      <c r="NC13" s="43"/>
      <c r="ND13" s="32">
        <f>SUM(ND10:ND12)</f>
        <v>1663</v>
      </c>
      <c r="NE13" s="32">
        <f t="shared" ref="NE13:NO13" si="66">SUM(NE10:NE12)</f>
        <v>1769</v>
      </c>
      <c r="NF13" s="32">
        <f t="shared" si="66"/>
        <v>1436</v>
      </c>
      <c r="NG13" s="32">
        <f t="shared" si="66"/>
        <v>1644</v>
      </c>
      <c r="NH13" s="32">
        <f t="shared" si="66"/>
        <v>1529</v>
      </c>
      <c r="NI13" s="32">
        <f t="shared" si="66"/>
        <v>1060</v>
      </c>
      <c r="NJ13" s="32">
        <f t="shared" si="66"/>
        <v>1705</v>
      </c>
      <c r="NK13" s="32">
        <f t="shared" si="66"/>
        <v>1666</v>
      </c>
      <c r="NL13" s="32">
        <f t="shared" si="66"/>
        <v>1323</v>
      </c>
      <c r="NM13" s="32">
        <f t="shared" si="66"/>
        <v>1169</v>
      </c>
      <c r="NN13" s="32">
        <f t="shared" si="66"/>
        <v>1308</v>
      </c>
      <c r="NO13" s="32">
        <f t="shared" si="66"/>
        <v>1620</v>
      </c>
      <c r="NP13" s="118">
        <f t="shared" si="11"/>
        <v>17892</v>
      </c>
      <c r="NQ13" s="36">
        <f t="shared" si="34"/>
        <v>57036.333333333328</v>
      </c>
      <c r="NR13" s="36">
        <f t="shared" si="35"/>
        <v>446941</v>
      </c>
      <c r="NS13" s="36">
        <f t="shared" si="36"/>
        <v>163407.20000000001</v>
      </c>
      <c r="NT13" s="36">
        <f t="shared" si="37"/>
        <v>667384.53333333333</v>
      </c>
      <c r="NU13" s="18"/>
      <c r="NV13" s="18"/>
      <c r="NW13" s="18"/>
      <c r="NX13" s="19"/>
      <c r="NY13" s="19"/>
      <c r="NZ13" s="19"/>
      <c r="OA13" s="19"/>
      <c r="OB13" s="19"/>
      <c r="OC13" s="19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8"/>
      <c r="OR13" s="18"/>
      <c r="OS13" s="18"/>
      <c r="OT13" s="18"/>
      <c r="OU13" s="18"/>
      <c r="OV13" s="18"/>
      <c r="OW13" s="18"/>
      <c r="OX13" s="19"/>
      <c r="OY13" s="19"/>
      <c r="OZ13" s="19"/>
      <c r="PA13" s="19"/>
      <c r="PB13" s="19"/>
      <c r="PC13" s="19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8"/>
      <c r="PR13" s="18"/>
      <c r="PS13" s="18"/>
      <c r="PT13" s="18"/>
      <c r="PU13" s="18"/>
      <c r="PV13" s="18"/>
      <c r="PW13" s="18"/>
      <c r="PX13" s="19"/>
      <c r="PY13" s="19"/>
      <c r="PZ13" s="19"/>
      <c r="QA13" s="19"/>
      <c r="QB13" s="19"/>
      <c r="QC13" s="19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</row>
    <row r="14" spans="1:458" s="1" customFormat="1" ht="50.1" customHeight="1" x14ac:dyDescent="0.25">
      <c r="A14" s="120"/>
      <c r="B14" s="6" t="s">
        <v>21</v>
      </c>
      <c r="C14" s="23"/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38">
        <f t="shared" si="12"/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38">
        <f t="shared" si="38"/>
        <v>0</v>
      </c>
      <c r="AD14" s="36">
        <f t="shared" si="13"/>
        <v>0</v>
      </c>
      <c r="AE14" s="26"/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8">
        <f t="shared" si="14"/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8">
        <f t="shared" si="15"/>
        <v>0</v>
      </c>
      <c r="BF14" s="36">
        <f t="shared" si="16"/>
        <v>0</v>
      </c>
      <c r="BG14" s="26"/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  <c r="BQ14" s="41">
        <v>0</v>
      </c>
      <c r="BR14" s="41">
        <v>0</v>
      </c>
      <c r="BS14" s="41">
        <v>0</v>
      </c>
      <c r="BT14" s="38">
        <f t="shared" si="17"/>
        <v>0</v>
      </c>
      <c r="BU14" s="54">
        <v>0</v>
      </c>
      <c r="BV14" s="54">
        <v>0</v>
      </c>
      <c r="BW14" s="54">
        <v>0</v>
      </c>
      <c r="BX14" s="54">
        <v>0</v>
      </c>
      <c r="BY14" s="54">
        <v>0</v>
      </c>
      <c r="BZ14" s="54">
        <v>0</v>
      </c>
      <c r="CA14" s="54">
        <v>0</v>
      </c>
      <c r="CB14" s="54">
        <v>0</v>
      </c>
      <c r="CC14" s="54">
        <v>0</v>
      </c>
      <c r="CD14" s="54">
        <v>0</v>
      </c>
      <c r="CE14" s="54">
        <v>0</v>
      </c>
      <c r="CF14" s="54">
        <v>0</v>
      </c>
      <c r="CG14" s="38">
        <f t="shared" si="18"/>
        <v>0</v>
      </c>
      <c r="CH14" s="36">
        <f t="shared" si="19"/>
        <v>0</v>
      </c>
      <c r="CI14" s="26"/>
      <c r="CJ14" s="32">
        <v>0</v>
      </c>
      <c r="CK14" s="32">
        <v>0</v>
      </c>
      <c r="CL14" s="32">
        <v>0</v>
      </c>
      <c r="CM14" s="32">
        <v>0</v>
      </c>
      <c r="CN14" s="32">
        <v>0</v>
      </c>
      <c r="CO14" s="32">
        <v>0</v>
      </c>
      <c r="CP14" s="32">
        <v>0</v>
      </c>
      <c r="CQ14" s="32">
        <v>0</v>
      </c>
      <c r="CR14" s="32">
        <v>0</v>
      </c>
      <c r="CS14" s="32">
        <v>0</v>
      </c>
      <c r="CT14" s="32">
        <v>0</v>
      </c>
      <c r="CU14" s="32">
        <v>0</v>
      </c>
      <c r="CV14" s="38">
        <f t="shared" si="20"/>
        <v>0</v>
      </c>
      <c r="CW14" s="54">
        <v>3</v>
      </c>
      <c r="CX14" s="54">
        <v>2</v>
      </c>
      <c r="CY14" s="54">
        <v>3</v>
      </c>
      <c r="CZ14" s="54">
        <v>2</v>
      </c>
      <c r="DA14" s="54">
        <v>0</v>
      </c>
      <c r="DB14" s="54">
        <v>4</v>
      </c>
      <c r="DC14" s="54">
        <v>0</v>
      </c>
      <c r="DD14" s="54">
        <v>4</v>
      </c>
      <c r="DE14" s="54">
        <v>0</v>
      </c>
      <c r="DF14" s="54">
        <v>3</v>
      </c>
      <c r="DG14" s="54">
        <v>0</v>
      </c>
      <c r="DH14" s="54">
        <v>2</v>
      </c>
      <c r="DI14" s="38">
        <f t="shared" si="21"/>
        <v>23</v>
      </c>
      <c r="DJ14" s="36">
        <f t="shared" si="22"/>
        <v>23</v>
      </c>
      <c r="DK14" s="26"/>
      <c r="DL14" s="75">
        <v>0</v>
      </c>
      <c r="DM14" s="75">
        <v>0</v>
      </c>
      <c r="DN14" s="75">
        <v>0</v>
      </c>
      <c r="DO14" s="75">
        <v>0</v>
      </c>
      <c r="DP14" s="75">
        <v>0</v>
      </c>
      <c r="DQ14" s="75">
        <v>0</v>
      </c>
      <c r="DR14" s="75">
        <v>0</v>
      </c>
      <c r="DS14" s="75">
        <v>0</v>
      </c>
      <c r="DT14" s="75">
        <v>0</v>
      </c>
      <c r="DU14" s="75">
        <v>0</v>
      </c>
      <c r="DV14" s="75">
        <v>0</v>
      </c>
      <c r="DW14" s="75">
        <v>0</v>
      </c>
      <c r="DX14" s="38">
        <f t="shared" si="0"/>
        <v>0</v>
      </c>
      <c r="DY14" s="64">
        <v>11</v>
      </c>
      <c r="DZ14" s="64">
        <v>17</v>
      </c>
      <c r="EA14" s="64">
        <v>9</v>
      </c>
      <c r="EB14" s="64">
        <v>10</v>
      </c>
      <c r="EC14" s="64">
        <v>10</v>
      </c>
      <c r="ED14" s="64">
        <v>10</v>
      </c>
      <c r="EE14" s="64">
        <v>9</v>
      </c>
      <c r="EF14" s="64">
        <v>6</v>
      </c>
      <c r="EG14" s="64">
        <v>10</v>
      </c>
      <c r="EH14" s="64">
        <v>5</v>
      </c>
      <c r="EI14" s="64">
        <v>8</v>
      </c>
      <c r="EJ14" s="64">
        <v>0</v>
      </c>
      <c r="EK14" s="38">
        <f t="shared" si="23"/>
        <v>105</v>
      </c>
      <c r="EL14" s="36">
        <f t="shared" si="1"/>
        <v>105</v>
      </c>
      <c r="EM14" s="26"/>
      <c r="EN14" s="32">
        <v>0</v>
      </c>
      <c r="EO14" s="32">
        <v>0</v>
      </c>
      <c r="EP14" s="32">
        <v>0</v>
      </c>
      <c r="EQ14" s="32">
        <v>0</v>
      </c>
      <c r="ER14" s="32">
        <v>0</v>
      </c>
      <c r="ES14" s="32">
        <v>0</v>
      </c>
      <c r="ET14" s="32">
        <v>0</v>
      </c>
      <c r="EU14" s="32">
        <v>0</v>
      </c>
      <c r="EV14" s="32">
        <v>0</v>
      </c>
      <c r="EW14" s="32">
        <v>0</v>
      </c>
      <c r="EX14" s="32">
        <v>0</v>
      </c>
      <c r="EY14" s="32">
        <v>0</v>
      </c>
      <c r="EZ14" s="38">
        <f t="shared" si="24"/>
        <v>0</v>
      </c>
      <c r="FA14" s="26"/>
      <c r="FB14" s="104">
        <v>0</v>
      </c>
      <c r="FC14" s="104">
        <v>0</v>
      </c>
      <c r="FD14" s="104">
        <v>0</v>
      </c>
      <c r="FE14" s="104">
        <v>0</v>
      </c>
      <c r="FF14" s="104">
        <v>0</v>
      </c>
      <c r="FG14" s="104">
        <v>0</v>
      </c>
      <c r="FH14" s="104">
        <v>0</v>
      </c>
      <c r="FI14" s="104">
        <v>0</v>
      </c>
      <c r="FJ14" s="104">
        <v>0</v>
      </c>
      <c r="FK14" s="104">
        <v>0</v>
      </c>
      <c r="FL14" s="104">
        <v>0</v>
      </c>
      <c r="FM14" s="104">
        <v>0</v>
      </c>
      <c r="FN14" s="38">
        <f t="shared" si="25"/>
        <v>0</v>
      </c>
      <c r="FO14" s="26"/>
      <c r="FP14" s="32">
        <v>25</v>
      </c>
      <c r="FQ14" s="32">
        <v>13</v>
      </c>
      <c r="FR14" s="32">
        <v>14</v>
      </c>
      <c r="FS14" s="32">
        <v>18</v>
      </c>
      <c r="FT14" s="32">
        <v>13</v>
      </c>
      <c r="FU14" s="32">
        <v>11</v>
      </c>
      <c r="FV14" s="32">
        <v>19</v>
      </c>
      <c r="FW14" s="32">
        <v>13</v>
      </c>
      <c r="FX14" s="32">
        <v>9</v>
      </c>
      <c r="FY14" s="32">
        <v>25</v>
      </c>
      <c r="FZ14" s="32">
        <v>14</v>
      </c>
      <c r="GA14" s="32">
        <v>10</v>
      </c>
      <c r="GB14" s="38">
        <f t="shared" si="26"/>
        <v>184</v>
      </c>
      <c r="GC14" s="26"/>
      <c r="GD14" s="101">
        <v>23</v>
      </c>
      <c r="GE14" s="101">
        <v>17</v>
      </c>
      <c r="GF14" s="101">
        <v>3</v>
      </c>
      <c r="GG14" s="101">
        <v>17</v>
      </c>
      <c r="GH14" s="101">
        <v>28</v>
      </c>
      <c r="GI14" s="101">
        <v>38</v>
      </c>
      <c r="GJ14" s="101">
        <v>30</v>
      </c>
      <c r="GK14" s="101">
        <v>11</v>
      </c>
      <c r="GL14" s="101">
        <v>19</v>
      </c>
      <c r="GM14" s="101">
        <v>6</v>
      </c>
      <c r="GN14" s="101">
        <v>38</v>
      </c>
      <c r="GO14" s="101">
        <v>30</v>
      </c>
      <c r="GP14" s="38">
        <f t="shared" si="27"/>
        <v>260</v>
      </c>
      <c r="GQ14" s="26"/>
      <c r="GR14" s="32">
        <v>0</v>
      </c>
      <c r="GS14" s="32">
        <v>0</v>
      </c>
      <c r="GT14" s="32">
        <v>0</v>
      </c>
      <c r="GU14" s="32">
        <v>0</v>
      </c>
      <c r="GV14" s="32">
        <v>0</v>
      </c>
      <c r="GW14" s="32">
        <v>0</v>
      </c>
      <c r="GX14" s="32">
        <v>0</v>
      </c>
      <c r="GY14" s="32">
        <v>0</v>
      </c>
      <c r="GZ14" s="32">
        <v>0</v>
      </c>
      <c r="HA14" s="32">
        <v>0</v>
      </c>
      <c r="HB14" s="32">
        <v>0</v>
      </c>
      <c r="HC14" s="32">
        <v>0</v>
      </c>
      <c r="HD14" s="38">
        <f t="shared" si="28"/>
        <v>0</v>
      </c>
      <c r="HE14" s="26"/>
      <c r="HF14" s="54">
        <v>0</v>
      </c>
      <c r="HG14" s="54">
        <v>0</v>
      </c>
      <c r="HH14" s="54">
        <v>0</v>
      </c>
      <c r="HI14" s="54">
        <v>0</v>
      </c>
      <c r="HJ14" s="54">
        <v>0</v>
      </c>
      <c r="HK14" s="54">
        <v>0</v>
      </c>
      <c r="HL14" s="54">
        <v>0</v>
      </c>
      <c r="HM14" s="54">
        <v>0</v>
      </c>
      <c r="HN14" s="54">
        <v>0</v>
      </c>
      <c r="HO14" s="54">
        <v>0</v>
      </c>
      <c r="HP14" s="54">
        <v>0</v>
      </c>
      <c r="HQ14" s="54">
        <v>0</v>
      </c>
      <c r="HR14" s="38">
        <f t="shared" si="29"/>
        <v>0</v>
      </c>
      <c r="HS14" s="26"/>
      <c r="HT14" s="32">
        <v>2</v>
      </c>
      <c r="HU14" s="32">
        <v>1</v>
      </c>
      <c r="HV14" s="32">
        <v>3</v>
      </c>
      <c r="HW14" s="32">
        <v>1</v>
      </c>
      <c r="HX14" s="32">
        <v>2</v>
      </c>
      <c r="HY14" s="32">
        <v>1</v>
      </c>
      <c r="HZ14" s="32">
        <v>3</v>
      </c>
      <c r="IA14" s="32">
        <v>1</v>
      </c>
      <c r="IB14" s="32">
        <v>2</v>
      </c>
      <c r="IC14" s="32">
        <v>2</v>
      </c>
      <c r="ID14" s="32">
        <v>3</v>
      </c>
      <c r="IE14" s="69">
        <v>1</v>
      </c>
      <c r="IF14" s="38">
        <f t="shared" si="2"/>
        <v>22</v>
      </c>
      <c r="IG14" s="104">
        <v>0</v>
      </c>
      <c r="IH14" s="104">
        <v>5</v>
      </c>
      <c r="II14" s="104">
        <v>8</v>
      </c>
      <c r="IJ14" s="104">
        <v>12</v>
      </c>
      <c r="IK14" s="104">
        <v>4</v>
      </c>
      <c r="IL14" s="104">
        <v>7</v>
      </c>
      <c r="IM14" s="104">
        <v>11</v>
      </c>
      <c r="IN14" s="104">
        <v>7</v>
      </c>
      <c r="IO14" s="104">
        <v>8</v>
      </c>
      <c r="IP14" s="104">
        <v>11</v>
      </c>
      <c r="IQ14" s="104">
        <v>12</v>
      </c>
      <c r="IR14" s="107">
        <v>10</v>
      </c>
      <c r="IS14" s="38">
        <f t="shared" si="3"/>
        <v>95</v>
      </c>
      <c r="IT14" s="36">
        <f t="shared" si="39"/>
        <v>117</v>
      </c>
      <c r="IU14" s="26"/>
      <c r="IV14" s="32">
        <v>4</v>
      </c>
      <c r="IW14" s="32">
        <v>3</v>
      </c>
      <c r="IX14" s="32">
        <v>4</v>
      </c>
      <c r="IY14" s="32">
        <v>6</v>
      </c>
      <c r="IZ14" s="32">
        <v>2</v>
      </c>
      <c r="JA14" s="32">
        <v>4</v>
      </c>
      <c r="JB14" s="32">
        <v>5</v>
      </c>
      <c r="JC14" s="32">
        <v>4</v>
      </c>
      <c r="JD14" s="32">
        <v>2</v>
      </c>
      <c r="JE14" s="32">
        <v>3</v>
      </c>
      <c r="JF14" s="32">
        <v>4</v>
      </c>
      <c r="JG14" s="32">
        <v>5</v>
      </c>
      <c r="JH14" s="38">
        <f t="shared" si="4"/>
        <v>46</v>
      </c>
      <c r="JI14" s="110">
        <v>3</v>
      </c>
      <c r="JJ14" s="32">
        <v>1</v>
      </c>
      <c r="JK14" s="32">
        <v>2</v>
      </c>
      <c r="JL14" s="32">
        <v>0</v>
      </c>
      <c r="JM14" s="32">
        <v>0</v>
      </c>
      <c r="JN14" s="32">
        <v>3</v>
      </c>
      <c r="JO14" s="32">
        <v>1</v>
      </c>
      <c r="JP14" s="32">
        <v>2</v>
      </c>
      <c r="JQ14" s="32">
        <v>5</v>
      </c>
      <c r="JR14" s="32">
        <v>1</v>
      </c>
      <c r="JS14" s="32">
        <v>4</v>
      </c>
      <c r="JT14" s="32">
        <v>6</v>
      </c>
      <c r="JU14" s="35">
        <f t="shared" si="5"/>
        <v>28</v>
      </c>
      <c r="JV14" s="96">
        <f t="shared" si="30"/>
        <v>74</v>
      </c>
      <c r="JW14" s="26"/>
      <c r="JX14" s="32">
        <v>0</v>
      </c>
      <c r="JY14" s="32">
        <v>0</v>
      </c>
      <c r="JZ14" s="32">
        <v>0</v>
      </c>
      <c r="KA14" s="32">
        <v>0</v>
      </c>
      <c r="KB14" s="32">
        <v>0</v>
      </c>
      <c r="KC14" s="32">
        <v>0</v>
      </c>
      <c r="KD14" s="32">
        <v>0</v>
      </c>
      <c r="KE14" s="32">
        <v>0</v>
      </c>
      <c r="KF14" s="32">
        <v>0</v>
      </c>
      <c r="KG14" s="32">
        <v>0</v>
      </c>
      <c r="KH14" s="32">
        <v>0</v>
      </c>
      <c r="KI14" s="32">
        <v>0</v>
      </c>
      <c r="KJ14" s="38">
        <f t="shared" si="6"/>
        <v>0</v>
      </c>
      <c r="KK14" s="32">
        <v>25</v>
      </c>
      <c r="KL14" s="32">
        <v>18</v>
      </c>
      <c r="KM14" s="32">
        <v>31</v>
      </c>
      <c r="KN14" s="32">
        <v>47</v>
      </c>
      <c r="KO14" s="32">
        <v>29</v>
      </c>
      <c r="KP14" s="32">
        <v>7</v>
      </c>
      <c r="KQ14" s="32">
        <v>2</v>
      </c>
      <c r="KR14" s="32">
        <v>10</v>
      </c>
      <c r="KS14" s="32">
        <v>16</v>
      </c>
      <c r="KT14" s="32">
        <v>14</v>
      </c>
      <c r="KU14" s="32">
        <v>65</v>
      </c>
      <c r="KV14" s="32">
        <v>31</v>
      </c>
      <c r="KW14" s="38">
        <f t="shared" si="7"/>
        <v>295</v>
      </c>
      <c r="KX14" s="36">
        <f t="shared" si="31"/>
        <v>295</v>
      </c>
      <c r="KY14" s="26"/>
      <c r="KZ14" s="32">
        <v>0</v>
      </c>
      <c r="LA14" s="32">
        <v>0</v>
      </c>
      <c r="LB14" s="32">
        <v>0</v>
      </c>
      <c r="LC14" s="32">
        <v>0</v>
      </c>
      <c r="LD14" s="32">
        <v>0</v>
      </c>
      <c r="LE14" s="32">
        <v>0</v>
      </c>
      <c r="LF14" s="32">
        <v>0</v>
      </c>
      <c r="LG14" s="32">
        <v>0</v>
      </c>
      <c r="LH14" s="32">
        <v>0</v>
      </c>
      <c r="LI14" s="32">
        <v>0</v>
      </c>
      <c r="LJ14" s="32">
        <v>0</v>
      </c>
      <c r="LK14" s="69">
        <v>0</v>
      </c>
      <c r="LL14" s="38">
        <f t="shared" si="32"/>
        <v>0</v>
      </c>
      <c r="LM14" s="26"/>
      <c r="LN14" s="71">
        <v>35</v>
      </c>
      <c r="LO14" s="71">
        <v>40</v>
      </c>
      <c r="LP14" s="71">
        <v>26</v>
      </c>
      <c r="LQ14" s="71">
        <v>30</v>
      </c>
      <c r="LR14" s="71">
        <v>29</v>
      </c>
      <c r="LS14" s="71">
        <v>34</v>
      </c>
      <c r="LT14" s="71">
        <v>29</v>
      </c>
      <c r="LU14" s="45">
        <v>34</v>
      </c>
      <c r="LV14" s="45">
        <v>36</v>
      </c>
      <c r="LW14" s="45">
        <v>38</v>
      </c>
      <c r="LX14" s="45">
        <v>20</v>
      </c>
      <c r="LY14" s="45">
        <v>28</v>
      </c>
      <c r="LZ14" s="38">
        <f t="shared" si="8"/>
        <v>379</v>
      </c>
      <c r="MA14" s="26"/>
      <c r="MB14" s="45">
        <v>0</v>
      </c>
      <c r="MC14" s="45">
        <v>0</v>
      </c>
      <c r="MD14" s="45">
        <v>0</v>
      </c>
      <c r="ME14" s="45">
        <v>0</v>
      </c>
      <c r="MF14" s="45">
        <v>0</v>
      </c>
      <c r="MG14" s="45">
        <v>0</v>
      </c>
      <c r="MH14" s="45">
        <v>0</v>
      </c>
      <c r="MI14" s="45">
        <v>0</v>
      </c>
      <c r="MJ14" s="45">
        <v>0</v>
      </c>
      <c r="MK14" s="45">
        <v>0</v>
      </c>
      <c r="ML14" s="45">
        <v>0</v>
      </c>
      <c r="MM14" s="45">
        <v>0</v>
      </c>
      <c r="MN14" s="38">
        <f t="shared" si="9"/>
        <v>0</v>
      </c>
      <c r="MO14" s="32">
        <v>29</v>
      </c>
      <c r="MP14" s="32">
        <v>29</v>
      </c>
      <c r="MQ14" s="32">
        <v>85</v>
      </c>
      <c r="MR14" s="32">
        <v>42</v>
      </c>
      <c r="MS14" s="32">
        <v>80</v>
      </c>
      <c r="MT14" s="32">
        <v>55</v>
      </c>
      <c r="MU14" s="32">
        <v>75</v>
      </c>
      <c r="MV14" s="32">
        <v>49</v>
      </c>
      <c r="MW14" s="32">
        <v>62</v>
      </c>
      <c r="MX14" s="32">
        <v>63</v>
      </c>
      <c r="MY14" s="32">
        <v>19</v>
      </c>
      <c r="MZ14" s="32">
        <v>19</v>
      </c>
      <c r="NA14" s="38">
        <f t="shared" si="10"/>
        <v>607</v>
      </c>
      <c r="NB14" s="36">
        <f t="shared" si="33"/>
        <v>607</v>
      </c>
      <c r="NC14" s="26"/>
      <c r="ND14" s="32">
        <v>0</v>
      </c>
      <c r="NE14" s="32">
        <v>0</v>
      </c>
      <c r="NF14" s="32">
        <v>0</v>
      </c>
      <c r="NG14" s="32">
        <v>0</v>
      </c>
      <c r="NH14" s="32">
        <v>0</v>
      </c>
      <c r="NI14" s="32">
        <v>0</v>
      </c>
      <c r="NJ14" s="32">
        <v>0</v>
      </c>
      <c r="NK14" s="32">
        <v>0</v>
      </c>
      <c r="NL14" s="32">
        <v>0</v>
      </c>
      <c r="NM14" s="32">
        <v>0</v>
      </c>
      <c r="NN14" s="32">
        <v>0</v>
      </c>
      <c r="NO14" s="32">
        <v>0</v>
      </c>
      <c r="NP14" s="118">
        <f t="shared" si="11"/>
        <v>0</v>
      </c>
      <c r="NQ14" s="36">
        <f t="shared" si="34"/>
        <v>22</v>
      </c>
      <c r="NR14" s="36">
        <f t="shared" si="35"/>
        <v>1387</v>
      </c>
      <c r="NS14" s="36">
        <f t="shared" si="36"/>
        <v>635</v>
      </c>
      <c r="NT14" s="36">
        <f t="shared" si="37"/>
        <v>2044</v>
      </c>
      <c r="NU14" s="18"/>
      <c r="NV14" s="18"/>
      <c r="NW14" s="18"/>
      <c r="NX14" s="19"/>
      <c r="NY14" s="19"/>
      <c r="NZ14" s="19"/>
      <c r="OA14" s="19"/>
      <c r="OB14" s="19"/>
      <c r="OC14" s="19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8"/>
      <c r="OR14" s="18"/>
      <c r="OS14" s="18"/>
      <c r="OT14" s="18"/>
      <c r="OU14" s="18"/>
      <c r="OV14" s="18"/>
      <c r="OW14" s="18"/>
      <c r="OX14" s="19"/>
      <c r="OY14" s="19"/>
      <c r="OZ14" s="19"/>
      <c r="PA14" s="19"/>
      <c r="PB14" s="19"/>
      <c r="PC14" s="19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8"/>
      <c r="PR14" s="18"/>
      <c r="PS14" s="18"/>
      <c r="PT14" s="18"/>
      <c r="PU14" s="18"/>
      <c r="PV14" s="18"/>
      <c r="PW14" s="18"/>
      <c r="PX14" s="19"/>
      <c r="PY14" s="19"/>
      <c r="PZ14" s="19"/>
      <c r="QA14" s="19"/>
      <c r="QB14" s="19"/>
      <c r="QC14" s="19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</row>
    <row r="15" spans="1:458" s="1" customFormat="1" ht="50.1" customHeight="1" x14ac:dyDescent="0.25">
      <c r="A15" s="120"/>
      <c r="B15" s="6" t="s">
        <v>22</v>
      </c>
      <c r="C15" s="23"/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38">
        <f t="shared" si="12"/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38">
        <f t="shared" si="38"/>
        <v>0</v>
      </c>
      <c r="AD15" s="36">
        <f t="shared" si="13"/>
        <v>0</v>
      </c>
      <c r="AE15" s="26"/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8">
        <f t="shared" si="14"/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0</v>
      </c>
      <c r="BE15" s="38">
        <f t="shared" si="15"/>
        <v>0</v>
      </c>
      <c r="BF15" s="36">
        <f t="shared" si="16"/>
        <v>0</v>
      </c>
      <c r="BG15" s="26"/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  <c r="BQ15" s="41">
        <v>0</v>
      </c>
      <c r="BR15" s="41">
        <v>0</v>
      </c>
      <c r="BS15" s="41">
        <v>0</v>
      </c>
      <c r="BT15" s="38">
        <f t="shared" si="17"/>
        <v>0</v>
      </c>
      <c r="BU15" s="54">
        <v>0</v>
      </c>
      <c r="BV15" s="54">
        <v>0</v>
      </c>
      <c r="BW15" s="54">
        <v>0</v>
      </c>
      <c r="BX15" s="54">
        <v>0</v>
      </c>
      <c r="BY15" s="54">
        <v>0</v>
      </c>
      <c r="BZ15" s="54">
        <v>0</v>
      </c>
      <c r="CA15" s="54">
        <v>0</v>
      </c>
      <c r="CB15" s="54">
        <v>0</v>
      </c>
      <c r="CC15" s="54">
        <v>0</v>
      </c>
      <c r="CD15" s="54">
        <v>0</v>
      </c>
      <c r="CE15" s="54">
        <v>0</v>
      </c>
      <c r="CF15" s="54">
        <v>0</v>
      </c>
      <c r="CG15" s="38">
        <f t="shared" si="18"/>
        <v>0</v>
      </c>
      <c r="CH15" s="36">
        <f t="shared" si="19"/>
        <v>0</v>
      </c>
      <c r="CI15" s="26"/>
      <c r="CJ15" s="32">
        <v>0</v>
      </c>
      <c r="CK15" s="32">
        <v>0</v>
      </c>
      <c r="CL15" s="32">
        <v>0</v>
      </c>
      <c r="CM15" s="32">
        <v>0</v>
      </c>
      <c r="CN15" s="32">
        <v>0</v>
      </c>
      <c r="CO15" s="32">
        <v>0</v>
      </c>
      <c r="CP15" s="32">
        <v>0</v>
      </c>
      <c r="CQ15" s="32">
        <v>0</v>
      </c>
      <c r="CR15" s="32">
        <v>0</v>
      </c>
      <c r="CS15" s="32">
        <v>0</v>
      </c>
      <c r="CT15" s="32">
        <v>0</v>
      </c>
      <c r="CU15" s="32">
        <v>0</v>
      </c>
      <c r="CV15" s="38">
        <f t="shared" si="20"/>
        <v>0</v>
      </c>
      <c r="CW15" s="54">
        <v>0</v>
      </c>
      <c r="CX15" s="54">
        <v>0</v>
      </c>
      <c r="CY15" s="54">
        <v>0</v>
      </c>
      <c r="CZ15" s="54">
        <v>0</v>
      </c>
      <c r="DA15" s="54">
        <v>0</v>
      </c>
      <c r="DB15" s="54">
        <v>0</v>
      </c>
      <c r="DC15" s="54">
        <v>0</v>
      </c>
      <c r="DD15" s="54">
        <v>0</v>
      </c>
      <c r="DE15" s="54">
        <v>0</v>
      </c>
      <c r="DF15" s="54">
        <v>0</v>
      </c>
      <c r="DG15" s="54">
        <v>0</v>
      </c>
      <c r="DH15" s="54">
        <v>0</v>
      </c>
      <c r="DI15" s="38">
        <f t="shared" si="21"/>
        <v>0</v>
      </c>
      <c r="DJ15" s="36">
        <f t="shared" si="22"/>
        <v>0</v>
      </c>
      <c r="DK15" s="26"/>
      <c r="DL15" s="75">
        <v>0</v>
      </c>
      <c r="DM15" s="75">
        <v>0</v>
      </c>
      <c r="DN15" s="75">
        <v>0</v>
      </c>
      <c r="DO15" s="75">
        <v>0</v>
      </c>
      <c r="DP15" s="75">
        <v>0</v>
      </c>
      <c r="DQ15" s="75">
        <v>0</v>
      </c>
      <c r="DR15" s="75">
        <v>0</v>
      </c>
      <c r="DS15" s="75">
        <v>0</v>
      </c>
      <c r="DT15" s="75">
        <v>0</v>
      </c>
      <c r="DU15" s="75">
        <v>0</v>
      </c>
      <c r="DV15" s="75">
        <v>0</v>
      </c>
      <c r="DW15" s="75">
        <v>0</v>
      </c>
      <c r="DX15" s="38">
        <f t="shared" si="0"/>
        <v>0</v>
      </c>
      <c r="DY15" s="63">
        <v>0</v>
      </c>
      <c r="DZ15" s="63">
        <v>0</v>
      </c>
      <c r="EA15" s="63">
        <v>0</v>
      </c>
      <c r="EB15" s="63">
        <v>0</v>
      </c>
      <c r="EC15" s="63">
        <v>0</v>
      </c>
      <c r="ED15" s="63">
        <v>0</v>
      </c>
      <c r="EE15" s="63">
        <v>0</v>
      </c>
      <c r="EF15" s="63">
        <v>0</v>
      </c>
      <c r="EG15" s="63">
        <v>0</v>
      </c>
      <c r="EH15" s="63">
        <v>0</v>
      </c>
      <c r="EI15" s="63">
        <v>0</v>
      </c>
      <c r="EJ15" s="63">
        <v>0</v>
      </c>
      <c r="EK15" s="38">
        <f t="shared" si="23"/>
        <v>0</v>
      </c>
      <c r="EL15" s="36">
        <f t="shared" si="1"/>
        <v>0</v>
      </c>
      <c r="EM15" s="26"/>
      <c r="EN15" s="32">
        <v>0</v>
      </c>
      <c r="EO15" s="32">
        <v>0</v>
      </c>
      <c r="EP15" s="32">
        <v>0</v>
      </c>
      <c r="EQ15" s="32">
        <v>0</v>
      </c>
      <c r="ER15" s="32">
        <v>0</v>
      </c>
      <c r="ES15" s="32">
        <v>0</v>
      </c>
      <c r="ET15" s="32">
        <v>0</v>
      </c>
      <c r="EU15" s="32">
        <v>0</v>
      </c>
      <c r="EV15" s="32">
        <v>0</v>
      </c>
      <c r="EW15" s="32">
        <v>0</v>
      </c>
      <c r="EX15" s="32">
        <v>0</v>
      </c>
      <c r="EY15" s="32">
        <v>0</v>
      </c>
      <c r="EZ15" s="38">
        <f t="shared" si="24"/>
        <v>0</v>
      </c>
      <c r="FA15" s="26"/>
      <c r="FB15" s="104">
        <v>0</v>
      </c>
      <c r="FC15" s="104">
        <v>0</v>
      </c>
      <c r="FD15" s="104">
        <v>0</v>
      </c>
      <c r="FE15" s="104">
        <v>0</v>
      </c>
      <c r="FF15" s="104">
        <v>0</v>
      </c>
      <c r="FG15" s="104">
        <v>0</v>
      </c>
      <c r="FH15" s="104">
        <v>0</v>
      </c>
      <c r="FI15" s="104">
        <v>0</v>
      </c>
      <c r="FJ15" s="104">
        <v>0</v>
      </c>
      <c r="FK15" s="104">
        <v>0</v>
      </c>
      <c r="FL15" s="104">
        <v>0</v>
      </c>
      <c r="FM15" s="104">
        <v>0</v>
      </c>
      <c r="FN15" s="38">
        <f t="shared" si="25"/>
        <v>0</v>
      </c>
      <c r="FO15" s="26"/>
      <c r="FP15" s="32">
        <v>0</v>
      </c>
      <c r="FQ15" s="32">
        <v>0</v>
      </c>
      <c r="FR15" s="32">
        <v>0</v>
      </c>
      <c r="FS15" s="32">
        <v>0</v>
      </c>
      <c r="FT15" s="32">
        <v>0</v>
      </c>
      <c r="FU15" s="32">
        <v>0</v>
      </c>
      <c r="FV15" s="32">
        <v>0</v>
      </c>
      <c r="FW15" s="32">
        <v>0</v>
      </c>
      <c r="FX15" s="32">
        <v>0</v>
      </c>
      <c r="FY15" s="32">
        <v>0</v>
      </c>
      <c r="FZ15" s="32">
        <v>0</v>
      </c>
      <c r="GA15" s="32">
        <v>0</v>
      </c>
      <c r="GB15" s="38">
        <f t="shared" si="26"/>
        <v>0</v>
      </c>
      <c r="GC15" s="26"/>
      <c r="GD15" s="32">
        <v>0</v>
      </c>
      <c r="GE15" s="32">
        <v>0</v>
      </c>
      <c r="GF15" s="32">
        <v>0</v>
      </c>
      <c r="GG15" s="32">
        <v>0</v>
      </c>
      <c r="GH15" s="32">
        <v>0</v>
      </c>
      <c r="GI15" s="32">
        <v>0</v>
      </c>
      <c r="GJ15" s="32">
        <v>0</v>
      </c>
      <c r="GK15" s="32">
        <v>0</v>
      </c>
      <c r="GL15" s="32">
        <v>0</v>
      </c>
      <c r="GM15" s="32">
        <v>0</v>
      </c>
      <c r="GN15" s="32">
        <v>0</v>
      </c>
      <c r="GO15" s="32">
        <v>0</v>
      </c>
      <c r="GP15" s="38">
        <f t="shared" si="27"/>
        <v>0</v>
      </c>
      <c r="GQ15" s="26"/>
      <c r="GR15" s="32">
        <v>0</v>
      </c>
      <c r="GS15" s="32">
        <v>0</v>
      </c>
      <c r="GT15" s="32">
        <v>0</v>
      </c>
      <c r="GU15" s="32">
        <v>0</v>
      </c>
      <c r="GV15" s="32">
        <v>0</v>
      </c>
      <c r="GW15" s="32">
        <v>0</v>
      </c>
      <c r="GX15" s="32">
        <v>0</v>
      </c>
      <c r="GY15" s="32">
        <v>0</v>
      </c>
      <c r="GZ15" s="32">
        <v>0</v>
      </c>
      <c r="HA15" s="32">
        <v>0</v>
      </c>
      <c r="HB15" s="32">
        <v>0</v>
      </c>
      <c r="HC15" s="32">
        <v>0</v>
      </c>
      <c r="HD15" s="38">
        <f t="shared" si="28"/>
        <v>0</v>
      </c>
      <c r="HE15" s="26"/>
      <c r="HF15" s="54">
        <v>0</v>
      </c>
      <c r="HG15" s="54">
        <v>0</v>
      </c>
      <c r="HH15" s="54">
        <v>0</v>
      </c>
      <c r="HI15" s="54">
        <v>0</v>
      </c>
      <c r="HJ15" s="54">
        <v>0</v>
      </c>
      <c r="HK15" s="54">
        <v>0</v>
      </c>
      <c r="HL15" s="54">
        <v>0</v>
      </c>
      <c r="HM15" s="54">
        <v>0</v>
      </c>
      <c r="HN15" s="54">
        <v>0</v>
      </c>
      <c r="HO15" s="54">
        <v>0</v>
      </c>
      <c r="HP15" s="54">
        <v>0</v>
      </c>
      <c r="HQ15" s="54">
        <v>0</v>
      </c>
      <c r="HR15" s="38">
        <f t="shared" si="29"/>
        <v>0</v>
      </c>
      <c r="HS15" s="26"/>
      <c r="HT15" s="32">
        <v>0</v>
      </c>
      <c r="HU15" s="32">
        <v>0</v>
      </c>
      <c r="HV15" s="32">
        <v>0</v>
      </c>
      <c r="HW15" s="32">
        <v>0</v>
      </c>
      <c r="HX15" s="32">
        <v>0</v>
      </c>
      <c r="HY15" s="32">
        <v>0</v>
      </c>
      <c r="HZ15" s="32">
        <v>0</v>
      </c>
      <c r="IA15" s="32">
        <v>0</v>
      </c>
      <c r="IB15" s="32">
        <v>0</v>
      </c>
      <c r="IC15" s="32">
        <v>0</v>
      </c>
      <c r="ID15" s="32">
        <v>0</v>
      </c>
      <c r="IE15" s="69">
        <v>0</v>
      </c>
      <c r="IF15" s="38">
        <f t="shared" si="2"/>
        <v>0</v>
      </c>
      <c r="IG15" s="104">
        <v>0</v>
      </c>
      <c r="IH15" s="104">
        <v>0</v>
      </c>
      <c r="II15" s="104">
        <v>0</v>
      </c>
      <c r="IJ15" s="104">
        <v>0</v>
      </c>
      <c r="IK15" s="104">
        <v>0</v>
      </c>
      <c r="IL15" s="104">
        <v>0</v>
      </c>
      <c r="IM15" s="104">
        <v>0</v>
      </c>
      <c r="IN15" s="104">
        <v>0</v>
      </c>
      <c r="IO15" s="104">
        <v>0</v>
      </c>
      <c r="IP15" s="104">
        <v>0</v>
      </c>
      <c r="IQ15" s="104">
        <v>0</v>
      </c>
      <c r="IR15" s="107">
        <v>0</v>
      </c>
      <c r="IS15" s="38">
        <f t="shared" si="3"/>
        <v>0</v>
      </c>
      <c r="IT15" s="36">
        <f t="shared" si="39"/>
        <v>0</v>
      </c>
      <c r="IU15" s="26"/>
      <c r="IV15" s="32">
        <v>0</v>
      </c>
      <c r="IW15" s="32">
        <v>0</v>
      </c>
      <c r="IX15" s="32">
        <v>0</v>
      </c>
      <c r="IY15" s="32">
        <v>0</v>
      </c>
      <c r="IZ15" s="32">
        <v>0</v>
      </c>
      <c r="JA15" s="32">
        <v>0</v>
      </c>
      <c r="JB15" s="32">
        <v>0</v>
      </c>
      <c r="JC15" s="32">
        <v>0</v>
      </c>
      <c r="JD15" s="32">
        <v>0</v>
      </c>
      <c r="JE15" s="32">
        <v>0</v>
      </c>
      <c r="JF15" s="32">
        <v>0</v>
      </c>
      <c r="JG15" s="32">
        <v>0</v>
      </c>
      <c r="JH15" s="38">
        <f t="shared" si="4"/>
        <v>0</v>
      </c>
      <c r="JI15" s="110">
        <v>0</v>
      </c>
      <c r="JJ15" s="32">
        <v>0</v>
      </c>
      <c r="JK15" s="32">
        <v>0</v>
      </c>
      <c r="JL15" s="32">
        <v>0</v>
      </c>
      <c r="JM15" s="32">
        <v>0</v>
      </c>
      <c r="JN15" s="32">
        <v>0</v>
      </c>
      <c r="JO15" s="32">
        <v>0</v>
      </c>
      <c r="JP15" s="32">
        <v>0</v>
      </c>
      <c r="JQ15" s="32">
        <v>0</v>
      </c>
      <c r="JR15" s="32">
        <v>0</v>
      </c>
      <c r="JS15" s="32">
        <v>0</v>
      </c>
      <c r="JT15" s="32">
        <v>0</v>
      </c>
      <c r="JU15" s="35">
        <f t="shared" si="5"/>
        <v>0</v>
      </c>
      <c r="JV15" s="40">
        <f t="shared" si="30"/>
        <v>0</v>
      </c>
      <c r="JW15" s="26"/>
      <c r="JX15" s="32">
        <v>0</v>
      </c>
      <c r="JY15" s="32">
        <v>0</v>
      </c>
      <c r="JZ15" s="32">
        <v>0</v>
      </c>
      <c r="KA15" s="32">
        <v>0</v>
      </c>
      <c r="KB15" s="32">
        <v>0</v>
      </c>
      <c r="KC15" s="32">
        <v>0</v>
      </c>
      <c r="KD15" s="32">
        <v>0</v>
      </c>
      <c r="KE15" s="32">
        <v>0</v>
      </c>
      <c r="KF15" s="32">
        <v>0</v>
      </c>
      <c r="KG15" s="32">
        <v>0</v>
      </c>
      <c r="KH15" s="32">
        <v>0</v>
      </c>
      <c r="KI15" s="32">
        <v>0</v>
      </c>
      <c r="KJ15" s="38">
        <f t="shared" si="6"/>
        <v>0</v>
      </c>
      <c r="KK15" s="32">
        <v>0</v>
      </c>
      <c r="KL15" s="32">
        <v>0</v>
      </c>
      <c r="KM15" s="32">
        <v>0</v>
      </c>
      <c r="KN15" s="32">
        <v>0</v>
      </c>
      <c r="KO15" s="32">
        <v>0</v>
      </c>
      <c r="KP15" s="32">
        <v>0</v>
      </c>
      <c r="KQ15" s="32">
        <v>0</v>
      </c>
      <c r="KR15" s="32">
        <v>0</v>
      </c>
      <c r="KS15" s="32">
        <v>0</v>
      </c>
      <c r="KT15" s="32">
        <v>0</v>
      </c>
      <c r="KU15" s="32">
        <v>0</v>
      </c>
      <c r="KV15" s="32">
        <v>0</v>
      </c>
      <c r="KW15" s="38">
        <f t="shared" si="7"/>
        <v>0</v>
      </c>
      <c r="KX15" s="36">
        <f t="shared" si="31"/>
        <v>0</v>
      </c>
      <c r="KY15" s="26"/>
      <c r="KZ15" s="32">
        <v>0</v>
      </c>
      <c r="LA15" s="32">
        <v>0</v>
      </c>
      <c r="LB15" s="32">
        <v>0</v>
      </c>
      <c r="LC15" s="32">
        <v>0</v>
      </c>
      <c r="LD15" s="32">
        <v>0</v>
      </c>
      <c r="LE15" s="32">
        <v>0</v>
      </c>
      <c r="LF15" s="32">
        <v>0</v>
      </c>
      <c r="LG15" s="32">
        <v>0</v>
      </c>
      <c r="LH15" s="32">
        <v>0</v>
      </c>
      <c r="LI15" s="32">
        <v>0</v>
      </c>
      <c r="LJ15" s="32">
        <v>0</v>
      </c>
      <c r="LK15" s="69">
        <v>0</v>
      </c>
      <c r="LL15" s="38">
        <f t="shared" si="32"/>
        <v>0</v>
      </c>
      <c r="LM15" s="26"/>
      <c r="LN15" s="71">
        <v>0</v>
      </c>
      <c r="LO15" s="71">
        <v>0</v>
      </c>
      <c r="LP15" s="71">
        <v>0</v>
      </c>
      <c r="LQ15" s="71">
        <v>0</v>
      </c>
      <c r="LR15" s="71">
        <v>0</v>
      </c>
      <c r="LS15" s="71">
        <v>0</v>
      </c>
      <c r="LT15" s="71">
        <v>0</v>
      </c>
      <c r="LU15" s="45">
        <v>0</v>
      </c>
      <c r="LV15" s="45">
        <v>0</v>
      </c>
      <c r="LW15" s="45">
        <v>0</v>
      </c>
      <c r="LX15" s="45">
        <v>0</v>
      </c>
      <c r="LY15" s="45">
        <v>0</v>
      </c>
      <c r="LZ15" s="38">
        <f t="shared" si="8"/>
        <v>0</v>
      </c>
      <c r="MA15" s="26"/>
      <c r="MB15" s="45">
        <v>0</v>
      </c>
      <c r="MC15" s="45">
        <v>0</v>
      </c>
      <c r="MD15" s="45">
        <v>0</v>
      </c>
      <c r="ME15" s="45">
        <v>0</v>
      </c>
      <c r="MF15" s="45">
        <v>0</v>
      </c>
      <c r="MG15" s="45">
        <v>0</v>
      </c>
      <c r="MH15" s="45">
        <v>0</v>
      </c>
      <c r="MI15" s="45">
        <v>0</v>
      </c>
      <c r="MJ15" s="45">
        <v>0</v>
      </c>
      <c r="MK15" s="45">
        <v>0</v>
      </c>
      <c r="ML15" s="45">
        <v>0</v>
      </c>
      <c r="MM15" s="45">
        <v>0</v>
      </c>
      <c r="MN15" s="38">
        <f t="shared" si="9"/>
        <v>0</v>
      </c>
      <c r="MO15" s="32">
        <v>0</v>
      </c>
      <c r="MP15" s="32">
        <v>0</v>
      </c>
      <c r="MQ15" s="32">
        <v>0</v>
      </c>
      <c r="MR15" s="32">
        <v>0</v>
      </c>
      <c r="MS15" s="32">
        <v>0</v>
      </c>
      <c r="MT15" s="32">
        <v>0</v>
      </c>
      <c r="MU15" s="32">
        <v>0</v>
      </c>
      <c r="MV15" s="32">
        <v>0</v>
      </c>
      <c r="MW15" s="32">
        <v>0</v>
      </c>
      <c r="MX15" s="32">
        <v>0</v>
      </c>
      <c r="MY15" s="32">
        <v>0</v>
      </c>
      <c r="MZ15" s="32">
        <v>0</v>
      </c>
      <c r="NA15" s="38">
        <f t="shared" si="10"/>
        <v>0</v>
      </c>
      <c r="NB15" s="36">
        <f t="shared" si="33"/>
        <v>0</v>
      </c>
      <c r="NC15" s="26"/>
      <c r="ND15" s="32">
        <v>0</v>
      </c>
      <c r="NE15" s="32">
        <v>0</v>
      </c>
      <c r="NF15" s="32">
        <v>0</v>
      </c>
      <c r="NG15" s="32">
        <v>0</v>
      </c>
      <c r="NH15" s="32">
        <v>0</v>
      </c>
      <c r="NI15" s="32">
        <v>0</v>
      </c>
      <c r="NJ15" s="32">
        <v>0</v>
      </c>
      <c r="NK15" s="32">
        <v>0</v>
      </c>
      <c r="NL15" s="32">
        <v>0</v>
      </c>
      <c r="NM15" s="32">
        <v>0</v>
      </c>
      <c r="NN15" s="32">
        <v>0</v>
      </c>
      <c r="NO15" s="32">
        <v>0</v>
      </c>
      <c r="NP15" s="118">
        <f t="shared" si="11"/>
        <v>0</v>
      </c>
      <c r="NQ15" s="36">
        <f t="shared" si="34"/>
        <v>0</v>
      </c>
      <c r="NR15" s="36">
        <f t="shared" si="35"/>
        <v>0</v>
      </c>
      <c r="NS15" s="36">
        <f t="shared" si="36"/>
        <v>0</v>
      </c>
      <c r="NT15" s="36">
        <f t="shared" si="37"/>
        <v>0</v>
      </c>
      <c r="NU15" s="18"/>
      <c r="NV15" s="18"/>
      <c r="NW15" s="18"/>
      <c r="NX15" s="19"/>
      <c r="NY15" s="19"/>
      <c r="NZ15" s="19"/>
      <c r="OA15" s="19"/>
      <c r="OB15" s="19"/>
      <c r="OC15" s="19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8"/>
      <c r="OR15" s="18"/>
      <c r="OS15" s="18"/>
      <c r="OT15" s="18"/>
      <c r="OU15" s="18"/>
      <c r="OV15" s="18"/>
      <c r="OW15" s="18"/>
      <c r="OX15" s="19"/>
      <c r="OY15" s="19"/>
      <c r="OZ15" s="19"/>
      <c r="PA15" s="19"/>
      <c r="PB15" s="19"/>
      <c r="PC15" s="19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8"/>
      <c r="PR15" s="18"/>
      <c r="PS15" s="18"/>
      <c r="PT15" s="18"/>
      <c r="PU15" s="18"/>
      <c r="PV15" s="18"/>
      <c r="PW15" s="18"/>
      <c r="PX15" s="19"/>
      <c r="PY15" s="19"/>
      <c r="PZ15" s="19"/>
      <c r="QA15" s="19"/>
      <c r="QB15" s="19"/>
      <c r="QC15" s="19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</row>
    <row r="16" spans="1:458" s="1" customFormat="1" ht="50.1" customHeight="1" x14ac:dyDescent="0.25">
      <c r="A16" s="120">
        <v>2018</v>
      </c>
      <c r="B16" s="6" t="s">
        <v>17</v>
      </c>
      <c r="C16" s="23"/>
      <c r="D16" s="41">
        <v>3413</v>
      </c>
      <c r="E16" s="41">
        <v>740</v>
      </c>
      <c r="F16" s="41">
        <v>3386</v>
      </c>
      <c r="G16" s="41">
        <v>3063</v>
      </c>
      <c r="H16" s="41">
        <v>3653</v>
      </c>
      <c r="I16" s="41">
        <v>3652</v>
      </c>
      <c r="J16" s="41">
        <v>3647</v>
      </c>
      <c r="K16" s="41">
        <v>3590</v>
      </c>
      <c r="L16" s="41">
        <v>3822</v>
      </c>
      <c r="M16" s="41">
        <v>4179</v>
      </c>
      <c r="N16" s="41">
        <v>3709</v>
      </c>
      <c r="O16" s="41">
        <v>3428</v>
      </c>
      <c r="P16" s="38">
        <f t="shared" si="12"/>
        <v>40282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38">
        <f t="shared" si="38"/>
        <v>0</v>
      </c>
      <c r="AD16" s="36">
        <f t="shared" si="13"/>
        <v>40282</v>
      </c>
      <c r="AE16" s="26"/>
      <c r="AF16" s="32">
        <v>128</v>
      </c>
      <c r="AG16" s="32">
        <v>126</v>
      </c>
      <c r="AH16" s="32">
        <v>132</v>
      </c>
      <c r="AI16" s="32">
        <v>136</v>
      </c>
      <c r="AJ16" s="32">
        <v>137</v>
      </c>
      <c r="AK16" s="32">
        <v>144</v>
      </c>
      <c r="AL16" s="32">
        <v>140</v>
      </c>
      <c r="AM16" s="32">
        <v>137</v>
      </c>
      <c r="AN16" s="32">
        <v>150</v>
      </c>
      <c r="AO16" s="32">
        <v>132</v>
      </c>
      <c r="AP16" s="32">
        <v>140</v>
      </c>
      <c r="AQ16" s="32">
        <v>142</v>
      </c>
      <c r="AR16" s="38">
        <f t="shared" si="14"/>
        <v>1644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8">
        <f t="shared" si="15"/>
        <v>0</v>
      </c>
      <c r="BF16" s="36">
        <f t="shared" si="16"/>
        <v>1644</v>
      </c>
      <c r="BG16" s="26"/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  <c r="BQ16" s="41">
        <v>0</v>
      </c>
      <c r="BR16" s="41">
        <v>0</v>
      </c>
      <c r="BS16" s="41">
        <v>0</v>
      </c>
      <c r="BT16" s="38">
        <f t="shared" si="17"/>
        <v>0</v>
      </c>
      <c r="BU16" s="54">
        <v>635</v>
      </c>
      <c r="BV16" s="54">
        <v>663</v>
      </c>
      <c r="BW16" s="54">
        <v>566</v>
      </c>
      <c r="BX16" s="54">
        <v>658</v>
      </c>
      <c r="BY16" s="54">
        <v>489</v>
      </c>
      <c r="BZ16" s="54">
        <v>492</v>
      </c>
      <c r="CA16" s="54">
        <v>646</v>
      </c>
      <c r="CB16" s="54">
        <v>531</v>
      </c>
      <c r="CC16" s="54">
        <v>535</v>
      </c>
      <c r="CD16" s="54">
        <v>947</v>
      </c>
      <c r="CE16" s="54">
        <v>660</v>
      </c>
      <c r="CF16" s="54">
        <v>493</v>
      </c>
      <c r="CG16" s="38">
        <f t="shared" si="18"/>
        <v>7315</v>
      </c>
      <c r="CH16" s="36">
        <f t="shared" si="19"/>
        <v>7315</v>
      </c>
      <c r="CI16" s="26"/>
      <c r="CJ16" s="32">
        <v>0</v>
      </c>
      <c r="CK16" s="32">
        <v>0</v>
      </c>
      <c r="CL16" s="32">
        <v>0</v>
      </c>
      <c r="CM16" s="32">
        <v>0</v>
      </c>
      <c r="CN16" s="32">
        <v>0</v>
      </c>
      <c r="CO16" s="32">
        <v>0</v>
      </c>
      <c r="CP16" s="32">
        <v>0</v>
      </c>
      <c r="CQ16" s="32">
        <v>0</v>
      </c>
      <c r="CR16" s="32">
        <v>0</v>
      </c>
      <c r="CS16" s="32">
        <v>0</v>
      </c>
      <c r="CT16" s="32">
        <v>0</v>
      </c>
      <c r="CU16" s="32">
        <v>0</v>
      </c>
      <c r="CV16" s="38">
        <f t="shared" si="20"/>
        <v>0</v>
      </c>
      <c r="CW16" s="54">
        <v>1348</v>
      </c>
      <c r="CX16" s="54">
        <v>1059</v>
      </c>
      <c r="CY16" s="54">
        <v>1711</v>
      </c>
      <c r="CZ16" s="54">
        <v>1503</v>
      </c>
      <c r="DA16" s="54">
        <v>1524</v>
      </c>
      <c r="DB16" s="54">
        <v>1156</v>
      </c>
      <c r="DC16" s="54">
        <v>1633</v>
      </c>
      <c r="DD16" s="54">
        <v>1234</v>
      </c>
      <c r="DE16" s="54">
        <v>1198</v>
      </c>
      <c r="DF16" s="54">
        <v>1339</v>
      </c>
      <c r="DG16" s="54">
        <v>1279</v>
      </c>
      <c r="DH16" s="54">
        <v>1311</v>
      </c>
      <c r="DI16" s="38">
        <f t="shared" si="21"/>
        <v>16295</v>
      </c>
      <c r="DJ16" s="36">
        <f t="shared" si="22"/>
        <v>16295</v>
      </c>
      <c r="DK16" s="26"/>
      <c r="DL16" s="75">
        <v>938</v>
      </c>
      <c r="DM16" s="76">
        <v>1058</v>
      </c>
      <c r="DN16" s="75">
        <v>930</v>
      </c>
      <c r="DO16" s="75">
        <v>921</v>
      </c>
      <c r="DP16" s="75">
        <v>1130</v>
      </c>
      <c r="DQ16" s="75">
        <v>776</v>
      </c>
      <c r="DR16" s="75">
        <v>788</v>
      </c>
      <c r="DS16" s="75">
        <v>800</v>
      </c>
      <c r="DT16" s="75">
        <v>682</v>
      </c>
      <c r="DU16" s="75">
        <v>684</v>
      </c>
      <c r="DV16" s="75">
        <v>743</v>
      </c>
      <c r="DW16" s="75">
        <v>594</v>
      </c>
      <c r="DX16" s="38">
        <f t="shared" si="0"/>
        <v>10044</v>
      </c>
      <c r="DY16" s="64">
        <v>1672</v>
      </c>
      <c r="DZ16" s="64">
        <v>1672</v>
      </c>
      <c r="EA16" s="64">
        <v>1506</v>
      </c>
      <c r="EB16" s="64">
        <v>1582</v>
      </c>
      <c r="EC16" s="64">
        <v>1561</v>
      </c>
      <c r="ED16" s="64">
        <v>1487</v>
      </c>
      <c r="EE16" s="64">
        <v>1653</v>
      </c>
      <c r="EF16" s="64">
        <v>1668</v>
      </c>
      <c r="EG16" s="64">
        <v>1284</v>
      </c>
      <c r="EH16" s="64">
        <v>1795</v>
      </c>
      <c r="EI16" s="64">
        <v>1764</v>
      </c>
      <c r="EJ16" s="64">
        <v>1230</v>
      </c>
      <c r="EK16" s="38">
        <f t="shared" si="23"/>
        <v>18874</v>
      </c>
      <c r="EL16" s="36">
        <f t="shared" si="1"/>
        <v>28918</v>
      </c>
      <c r="EM16" s="26"/>
      <c r="EN16" s="32">
        <v>1874</v>
      </c>
      <c r="EO16" s="32">
        <v>1912</v>
      </c>
      <c r="EP16" s="32">
        <v>2050</v>
      </c>
      <c r="EQ16" s="32">
        <v>2206</v>
      </c>
      <c r="ER16" s="32">
        <v>1388</v>
      </c>
      <c r="ES16" s="32">
        <v>1476</v>
      </c>
      <c r="ET16" s="32">
        <v>1936</v>
      </c>
      <c r="EU16" s="32">
        <v>1780</v>
      </c>
      <c r="EV16" s="32">
        <v>1508</v>
      </c>
      <c r="EW16" s="32">
        <v>1672</v>
      </c>
      <c r="EX16" s="32">
        <v>1386</v>
      </c>
      <c r="EY16" s="32">
        <v>1256</v>
      </c>
      <c r="EZ16" s="38">
        <f t="shared" si="24"/>
        <v>20444</v>
      </c>
      <c r="FA16" s="26"/>
      <c r="FB16" s="104">
        <v>5431</v>
      </c>
      <c r="FC16" s="104">
        <v>4190</v>
      </c>
      <c r="FD16" s="104">
        <v>3491</v>
      </c>
      <c r="FE16" s="104">
        <v>4139</v>
      </c>
      <c r="FF16" s="104">
        <v>4174</v>
      </c>
      <c r="FG16" s="104">
        <v>3592</v>
      </c>
      <c r="FH16" s="104">
        <v>4333</v>
      </c>
      <c r="FI16" s="104">
        <v>3684</v>
      </c>
      <c r="FJ16" s="104">
        <v>2695</v>
      </c>
      <c r="FK16" s="104">
        <v>5025</v>
      </c>
      <c r="FL16" s="104">
        <v>2721</v>
      </c>
      <c r="FM16" s="104">
        <v>3338</v>
      </c>
      <c r="FN16" s="38">
        <f t="shared" si="25"/>
        <v>46813</v>
      </c>
      <c r="FO16" s="26"/>
      <c r="FP16" s="32">
        <v>1094</v>
      </c>
      <c r="FQ16" s="32">
        <v>1050</v>
      </c>
      <c r="FR16" s="32">
        <v>988</v>
      </c>
      <c r="FS16" s="32">
        <v>921</v>
      </c>
      <c r="FT16" s="32">
        <v>882</v>
      </c>
      <c r="FU16" s="32">
        <v>898</v>
      </c>
      <c r="FV16" s="32">
        <v>851</v>
      </c>
      <c r="FW16" s="32">
        <v>867</v>
      </c>
      <c r="FX16" s="32">
        <v>852</v>
      </c>
      <c r="FY16" s="32">
        <v>895</v>
      </c>
      <c r="FZ16" s="32">
        <v>773</v>
      </c>
      <c r="GA16" s="32">
        <v>605</v>
      </c>
      <c r="GB16" s="38">
        <f t="shared" si="26"/>
        <v>10676</v>
      </c>
      <c r="GC16" s="26"/>
      <c r="GD16" s="101">
        <v>1918</v>
      </c>
      <c r="GE16" s="101">
        <v>1773</v>
      </c>
      <c r="GF16" s="101">
        <v>1724</v>
      </c>
      <c r="GG16" s="101">
        <v>1810</v>
      </c>
      <c r="GH16" s="101">
        <v>1784</v>
      </c>
      <c r="GI16" s="101">
        <v>1750</v>
      </c>
      <c r="GJ16" s="101">
        <v>2091</v>
      </c>
      <c r="GK16" s="101">
        <v>2310</v>
      </c>
      <c r="GL16" s="101">
        <v>1848</v>
      </c>
      <c r="GM16" s="101">
        <v>2356</v>
      </c>
      <c r="GN16" s="101">
        <v>1912</v>
      </c>
      <c r="GO16" s="101">
        <v>1844</v>
      </c>
      <c r="GP16" s="38">
        <f t="shared" si="27"/>
        <v>23120</v>
      </c>
      <c r="GQ16" s="26"/>
      <c r="GR16" s="32">
        <v>477</v>
      </c>
      <c r="GS16" s="32">
        <v>600</v>
      </c>
      <c r="GT16" s="32">
        <v>491</v>
      </c>
      <c r="GU16" s="32">
        <v>729</v>
      </c>
      <c r="GV16" s="32">
        <v>738</v>
      </c>
      <c r="GW16" s="32">
        <v>620</v>
      </c>
      <c r="GX16" s="32">
        <v>826</v>
      </c>
      <c r="GY16" s="32">
        <v>700</v>
      </c>
      <c r="GZ16" s="32">
        <v>670</v>
      </c>
      <c r="HA16" s="32">
        <v>800</v>
      </c>
      <c r="HB16" s="32">
        <v>583</v>
      </c>
      <c r="HC16" s="32">
        <v>634</v>
      </c>
      <c r="HD16" s="38">
        <f t="shared" si="28"/>
        <v>7868</v>
      </c>
      <c r="HE16" s="26"/>
      <c r="HF16" s="54">
        <v>2405</v>
      </c>
      <c r="HG16" s="54">
        <v>2184</v>
      </c>
      <c r="HH16" s="54">
        <v>1842</v>
      </c>
      <c r="HI16" s="54">
        <v>2298</v>
      </c>
      <c r="HJ16" s="54">
        <v>2131</v>
      </c>
      <c r="HK16" s="54">
        <v>2281</v>
      </c>
      <c r="HL16" s="54">
        <v>2776</v>
      </c>
      <c r="HM16" s="54">
        <v>2620</v>
      </c>
      <c r="HN16" s="54">
        <v>2251</v>
      </c>
      <c r="HO16" s="54">
        <v>2633</v>
      </c>
      <c r="HP16" s="54">
        <v>3572</v>
      </c>
      <c r="HQ16" s="54">
        <v>2564</v>
      </c>
      <c r="HR16" s="38">
        <f t="shared" si="29"/>
        <v>29557</v>
      </c>
      <c r="HS16" s="26"/>
      <c r="HT16" s="32">
        <v>319</v>
      </c>
      <c r="HU16" s="32">
        <v>296</v>
      </c>
      <c r="HV16" s="32">
        <v>314</v>
      </c>
      <c r="HW16" s="32">
        <v>305</v>
      </c>
      <c r="HX16" s="32">
        <v>298</v>
      </c>
      <c r="HY16" s="32">
        <v>295</v>
      </c>
      <c r="HZ16" s="32">
        <v>319</v>
      </c>
      <c r="IA16" s="32">
        <v>279</v>
      </c>
      <c r="IB16" s="32">
        <v>304</v>
      </c>
      <c r="IC16" s="32">
        <v>295</v>
      </c>
      <c r="ID16" s="32">
        <v>302</v>
      </c>
      <c r="IE16" s="69">
        <v>205</v>
      </c>
      <c r="IF16" s="38">
        <f t="shared" si="2"/>
        <v>3531</v>
      </c>
      <c r="IG16" s="104">
        <v>1660</v>
      </c>
      <c r="IH16" s="104">
        <v>1319</v>
      </c>
      <c r="II16" s="104">
        <v>1503</v>
      </c>
      <c r="IJ16" s="104">
        <v>1366</v>
      </c>
      <c r="IK16" s="104">
        <v>1355</v>
      </c>
      <c r="IL16" s="104">
        <v>1242</v>
      </c>
      <c r="IM16" s="104">
        <v>1642</v>
      </c>
      <c r="IN16" s="104">
        <v>1481</v>
      </c>
      <c r="IO16" s="104">
        <v>1506</v>
      </c>
      <c r="IP16" s="104">
        <v>1747</v>
      </c>
      <c r="IQ16" s="104">
        <v>1185</v>
      </c>
      <c r="IR16" s="107">
        <v>1291</v>
      </c>
      <c r="IS16" s="38">
        <f t="shared" si="3"/>
        <v>17297</v>
      </c>
      <c r="IT16" s="36">
        <f t="shared" si="39"/>
        <v>20828</v>
      </c>
      <c r="IU16" s="26"/>
      <c r="IV16" s="32">
        <v>205</v>
      </c>
      <c r="IW16" s="32">
        <v>236</v>
      </c>
      <c r="IX16" s="32">
        <v>248</v>
      </c>
      <c r="IY16" s="32">
        <v>253</v>
      </c>
      <c r="IZ16" s="32">
        <v>199</v>
      </c>
      <c r="JA16" s="32">
        <v>205</v>
      </c>
      <c r="JB16" s="32">
        <v>222</v>
      </c>
      <c r="JC16" s="32">
        <v>209</v>
      </c>
      <c r="JD16" s="32">
        <v>194</v>
      </c>
      <c r="JE16" s="32">
        <v>253</v>
      </c>
      <c r="JF16" s="32">
        <v>271</v>
      </c>
      <c r="JG16" s="32">
        <v>241</v>
      </c>
      <c r="JH16" s="38">
        <f t="shared" si="4"/>
        <v>2736</v>
      </c>
      <c r="JI16" s="109">
        <v>4791.2</v>
      </c>
      <c r="JJ16" s="97">
        <v>3556</v>
      </c>
      <c r="JK16" s="97">
        <v>2947.2000000000003</v>
      </c>
      <c r="JL16" s="97">
        <v>4040</v>
      </c>
      <c r="JM16" s="97">
        <v>2436.8000000000002</v>
      </c>
      <c r="JN16" s="97">
        <v>3523.2000000000003</v>
      </c>
      <c r="JO16" s="97">
        <v>3806.4</v>
      </c>
      <c r="JP16" s="97">
        <v>3427.2000000000003</v>
      </c>
      <c r="JQ16" s="97">
        <v>3083.2000000000003</v>
      </c>
      <c r="JR16" s="97">
        <v>4001.6000000000004</v>
      </c>
      <c r="JS16" s="97">
        <v>3698.4</v>
      </c>
      <c r="JT16" s="97">
        <v>3560</v>
      </c>
      <c r="JU16" s="35">
        <f t="shared" si="5"/>
        <v>42871.200000000004</v>
      </c>
      <c r="JV16" s="40">
        <f t="shared" si="30"/>
        <v>45607.200000000004</v>
      </c>
      <c r="JW16" s="26"/>
      <c r="JX16" s="32">
        <v>0</v>
      </c>
      <c r="JY16" s="32">
        <v>0</v>
      </c>
      <c r="JZ16" s="32">
        <v>0</v>
      </c>
      <c r="KA16" s="32">
        <v>0</v>
      </c>
      <c r="KB16" s="32">
        <v>0</v>
      </c>
      <c r="KC16" s="32">
        <v>0</v>
      </c>
      <c r="KD16" s="32">
        <v>0</v>
      </c>
      <c r="KE16" s="32">
        <v>0</v>
      </c>
      <c r="KF16" s="32">
        <v>61</v>
      </c>
      <c r="KG16" s="32">
        <v>170</v>
      </c>
      <c r="KH16" s="32">
        <v>292</v>
      </c>
      <c r="KI16" s="32">
        <v>153</v>
      </c>
      <c r="KJ16" s="38">
        <f t="shared" si="6"/>
        <v>676</v>
      </c>
      <c r="KK16" s="32">
        <v>1275</v>
      </c>
      <c r="KL16" s="32">
        <v>1323</v>
      </c>
      <c r="KM16" s="32">
        <v>1199</v>
      </c>
      <c r="KN16" s="32">
        <v>1236</v>
      </c>
      <c r="KO16" s="32">
        <v>895</v>
      </c>
      <c r="KP16" s="32">
        <v>716</v>
      </c>
      <c r="KQ16" s="32">
        <v>1004</v>
      </c>
      <c r="KR16" s="32">
        <v>1243</v>
      </c>
      <c r="KS16" s="32">
        <v>1201</v>
      </c>
      <c r="KT16" s="32">
        <v>1289</v>
      </c>
      <c r="KU16" s="32">
        <v>998</v>
      </c>
      <c r="KV16" s="32">
        <v>567</v>
      </c>
      <c r="KW16" s="38">
        <f>SUM(KK16:KV16)</f>
        <v>12946</v>
      </c>
      <c r="KX16" s="36">
        <f>SUM(KJ16+KW16)</f>
        <v>13622</v>
      </c>
      <c r="KY16" s="26"/>
      <c r="KZ16" s="32">
        <v>0</v>
      </c>
      <c r="LA16" s="32">
        <v>0</v>
      </c>
      <c r="LB16" s="32">
        <v>0</v>
      </c>
      <c r="LC16" s="32">
        <v>0</v>
      </c>
      <c r="LD16" s="32">
        <v>0</v>
      </c>
      <c r="LE16" s="32">
        <v>0</v>
      </c>
      <c r="LF16" s="32">
        <v>0</v>
      </c>
      <c r="LG16" s="32">
        <v>0</v>
      </c>
      <c r="LH16" s="32">
        <v>0</v>
      </c>
      <c r="LI16" s="32">
        <v>0</v>
      </c>
      <c r="LJ16" s="32">
        <v>0</v>
      </c>
      <c r="LK16" s="69">
        <v>0</v>
      </c>
      <c r="LL16" s="38">
        <f t="shared" si="32"/>
        <v>0</v>
      </c>
      <c r="LM16" s="26"/>
      <c r="LN16" s="71">
        <v>5013</v>
      </c>
      <c r="LO16" s="71">
        <v>6328</v>
      </c>
      <c r="LP16" s="71">
        <v>5641</v>
      </c>
      <c r="LQ16" s="71">
        <v>6171</v>
      </c>
      <c r="LR16" s="71">
        <v>5620</v>
      </c>
      <c r="LS16" s="71">
        <v>5523</v>
      </c>
      <c r="LT16" s="71">
        <v>6028</v>
      </c>
      <c r="LU16" s="45">
        <v>5435</v>
      </c>
      <c r="LV16" s="45">
        <v>4638</v>
      </c>
      <c r="LW16" s="45">
        <v>5576</v>
      </c>
      <c r="LX16" s="45">
        <v>5419</v>
      </c>
      <c r="LY16" s="45">
        <v>5596</v>
      </c>
      <c r="LZ16" s="38">
        <f t="shared" si="8"/>
        <v>66988</v>
      </c>
      <c r="MA16" s="26"/>
      <c r="MB16" s="45">
        <v>4396</v>
      </c>
      <c r="MC16" s="45">
        <v>3989</v>
      </c>
      <c r="MD16" s="45">
        <v>4702</v>
      </c>
      <c r="ME16" s="45">
        <v>4323</v>
      </c>
      <c r="MF16" s="45">
        <v>4947</v>
      </c>
      <c r="MG16" s="45">
        <v>4621</v>
      </c>
      <c r="MH16" s="45">
        <v>4810</v>
      </c>
      <c r="MI16" s="45">
        <v>5214</v>
      </c>
      <c r="MJ16" s="45">
        <v>5129</v>
      </c>
      <c r="MK16" s="45">
        <v>5384</v>
      </c>
      <c r="ML16" s="45">
        <v>4769</v>
      </c>
      <c r="MM16" s="45">
        <v>4508</v>
      </c>
      <c r="MN16" s="38">
        <f t="shared" si="9"/>
        <v>56792</v>
      </c>
      <c r="MO16" s="32">
        <v>4604</v>
      </c>
      <c r="MP16" s="32">
        <v>2397</v>
      </c>
      <c r="MQ16" s="32">
        <v>2051</v>
      </c>
      <c r="MR16" s="32">
        <v>2558</v>
      </c>
      <c r="MS16" s="32">
        <v>3211</v>
      </c>
      <c r="MT16" s="32">
        <v>2899</v>
      </c>
      <c r="MU16" s="32">
        <v>5336</v>
      </c>
      <c r="MV16" s="32">
        <v>4680</v>
      </c>
      <c r="MW16" s="32">
        <v>4274</v>
      </c>
      <c r="MX16" s="32">
        <v>6647</v>
      </c>
      <c r="MY16" s="32">
        <v>6863</v>
      </c>
      <c r="MZ16" s="32">
        <v>3550</v>
      </c>
      <c r="NA16" s="38">
        <f t="shared" si="10"/>
        <v>49070</v>
      </c>
      <c r="NB16" s="36">
        <f t="shared" si="33"/>
        <v>105862</v>
      </c>
      <c r="NC16" s="26"/>
      <c r="ND16" s="32">
        <v>1440</v>
      </c>
      <c r="NE16" s="32">
        <v>1382</v>
      </c>
      <c r="NF16" s="32">
        <v>1124</v>
      </c>
      <c r="NG16" s="32">
        <v>1179</v>
      </c>
      <c r="NH16" s="32">
        <v>727</v>
      </c>
      <c r="NI16" s="32">
        <v>688</v>
      </c>
      <c r="NJ16" s="32">
        <v>1043</v>
      </c>
      <c r="NK16" s="32">
        <v>661</v>
      </c>
      <c r="NL16" s="32">
        <v>608</v>
      </c>
      <c r="NM16" s="32">
        <v>1099</v>
      </c>
      <c r="NN16" s="32">
        <v>742</v>
      </c>
      <c r="NO16" s="32">
        <v>616</v>
      </c>
      <c r="NP16" s="118">
        <f t="shared" si="11"/>
        <v>11309</v>
      </c>
      <c r="NQ16" s="36">
        <f t="shared" si="34"/>
        <v>64045</v>
      </c>
      <c r="NR16" s="36">
        <f t="shared" si="35"/>
        <v>341162</v>
      </c>
      <c r="NS16" s="36">
        <f t="shared" si="36"/>
        <v>91941.200000000012</v>
      </c>
      <c r="NT16" s="36">
        <f t="shared" si="37"/>
        <v>497148.2</v>
      </c>
      <c r="NU16" s="18"/>
      <c r="NV16" s="18"/>
      <c r="NW16" s="18"/>
      <c r="NX16" s="19"/>
      <c r="NY16" s="19"/>
      <c r="NZ16" s="19"/>
      <c r="OA16" s="19"/>
      <c r="OB16" s="19"/>
      <c r="OC16" s="19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8"/>
      <c r="OR16" s="18"/>
      <c r="OS16" s="18"/>
      <c r="OT16" s="18"/>
      <c r="OU16" s="18"/>
      <c r="OV16" s="18"/>
      <c r="OW16" s="18"/>
      <c r="OX16" s="19"/>
      <c r="OY16" s="19"/>
      <c r="OZ16" s="19"/>
      <c r="PA16" s="19"/>
      <c r="PB16" s="19"/>
      <c r="PC16" s="19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8"/>
      <c r="PR16" s="18"/>
      <c r="PS16" s="18"/>
      <c r="PT16" s="18"/>
      <c r="PU16" s="18"/>
      <c r="PV16" s="18"/>
      <c r="PW16" s="18"/>
      <c r="PX16" s="19"/>
      <c r="PY16" s="19"/>
      <c r="PZ16" s="19"/>
      <c r="QA16" s="19"/>
      <c r="QB16" s="19"/>
      <c r="QC16" s="19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</row>
    <row r="17" spans="1:458" s="1" customFormat="1" ht="50.1" customHeight="1" x14ac:dyDescent="0.25">
      <c r="A17" s="120"/>
      <c r="B17" s="6" t="s">
        <v>18</v>
      </c>
      <c r="C17" s="23"/>
      <c r="D17" s="41">
        <v>544</v>
      </c>
      <c r="E17" s="41">
        <v>172</v>
      </c>
      <c r="F17" s="41">
        <v>504</v>
      </c>
      <c r="G17" s="41">
        <v>289</v>
      </c>
      <c r="H17" s="41">
        <v>253</v>
      </c>
      <c r="I17" s="41">
        <v>206</v>
      </c>
      <c r="J17" s="41">
        <v>135</v>
      </c>
      <c r="K17" s="41">
        <v>290</v>
      </c>
      <c r="L17" s="41">
        <v>256</v>
      </c>
      <c r="M17" s="41">
        <v>182</v>
      </c>
      <c r="N17" s="41">
        <v>368</v>
      </c>
      <c r="O17" s="41">
        <v>226</v>
      </c>
      <c r="P17" s="38">
        <f t="shared" si="12"/>
        <v>3425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38">
        <f t="shared" si="38"/>
        <v>0</v>
      </c>
      <c r="AD17" s="36">
        <f t="shared" si="13"/>
        <v>3425</v>
      </c>
      <c r="AE17" s="26"/>
      <c r="AF17" s="32">
        <v>4</v>
      </c>
      <c r="AG17" s="32">
        <v>3</v>
      </c>
      <c r="AH17" s="32">
        <v>4</v>
      </c>
      <c r="AI17" s="32">
        <v>2</v>
      </c>
      <c r="AJ17" s="32">
        <v>5</v>
      </c>
      <c r="AK17" s="32">
        <v>3</v>
      </c>
      <c r="AL17" s="32">
        <v>6</v>
      </c>
      <c r="AM17" s="32">
        <v>1</v>
      </c>
      <c r="AN17" s="32">
        <v>2</v>
      </c>
      <c r="AO17" s="32">
        <v>1</v>
      </c>
      <c r="AP17" s="32">
        <v>1</v>
      </c>
      <c r="AQ17" s="32">
        <v>3</v>
      </c>
      <c r="AR17" s="38">
        <f t="shared" si="14"/>
        <v>35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8">
        <f t="shared" si="15"/>
        <v>0</v>
      </c>
      <c r="BF17" s="36">
        <f t="shared" si="16"/>
        <v>35</v>
      </c>
      <c r="BG17" s="26"/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  <c r="BQ17" s="41">
        <v>0</v>
      </c>
      <c r="BR17" s="41">
        <v>0</v>
      </c>
      <c r="BS17" s="41">
        <v>0</v>
      </c>
      <c r="BT17" s="38">
        <f t="shared" si="17"/>
        <v>0</v>
      </c>
      <c r="BU17" s="54">
        <v>139</v>
      </c>
      <c r="BV17" s="54">
        <v>126</v>
      </c>
      <c r="BW17" s="54">
        <v>127</v>
      </c>
      <c r="BX17" s="54">
        <v>123</v>
      </c>
      <c r="BY17" s="54">
        <v>164</v>
      </c>
      <c r="BZ17" s="54">
        <v>141</v>
      </c>
      <c r="CA17" s="54">
        <v>115</v>
      </c>
      <c r="CB17" s="54">
        <v>184</v>
      </c>
      <c r="CC17" s="54">
        <v>172</v>
      </c>
      <c r="CD17" s="54">
        <v>176</v>
      </c>
      <c r="CE17" s="54">
        <v>166</v>
      </c>
      <c r="CF17" s="54">
        <v>199</v>
      </c>
      <c r="CG17" s="38">
        <f t="shared" si="18"/>
        <v>1832</v>
      </c>
      <c r="CH17" s="36">
        <f t="shared" si="19"/>
        <v>1832</v>
      </c>
      <c r="CI17" s="26"/>
      <c r="CJ17" s="32">
        <v>0</v>
      </c>
      <c r="CK17" s="32">
        <v>0</v>
      </c>
      <c r="CL17" s="32">
        <v>0</v>
      </c>
      <c r="CM17" s="32">
        <v>0</v>
      </c>
      <c r="CN17" s="32">
        <v>0</v>
      </c>
      <c r="CO17" s="32">
        <v>0</v>
      </c>
      <c r="CP17" s="32">
        <v>0</v>
      </c>
      <c r="CQ17" s="32">
        <v>0</v>
      </c>
      <c r="CR17" s="32">
        <v>0</v>
      </c>
      <c r="CS17" s="32">
        <v>0</v>
      </c>
      <c r="CT17" s="32">
        <v>0</v>
      </c>
      <c r="CU17" s="32">
        <v>0</v>
      </c>
      <c r="CV17" s="38">
        <f t="shared" si="20"/>
        <v>0</v>
      </c>
      <c r="CW17" s="54">
        <v>166</v>
      </c>
      <c r="CX17" s="54">
        <v>254</v>
      </c>
      <c r="CY17" s="54">
        <v>188</v>
      </c>
      <c r="CZ17" s="54">
        <v>85</v>
      </c>
      <c r="DA17" s="54">
        <v>229</v>
      </c>
      <c r="DB17" s="54">
        <v>262</v>
      </c>
      <c r="DC17" s="54">
        <v>240</v>
      </c>
      <c r="DD17" s="54">
        <v>274</v>
      </c>
      <c r="DE17" s="54">
        <v>239</v>
      </c>
      <c r="DF17" s="54">
        <v>181</v>
      </c>
      <c r="DG17" s="54">
        <v>196</v>
      </c>
      <c r="DH17" s="54">
        <v>198</v>
      </c>
      <c r="DI17" s="38">
        <f t="shared" si="21"/>
        <v>2512</v>
      </c>
      <c r="DJ17" s="36">
        <f t="shared" si="22"/>
        <v>2512</v>
      </c>
      <c r="DK17" s="26"/>
      <c r="DL17" s="75">
        <v>0</v>
      </c>
      <c r="DM17" s="75">
        <v>0</v>
      </c>
      <c r="DN17" s="75">
        <v>0</v>
      </c>
      <c r="DO17" s="75">
        <v>6</v>
      </c>
      <c r="DP17" s="75">
        <v>3</v>
      </c>
      <c r="DQ17" s="75">
        <v>29</v>
      </c>
      <c r="DR17" s="75">
        <v>8</v>
      </c>
      <c r="DS17" s="75">
        <v>6</v>
      </c>
      <c r="DT17" s="75">
        <v>22</v>
      </c>
      <c r="DU17" s="75">
        <v>25</v>
      </c>
      <c r="DV17" s="75">
        <v>31</v>
      </c>
      <c r="DW17" s="75">
        <v>73</v>
      </c>
      <c r="DX17" s="38">
        <f t="shared" si="0"/>
        <v>203</v>
      </c>
      <c r="DY17" s="64">
        <v>182</v>
      </c>
      <c r="DZ17" s="64">
        <v>182</v>
      </c>
      <c r="EA17" s="64">
        <v>189</v>
      </c>
      <c r="EB17" s="64">
        <v>249</v>
      </c>
      <c r="EC17" s="64">
        <v>284</v>
      </c>
      <c r="ED17" s="64">
        <v>194</v>
      </c>
      <c r="EE17" s="64">
        <v>127</v>
      </c>
      <c r="EF17" s="64">
        <v>169</v>
      </c>
      <c r="EG17" s="64">
        <v>180</v>
      </c>
      <c r="EH17" s="64">
        <v>146</v>
      </c>
      <c r="EI17" s="64">
        <v>106</v>
      </c>
      <c r="EJ17" s="64">
        <v>104</v>
      </c>
      <c r="EK17" s="38">
        <f t="shared" si="23"/>
        <v>2112</v>
      </c>
      <c r="EL17" s="36">
        <f t="shared" si="1"/>
        <v>2315</v>
      </c>
      <c r="EM17" s="26"/>
      <c r="EN17" s="32">
        <v>536</v>
      </c>
      <c r="EO17" s="32">
        <v>370</v>
      </c>
      <c r="EP17" s="32">
        <v>928</v>
      </c>
      <c r="EQ17" s="32">
        <v>698</v>
      </c>
      <c r="ER17" s="32">
        <v>596</v>
      </c>
      <c r="ES17" s="32">
        <v>430</v>
      </c>
      <c r="ET17" s="32">
        <v>338</v>
      </c>
      <c r="EU17" s="32">
        <v>368</v>
      </c>
      <c r="EV17" s="32">
        <v>604</v>
      </c>
      <c r="EW17" s="32">
        <v>722</v>
      </c>
      <c r="EX17" s="32">
        <v>366</v>
      </c>
      <c r="EY17" s="32">
        <v>540</v>
      </c>
      <c r="EZ17" s="38">
        <f t="shared" si="24"/>
        <v>6496</v>
      </c>
      <c r="FA17" s="26"/>
      <c r="FB17" s="104">
        <v>577</v>
      </c>
      <c r="FC17" s="104">
        <v>1190</v>
      </c>
      <c r="FD17" s="104">
        <v>1567</v>
      </c>
      <c r="FE17" s="104">
        <v>1517</v>
      </c>
      <c r="FF17" s="104">
        <v>1181</v>
      </c>
      <c r="FG17" s="104">
        <v>906</v>
      </c>
      <c r="FH17" s="104">
        <v>1071</v>
      </c>
      <c r="FI17" s="104">
        <v>1853</v>
      </c>
      <c r="FJ17" s="104">
        <v>1574</v>
      </c>
      <c r="FK17" s="104">
        <v>1665</v>
      </c>
      <c r="FL17" s="104">
        <v>1901</v>
      </c>
      <c r="FM17" s="104">
        <v>1643</v>
      </c>
      <c r="FN17" s="38">
        <f t="shared" si="25"/>
        <v>16645</v>
      </c>
      <c r="FO17" s="26"/>
      <c r="FP17" s="32">
        <v>205</v>
      </c>
      <c r="FQ17" s="32">
        <v>175</v>
      </c>
      <c r="FR17" s="32">
        <v>148</v>
      </c>
      <c r="FS17" s="32">
        <v>115</v>
      </c>
      <c r="FT17" s="32">
        <v>232</v>
      </c>
      <c r="FU17" s="32">
        <v>209</v>
      </c>
      <c r="FV17" s="32">
        <v>215</v>
      </c>
      <c r="FW17" s="32">
        <v>241</v>
      </c>
      <c r="FX17" s="32">
        <v>267</v>
      </c>
      <c r="FY17" s="32">
        <v>282</v>
      </c>
      <c r="FZ17" s="32">
        <v>230</v>
      </c>
      <c r="GA17" s="32">
        <v>191</v>
      </c>
      <c r="GB17" s="38">
        <f t="shared" si="26"/>
        <v>2510</v>
      </c>
      <c r="GC17" s="26"/>
      <c r="GD17" s="101">
        <v>286</v>
      </c>
      <c r="GE17" s="101">
        <v>304</v>
      </c>
      <c r="GF17" s="101">
        <v>344</v>
      </c>
      <c r="GG17" s="101">
        <v>568</v>
      </c>
      <c r="GH17" s="101">
        <v>498</v>
      </c>
      <c r="GI17" s="101">
        <v>365</v>
      </c>
      <c r="GJ17" s="101">
        <v>296</v>
      </c>
      <c r="GK17" s="101">
        <v>356</v>
      </c>
      <c r="GL17" s="101">
        <v>493</v>
      </c>
      <c r="GM17" s="101">
        <v>332</v>
      </c>
      <c r="GN17" s="101">
        <v>317</v>
      </c>
      <c r="GO17" s="101">
        <v>277</v>
      </c>
      <c r="GP17" s="38">
        <f t="shared" si="27"/>
        <v>4436</v>
      </c>
      <c r="GQ17" s="26"/>
      <c r="GR17" s="32">
        <v>171</v>
      </c>
      <c r="GS17" s="32">
        <v>129</v>
      </c>
      <c r="GT17" s="32">
        <v>113</v>
      </c>
      <c r="GU17" s="32">
        <v>160</v>
      </c>
      <c r="GV17" s="32">
        <v>147</v>
      </c>
      <c r="GW17" s="32">
        <v>176</v>
      </c>
      <c r="GX17" s="32">
        <v>108</v>
      </c>
      <c r="GY17" s="32">
        <v>172</v>
      </c>
      <c r="GZ17" s="32">
        <v>183</v>
      </c>
      <c r="HA17" s="32">
        <v>202</v>
      </c>
      <c r="HB17" s="32">
        <v>219</v>
      </c>
      <c r="HC17" s="32">
        <v>247</v>
      </c>
      <c r="HD17" s="38">
        <f t="shared" si="28"/>
        <v>2027</v>
      </c>
      <c r="HE17" s="26"/>
      <c r="HF17" s="54">
        <v>1007</v>
      </c>
      <c r="HG17" s="54">
        <v>1022</v>
      </c>
      <c r="HH17" s="54">
        <v>1080</v>
      </c>
      <c r="HI17" s="54">
        <v>1041</v>
      </c>
      <c r="HJ17" s="54">
        <v>920</v>
      </c>
      <c r="HK17" s="54">
        <v>1060</v>
      </c>
      <c r="HL17" s="54">
        <v>919</v>
      </c>
      <c r="HM17" s="54">
        <v>869</v>
      </c>
      <c r="HN17" s="54">
        <v>1090</v>
      </c>
      <c r="HO17" s="54">
        <v>1005</v>
      </c>
      <c r="HP17" s="54">
        <v>707</v>
      </c>
      <c r="HQ17" s="54">
        <v>893</v>
      </c>
      <c r="HR17" s="38">
        <f t="shared" si="29"/>
        <v>11613</v>
      </c>
      <c r="HS17" s="26"/>
      <c r="HT17" s="32">
        <v>4</v>
      </c>
      <c r="HU17" s="32">
        <v>3</v>
      </c>
      <c r="HV17" s="32">
        <v>7</v>
      </c>
      <c r="HW17" s="32">
        <v>10</v>
      </c>
      <c r="HX17" s="32">
        <v>8</v>
      </c>
      <c r="HY17" s="32">
        <v>7</v>
      </c>
      <c r="HZ17" s="32">
        <v>1</v>
      </c>
      <c r="IA17" s="32">
        <v>5</v>
      </c>
      <c r="IB17" s="32">
        <v>3</v>
      </c>
      <c r="IC17" s="32">
        <v>1</v>
      </c>
      <c r="ID17" s="32">
        <v>2</v>
      </c>
      <c r="IE17" s="69">
        <v>0</v>
      </c>
      <c r="IF17" s="38">
        <f t="shared" si="2"/>
        <v>51</v>
      </c>
      <c r="IG17" s="104">
        <v>186</v>
      </c>
      <c r="IH17" s="104">
        <v>272</v>
      </c>
      <c r="II17" s="104">
        <v>256</v>
      </c>
      <c r="IJ17" s="104">
        <v>384</v>
      </c>
      <c r="IK17" s="104">
        <v>382</v>
      </c>
      <c r="IL17" s="104">
        <v>272</v>
      </c>
      <c r="IM17" s="104">
        <v>176</v>
      </c>
      <c r="IN17" s="104">
        <v>178</v>
      </c>
      <c r="IO17" s="104">
        <v>236</v>
      </c>
      <c r="IP17" s="104">
        <v>206</v>
      </c>
      <c r="IQ17" s="104">
        <v>233</v>
      </c>
      <c r="IR17" s="107">
        <v>162</v>
      </c>
      <c r="IS17" s="38">
        <f t="shared" si="3"/>
        <v>2943</v>
      </c>
      <c r="IT17" s="36">
        <f t="shared" si="39"/>
        <v>2994</v>
      </c>
      <c r="IU17" s="26"/>
      <c r="IV17" s="32">
        <v>69</v>
      </c>
      <c r="IW17" s="32">
        <v>65</v>
      </c>
      <c r="IX17" s="32">
        <v>54</v>
      </c>
      <c r="IY17" s="32">
        <v>59</v>
      </c>
      <c r="IZ17" s="32">
        <v>69</v>
      </c>
      <c r="JA17" s="32">
        <v>76</v>
      </c>
      <c r="JB17" s="32">
        <v>72</v>
      </c>
      <c r="JC17" s="32">
        <v>55</v>
      </c>
      <c r="JD17" s="32">
        <v>80</v>
      </c>
      <c r="JE17" s="32">
        <v>84</v>
      </c>
      <c r="JF17" s="32">
        <v>75</v>
      </c>
      <c r="JG17" s="32">
        <v>70</v>
      </c>
      <c r="JH17" s="38">
        <f t="shared" si="4"/>
        <v>828</v>
      </c>
      <c r="JI17" s="109">
        <v>753.6</v>
      </c>
      <c r="JJ17" s="97">
        <v>938.40000000000009</v>
      </c>
      <c r="JK17" s="97">
        <v>1396</v>
      </c>
      <c r="JL17" s="97">
        <v>1037.6000000000001</v>
      </c>
      <c r="JM17" s="97">
        <v>491.20000000000005</v>
      </c>
      <c r="JN17" s="97">
        <v>936</v>
      </c>
      <c r="JO17" s="97">
        <v>956</v>
      </c>
      <c r="JP17" s="97">
        <v>802.40000000000009</v>
      </c>
      <c r="JQ17" s="97">
        <v>1278.4000000000001</v>
      </c>
      <c r="JR17" s="97">
        <v>692.80000000000007</v>
      </c>
      <c r="JS17" s="97">
        <v>876.80000000000007</v>
      </c>
      <c r="JT17" s="97">
        <v>812.80000000000007</v>
      </c>
      <c r="JU17" s="35">
        <f t="shared" si="5"/>
        <v>10971.999999999998</v>
      </c>
      <c r="JV17" s="40">
        <f t="shared" si="30"/>
        <v>11799.999999999998</v>
      </c>
      <c r="JW17" s="26"/>
      <c r="JX17" s="32">
        <v>0</v>
      </c>
      <c r="JY17" s="32">
        <v>0</v>
      </c>
      <c r="JZ17" s="32">
        <v>0</v>
      </c>
      <c r="KA17" s="32">
        <v>0</v>
      </c>
      <c r="KB17" s="32">
        <v>0</v>
      </c>
      <c r="KC17" s="32">
        <v>0</v>
      </c>
      <c r="KD17" s="32">
        <v>0</v>
      </c>
      <c r="KE17" s="32">
        <v>0</v>
      </c>
      <c r="KF17" s="32">
        <v>16</v>
      </c>
      <c r="KG17" s="32">
        <v>67</v>
      </c>
      <c r="KH17" s="32">
        <v>56</v>
      </c>
      <c r="KI17" s="32">
        <v>45</v>
      </c>
      <c r="KJ17" s="38">
        <f t="shared" si="6"/>
        <v>184</v>
      </c>
      <c r="KK17" s="32">
        <v>141</v>
      </c>
      <c r="KL17" s="32">
        <v>169</v>
      </c>
      <c r="KM17" s="32">
        <v>274</v>
      </c>
      <c r="KN17" s="32">
        <v>362</v>
      </c>
      <c r="KO17" s="32">
        <v>397</v>
      </c>
      <c r="KP17" s="32">
        <v>285</v>
      </c>
      <c r="KQ17" s="32">
        <v>135</v>
      </c>
      <c r="KR17" s="32">
        <v>175</v>
      </c>
      <c r="KS17" s="32">
        <v>238</v>
      </c>
      <c r="KT17" s="32">
        <v>137</v>
      </c>
      <c r="KU17" s="32">
        <v>241</v>
      </c>
      <c r="KV17" s="32">
        <v>267</v>
      </c>
      <c r="KW17" s="38">
        <f t="shared" si="7"/>
        <v>2821</v>
      </c>
      <c r="KX17" s="36">
        <f t="shared" si="31"/>
        <v>3005</v>
      </c>
      <c r="KY17" s="26"/>
      <c r="KZ17" s="32">
        <v>0</v>
      </c>
      <c r="LA17" s="32">
        <v>0</v>
      </c>
      <c r="LB17" s="32">
        <v>0</v>
      </c>
      <c r="LC17" s="32">
        <v>0</v>
      </c>
      <c r="LD17" s="32">
        <v>0</v>
      </c>
      <c r="LE17" s="32">
        <v>0</v>
      </c>
      <c r="LF17" s="32">
        <v>0</v>
      </c>
      <c r="LG17" s="32">
        <v>0</v>
      </c>
      <c r="LH17" s="32">
        <v>0</v>
      </c>
      <c r="LI17" s="32">
        <v>0</v>
      </c>
      <c r="LJ17" s="32">
        <v>0</v>
      </c>
      <c r="LK17" s="69">
        <v>0</v>
      </c>
      <c r="LL17" s="38">
        <f t="shared" si="32"/>
        <v>0</v>
      </c>
      <c r="LM17" s="26"/>
      <c r="LN17" s="71">
        <v>618</v>
      </c>
      <c r="LO17" s="71">
        <v>573</v>
      </c>
      <c r="LP17" s="71">
        <v>615</v>
      </c>
      <c r="LQ17" s="71">
        <v>729</v>
      </c>
      <c r="LR17" s="71">
        <v>782</v>
      </c>
      <c r="LS17" s="71">
        <v>762</v>
      </c>
      <c r="LT17" s="71">
        <v>406</v>
      </c>
      <c r="LU17" s="45">
        <v>468</v>
      </c>
      <c r="LV17" s="45">
        <v>791</v>
      </c>
      <c r="LW17" s="45">
        <v>426</v>
      </c>
      <c r="LX17" s="45">
        <v>326</v>
      </c>
      <c r="LY17" s="45">
        <v>485</v>
      </c>
      <c r="LZ17" s="38">
        <f t="shared" si="8"/>
        <v>6981</v>
      </c>
      <c r="MA17" s="26"/>
      <c r="MB17" s="45">
        <v>633</v>
      </c>
      <c r="MC17" s="45">
        <v>777</v>
      </c>
      <c r="MD17" s="45">
        <v>692</v>
      </c>
      <c r="ME17" s="45">
        <v>898</v>
      </c>
      <c r="MF17" s="45">
        <v>970</v>
      </c>
      <c r="MG17" s="45">
        <v>690</v>
      </c>
      <c r="MH17" s="45">
        <v>696</v>
      </c>
      <c r="MI17" s="45">
        <v>720</v>
      </c>
      <c r="MJ17" s="45">
        <v>886</v>
      </c>
      <c r="MK17" s="45">
        <v>741</v>
      </c>
      <c r="ML17" s="45">
        <v>618</v>
      </c>
      <c r="MM17" s="45">
        <v>632</v>
      </c>
      <c r="MN17" s="38">
        <f t="shared" si="9"/>
        <v>8953</v>
      </c>
      <c r="MO17" s="32">
        <v>2659</v>
      </c>
      <c r="MP17" s="32">
        <v>1989</v>
      </c>
      <c r="MQ17" s="32">
        <v>2132</v>
      </c>
      <c r="MR17" s="32">
        <v>2391</v>
      </c>
      <c r="MS17" s="32">
        <v>2523</v>
      </c>
      <c r="MT17" s="32">
        <v>2846</v>
      </c>
      <c r="MU17" s="32">
        <v>3000</v>
      </c>
      <c r="MV17" s="32">
        <v>2493</v>
      </c>
      <c r="MW17" s="32">
        <v>3026</v>
      </c>
      <c r="MX17" s="32">
        <v>3053</v>
      </c>
      <c r="MY17" s="32">
        <v>3031</v>
      </c>
      <c r="MZ17" s="32">
        <v>2438</v>
      </c>
      <c r="NA17" s="38">
        <f t="shared" si="10"/>
        <v>31581</v>
      </c>
      <c r="NB17" s="36">
        <f t="shared" si="33"/>
        <v>40534</v>
      </c>
      <c r="NC17" s="26"/>
      <c r="ND17" s="32">
        <v>200</v>
      </c>
      <c r="NE17" s="32">
        <v>141</v>
      </c>
      <c r="NF17" s="32">
        <v>169</v>
      </c>
      <c r="NG17" s="32">
        <v>226</v>
      </c>
      <c r="NH17" s="32">
        <v>219</v>
      </c>
      <c r="NI17" s="32">
        <v>204</v>
      </c>
      <c r="NJ17" s="32">
        <v>183</v>
      </c>
      <c r="NK17" s="32">
        <v>208</v>
      </c>
      <c r="NL17" s="32">
        <v>275</v>
      </c>
      <c r="NM17" s="32">
        <v>151</v>
      </c>
      <c r="NN17" s="32">
        <v>159</v>
      </c>
      <c r="NO17" s="32">
        <v>187</v>
      </c>
      <c r="NP17" s="118">
        <f t="shared" si="11"/>
        <v>2322</v>
      </c>
      <c r="NQ17" s="36">
        <f t="shared" si="34"/>
        <v>5925</v>
      </c>
      <c r="NR17" s="36">
        <f t="shared" si="35"/>
        <v>73004</v>
      </c>
      <c r="NS17" s="36">
        <f t="shared" si="36"/>
        <v>42553</v>
      </c>
      <c r="NT17" s="36">
        <f t="shared" si="37"/>
        <v>121482</v>
      </c>
      <c r="NU17" s="18"/>
      <c r="NV17" s="18"/>
      <c r="NW17" s="18"/>
      <c r="NX17" s="19"/>
      <c r="NY17" s="19"/>
      <c r="NZ17" s="19"/>
      <c r="OA17" s="19"/>
      <c r="OB17" s="19"/>
      <c r="OC17" s="19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8"/>
      <c r="OR17" s="18"/>
      <c r="OS17" s="18"/>
      <c r="OT17" s="18"/>
      <c r="OU17" s="18"/>
      <c r="OV17" s="18"/>
      <c r="OW17" s="18"/>
      <c r="OX17" s="19"/>
      <c r="OY17" s="19"/>
      <c r="OZ17" s="19"/>
      <c r="PA17" s="19"/>
      <c r="PB17" s="19"/>
      <c r="PC17" s="19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8"/>
      <c r="PR17" s="18"/>
      <c r="PS17" s="18"/>
      <c r="PT17" s="18"/>
      <c r="PU17" s="18"/>
      <c r="PV17" s="18"/>
      <c r="PW17" s="18"/>
      <c r="PX17" s="19"/>
      <c r="PY17" s="19"/>
      <c r="PZ17" s="19"/>
      <c r="QA17" s="19"/>
      <c r="QB17" s="19"/>
      <c r="QC17" s="19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</row>
    <row r="18" spans="1:458" s="1" customFormat="1" ht="50.1" customHeight="1" x14ac:dyDescent="0.25">
      <c r="A18" s="120"/>
      <c r="B18" s="6" t="s">
        <v>19</v>
      </c>
      <c r="C18" s="23"/>
      <c r="D18" s="41">
        <v>32</v>
      </c>
      <c r="E18" s="41">
        <v>57</v>
      </c>
      <c r="F18" s="41">
        <v>113</v>
      </c>
      <c r="G18" s="41">
        <v>40</v>
      </c>
      <c r="H18" s="41">
        <v>25</v>
      </c>
      <c r="I18" s="41">
        <v>27</v>
      </c>
      <c r="J18" s="41">
        <v>13</v>
      </c>
      <c r="K18" s="41">
        <v>41</v>
      </c>
      <c r="L18" s="41">
        <v>17</v>
      </c>
      <c r="M18" s="41">
        <v>22</v>
      </c>
      <c r="N18" s="41">
        <v>57</v>
      </c>
      <c r="O18" s="41">
        <v>10</v>
      </c>
      <c r="P18" s="38">
        <f t="shared" si="12"/>
        <v>454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38">
        <f t="shared" si="38"/>
        <v>0</v>
      </c>
      <c r="AD18" s="36">
        <f t="shared" si="13"/>
        <v>454</v>
      </c>
      <c r="AE18" s="26"/>
      <c r="AF18" s="32">
        <v>2</v>
      </c>
      <c r="AG18" s="32">
        <v>0</v>
      </c>
      <c r="AH18" s="32">
        <v>0</v>
      </c>
      <c r="AI18" s="32">
        <v>1</v>
      </c>
      <c r="AJ18" s="32">
        <v>2</v>
      </c>
      <c r="AK18" s="32">
        <v>3</v>
      </c>
      <c r="AL18" s="32">
        <v>1</v>
      </c>
      <c r="AM18" s="32">
        <v>0</v>
      </c>
      <c r="AN18" s="32">
        <v>0</v>
      </c>
      <c r="AO18" s="32">
        <v>2</v>
      </c>
      <c r="AP18" s="32">
        <v>1</v>
      </c>
      <c r="AQ18" s="32">
        <v>0</v>
      </c>
      <c r="AR18" s="38">
        <f t="shared" si="14"/>
        <v>12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8">
        <f t="shared" si="15"/>
        <v>0</v>
      </c>
      <c r="BF18" s="36">
        <f t="shared" si="16"/>
        <v>12</v>
      </c>
      <c r="BG18" s="26"/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  <c r="BQ18" s="41">
        <v>0</v>
      </c>
      <c r="BR18" s="41">
        <v>0</v>
      </c>
      <c r="BS18" s="41">
        <v>0</v>
      </c>
      <c r="BT18" s="38">
        <f t="shared" si="17"/>
        <v>0</v>
      </c>
      <c r="BU18" s="54">
        <v>1</v>
      </c>
      <c r="BV18" s="54">
        <v>8</v>
      </c>
      <c r="BW18" s="54">
        <v>6</v>
      </c>
      <c r="BX18" s="54">
        <v>6</v>
      </c>
      <c r="BY18" s="54">
        <v>23</v>
      </c>
      <c r="BZ18" s="54">
        <v>35</v>
      </c>
      <c r="CA18" s="54">
        <v>4</v>
      </c>
      <c r="CB18" s="54">
        <v>0</v>
      </c>
      <c r="CC18" s="54">
        <v>0</v>
      </c>
      <c r="CD18" s="54">
        <v>7</v>
      </c>
      <c r="CE18" s="54">
        <v>6</v>
      </c>
      <c r="CF18" s="54">
        <v>17</v>
      </c>
      <c r="CG18" s="38">
        <f t="shared" si="18"/>
        <v>113</v>
      </c>
      <c r="CH18" s="36">
        <f t="shared" si="19"/>
        <v>113</v>
      </c>
      <c r="CI18" s="26"/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32">
        <v>0</v>
      </c>
      <c r="CR18" s="32">
        <v>0</v>
      </c>
      <c r="CS18" s="32">
        <v>0</v>
      </c>
      <c r="CT18" s="32">
        <v>0</v>
      </c>
      <c r="CU18" s="32">
        <v>0</v>
      </c>
      <c r="CV18" s="38">
        <f t="shared" si="20"/>
        <v>0</v>
      </c>
      <c r="CW18" s="54">
        <v>14</v>
      </c>
      <c r="CX18" s="54">
        <v>16</v>
      </c>
      <c r="CY18" s="54">
        <v>13</v>
      </c>
      <c r="CZ18" s="54">
        <v>17</v>
      </c>
      <c r="DA18" s="54">
        <v>10</v>
      </c>
      <c r="DB18" s="54">
        <v>3</v>
      </c>
      <c r="DC18" s="54">
        <v>3</v>
      </c>
      <c r="DD18" s="54">
        <v>12</v>
      </c>
      <c r="DE18" s="54">
        <v>20</v>
      </c>
      <c r="DF18" s="54">
        <v>17</v>
      </c>
      <c r="DG18" s="54">
        <v>17</v>
      </c>
      <c r="DH18" s="54">
        <v>33</v>
      </c>
      <c r="DI18" s="38">
        <f t="shared" si="21"/>
        <v>175</v>
      </c>
      <c r="DJ18" s="36">
        <f t="shared" si="22"/>
        <v>175</v>
      </c>
      <c r="DK18" s="26"/>
      <c r="DL18" s="75">
        <v>0</v>
      </c>
      <c r="DM18" s="75">
        <v>0</v>
      </c>
      <c r="DN18" s="75">
        <v>0</v>
      </c>
      <c r="DO18" s="75">
        <v>0</v>
      </c>
      <c r="DP18" s="75">
        <v>0</v>
      </c>
      <c r="DQ18" s="75">
        <v>0</v>
      </c>
      <c r="DR18" s="75">
        <v>0</v>
      </c>
      <c r="DS18" s="75">
        <v>0</v>
      </c>
      <c r="DT18" s="75">
        <v>0</v>
      </c>
      <c r="DU18" s="75">
        <v>0</v>
      </c>
      <c r="DV18" s="75">
        <v>0</v>
      </c>
      <c r="DW18" s="75">
        <v>0</v>
      </c>
      <c r="DX18" s="38">
        <f t="shared" si="0"/>
        <v>0</v>
      </c>
      <c r="DY18" s="64">
        <v>1</v>
      </c>
      <c r="DZ18" s="64">
        <v>1</v>
      </c>
      <c r="EA18" s="64">
        <v>1</v>
      </c>
      <c r="EB18" s="64">
        <v>1</v>
      </c>
      <c r="EC18" s="64">
        <v>4</v>
      </c>
      <c r="ED18" s="64">
        <v>5</v>
      </c>
      <c r="EE18" s="64">
        <v>2</v>
      </c>
      <c r="EF18" s="64">
        <v>2</v>
      </c>
      <c r="EG18" s="64">
        <v>9</v>
      </c>
      <c r="EH18" s="64">
        <v>1</v>
      </c>
      <c r="EI18" s="64">
        <v>4</v>
      </c>
      <c r="EJ18" s="64">
        <v>4</v>
      </c>
      <c r="EK18" s="38">
        <f t="shared" si="23"/>
        <v>35</v>
      </c>
      <c r="EL18" s="36">
        <f t="shared" si="1"/>
        <v>35</v>
      </c>
      <c r="EM18" s="26"/>
      <c r="EN18" s="32">
        <v>120</v>
      </c>
      <c r="EO18" s="32">
        <v>114</v>
      </c>
      <c r="EP18" s="32">
        <v>96</v>
      </c>
      <c r="EQ18" s="32">
        <v>132</v>
      </c>
      <c r="ER18" s="32">
        <v>292</v>
      </c>
      <c r="ES18" s="32">
        <v>198</v>
      </c>
      <c r="ET18" s="32">
        <v>102</v>
      </c>
      <c r="EU18" s="32">
        <v>160</v>
      </c>
      <c r="EV18" s="32">
        <v>232</v>
      </c>
      <c r="EW18" s="32">
        <v>212</v>
      </c>
      <c r="EX18" s="32">
        <v>164</v>
      </c>
      <c r="EY18" s="32">
        <v>162</v>
      </c>
      <c r="EZ18" s="38">
        <f t="shared" si="24"/>
        <v>1984</v>
      </c>
      <c r="FA18" s="26"/>
      <c r="FB18" s="104">
        <v>149</v>
      </c>
      <c r="FC18" s="104">
        <v>321</v>
      </c>
      <c r="FD18" s="104">
        <v>646</v>
      </c>
      <c r="FE18" s="104">
        <v>416</v>
      </c>
      <c r="FF18" s="104">
        <v>370</v>
      </c>
      <c r="FG18" s="104">
        <v>237</v>
      </c>
      <c r="FH18" s="104">
        <v>274</v>
      </c>
      <c r="FI18" s="104">
        <v>807</v>
      </c>
      <c r="FJ18" s="104">
        <v>1107</v>
      </c>
      <c r="FK18" s="104">
        <v>413</v>
      </c>
      <c r="FL18" s="104">
        <v>442</v>
      </c>
      <c r="FM18" s="104">
        <v>636</v>
      </c>
      <c r="FN18" s="38">
        <f t="shared" si="25"/>
        <v>5818</v>
      </c>
      <c r="FO18" s="26"/>
      <c r="FP18" s="32">
        <v>22</v>
      </c>
      <c r="FQ18" s="32">
        <v>17</v>
      </c>
      <c r="FR18" s="32">
        <v>20</v>
      </c>
      <c r="FS18" s="32">
        <v>27</v>
      </c>
      <c r="FT18" s="32">
        <v>40</v>
      </c>
      <c r="FU18" s="32">
        <v>32</v>
      </c>
      <c r="FV18" s="32">
        <v>41</v>
      </c>
      <c r="FW18" s="32">
        <v>55</v>
      </c>
      <c r="FX18" s="32">
        <v>60</v>
      </c>
      <c r="FY18" s="32">
        <v>65</v>
      </c>
      <c r="FZ18" s="32">
        <v>70</v>
      </c>
      <c r="GA18" s="32">
        <v>85</v>
      </c>
      <c r="GB18" s="38">
        <f t="shared" si="26"/>
        <v>534</v>
      </c>
      <c r="GC18" s="26"/>
      <c r="GD18" s="101">
        <v>17</v>
      </c>
      <c r="GE18" s="101">
        <v>37</v>
      </c>
      <c r="GF18" s="101">
        <v>89</v>
      </c>
      <c r="GG18" s="101">
        <v>144</v>
      </c>
      <c r="GH18" s="101">
        <v>96</v>
      </c>
      <c r="GI18" s="101">
        <v>37</v>
      </c>
      <c r="GJ18" s="101">
        <v>72</v>
      </c>
      <c r="GK18" s="101">
        <v>139</v>
      </c>
      <c r="GL18" s="101">
        <v>32</v>
      </c>
      <c r="GM18" s="101">
        <v>53</v>
      </c>
      <c r="GN18" s="101">
        <v>74</v>
      </c>
      <c r="GO18" s="101">
        <v>9</v>
      </c>
      <c r="GP18" s="38">
        <f t="shared" si="27"/>
        <v>799</v>
      </c>
      <c r="GQ18" s="26"/>
      <c r="GR18" s="32">
        <v>0</v>
      </c>
      <c r="GS18" s="32">
        <v>0</v>
      </c>
      <c r="GT18" s="32">
        <v>0</v>
      </c>
      <c r="GU18" s="32">
        <v>0</v>
      </c>
      <c r="GV18" s="32">
        <v>0</v>
      </c>
      <c r="GW18" s="32">
        <v>0</v>
      </c>
      <c r="GX18" s="32">
        <v>0</v>
      </c>
      <c r="GY18" s="32">
        <v>0</v>
      </c>
      <c r="GZ18" s="32">
        <v>0</v>
      </c>
      <c r="HA18" s="32">
        <v>0</v>
      </c>
      <c r="HB18" s="32">
        <v>0</v>
      </c>
      <c r="HC18" s="32">
        <v>0</v>
      </c>
      <c r="HD18" s="38">
        <f t="shared" si="28"/>
        <v>0</v>
      </c>
      <c r="HE18" s="26"/>
      <c r="HF18" s="54">
        <v>25</v>
      </c>
      <c r="HG18" s="54">
        <v>42</v>
      </c>
      <c r="HH18" s="54">
        <v>43</v>
      </c>
      <c r="HI18" s="54">
        <v>36</v>
      </c>
      <c r="HJ18" s="54">
        <v>51</v>
      </c>
      <c r="HK18" s="54">
        <v>110</v>
      </c>
      <c r="HL18" s="54">
        <v>102</v>
      </c>
      <c r="HM18" s="54">
        <v>104</v>
      </c>
      <c r="HN18" s="54">
        <v>294</v>
      </c>
      <c r="HO18" s="54">
        <v>113</v>
      </c>
      <c r="HP18" s="54">
        <v>32</v>
      </c>
      <c r="HQ18" s="54">
        <v>120</v>
      </c>
      <c r="HR18" s="38">
        <f t="shared" si="29"/>
        <v>1072</v>
      </c>
      <c r="HS18" s="26"/>
      <c r="HT18" s="32">
        <v>0</v>
      </c>
      <c r="HU18" s="32">
        <v>1</v>
      </c>
      <c r="HV18" s="32">
        <v>1</v>
      </c>
      <c r="HW18" s="32">
        <v>0</v>
      </c>
      <c r="HX18" s="32">
        <v>3</v>
      </c>
      <c r="HY18" s="32">
        <v>1</v>
      </c>
      <c r="HZ18" s="32">
        <v>2</v>
      </c>
      <c r="IA18" s="32">
        <v>0</v>
      </c>
      <c r="IB18" s="32">
        <v>1</v>
      </c>
      <c r="IC18" s="32">
        <v>0</v>
      </c>
      <c r="ID18" s="32">
        <v>2</v>
      </c>
      <c r="IE18" s="69">
        <v>0</v>
      </c>
      <c r="IF18" s="38">
        <f t="shared" si="2"/>
        <v>11</v>
      </c>
      <c r="IG18" s="104">
        <v>35</v>
      </c>
      <c r="IH18" s="104">
        <v>32</v>
      </c>
      <c r="II18" s="104">
        <v>36</v>
      </c>
      <c r="IJ18" s="104">
        <v>118</v>
      </c>
      <c r="IK18" s="104">
        <v>113</v>
      </c>
      <c r="IL18" s="104">
        <v>97</v>
      </c>
      <c r="IM18" s="104">
        <v>35</v>
      </c>
      <c r="IN18" s="104">
        <v>41</v>
      </c>
      <c r="IO18" s="104">
        <v>67</v>
      </c>
      <c r="IP18" s="104">
        <v>56</v>
      </c>
      <c r="IQ18" s="104">
        <v>72</v>
      </c>
      <c r="IR18" s="107">
        <v>43</v>
      </c>
      <c r="IS18" s="38">
        <f t="shared" si="3"/>
        <v>745</v>
      </c>
      <c r="IT18" s="36">
        <f t="shared" si="39"/>
        <v>756</v>
      </c>
      <c r="IU18" s="26"/>
      <c r="IV18" s="32">
        <v>29</v>
      </c>
      <c r="IW18" s="32">
        <v>26</v>
      </c>
      <c r="IX18" s="32">
        <v>32</v>
      </c>
      <c r="IY18" s="32">
        <v>35</v>
      </c>
      <c r="IZ18" s="32">
        <v>38</v>
      </c>
      <c r="JA18" s="32">
        <v>46</v>
      </c>
      <c r="JB18" s="32">
        <v>42</v>
      </c>
      <c r="JC18" s="32">
        <v>55</v>
      </c>
      <c r="JD18" s="32">
        <v>45</v>
      </c>
      <c r="JE18" s="32">
        <v>42</v>
      </c>
      <c r="JF18" s="32">
        <v>49</v>
      </c>
      <c r="JG18" s="32">
        <v>53</v>
      </c>
      <c r="JH18" s="38">
        <f t="shared" si="4"/>
        <v>492</v>
      </c>
      <c r="JI18" s="109">
        <v>178.4</v>
      </c>
      <c r="JJ18" s="97">
        <v>298.40000000000003</v>
      </c>
      <c r="JK18" s="97">
        <v>487.20000000000005</v>
      </c>
      <c r="JL18" s="97">
        <v>374.40000000000003</v>
      </c>
      <c r="JM18" s="97">
        <v>555.20000000000005</v>
      </c>
      <c r="JN18" s="97">
        <v>296</v>
      </c>
      <c r="JO18" s="97">
        <v>420</v>
      </c>
      <c r="JP18" s="97">
        <v>365.6</v>
      </c>
      <c r="JQ18" s="97">
        <v>780.80000000000007</v>
      </c>
      <c r="JR18" s="97">
        <v>172.8</v>
      </c>
      <c r="JS18" s="97">
        <v>273.60000000000002</v>
      </c>
      <c r="JT18" s="97">
        <v>279.2</v>
      </c>
      <c r="JU18" s="35">
        <f t="shared" si="5"/>
        <v>4481.6000000000004</v>
      </c>
      <c r="JV18" s="40">
        <f t="shared" si="30"/>
        <v>4973.6000000000004</v>
      </c>
      <c r="JW18" s="26"/>
      <c r="JX18" s="32">
        <v>0</v>
      </c>
      <c r="JY18" s="32">
        <v>0</v>
      </c>
      <c r="JZ18" s="32">
        <v>0</v>
      </c>
      <c r="KA18" s="32">
        <v>283</v>
      </c>
      <c r="KB18" s="32">
        <v>687</v>
      </c>
      <c r="KC18" s="32">
        <v>578</v>
      </c>
      <c r="KD18" s="32">
        <v>525</v>
      </c>
      <c r="KE18" s="32">
        <v>589</v>
      </c>
      <c r="KF18" s="32">
        <v>475</v>
      </c>
      <c r="KG18" s="32">
        <v>219</v>
      </c>
      <c r="KH18" s="32">
        <v>138</v>
      </c>
      <c r="KI18" s="32">
        <v>134</v>
      </c>
      <c r="KJ18" s="38">
        <f t="shared" si="6"/>
        <v>3628</v>
      </c>
      <c r="KK18" s="32">
        <v>14</v>
      </c>
      <c r="KL18" s="32">
        <v>20</v>
      </c>
      <c r="KM18" s="32">
        <v>30</v>
      </c>
      <c r="KN18" s="32">
        <v>74</v>
      </c>
      <c r="KO18" s="32">
        <v>42</v>
      </c>
      <c r="KP18" s="32">
        <v>23</v>
      </c>
      <c r="KQ18" s="32">
        <v>1</v>
      </c>
      <c r="KR18" s="32">
        <v>2</v>
      </c>
      <c r="KS18" s="32">
        <v>20</v>
      </c>
      <c r="KT18" s="32">
        <v>9</v>
      </c>
      <c r="KU18" s="32">
        <v>19</v>
      </c>
      <c r="KV18" s="32">
        <v>41</v>
      </c>
      <c r="KW18" s="38">
        <f t="shared" si="7"/>
        <v>295</v>
      </c>
      <c r="KX18" s="36">
        <f t="shared" si="31"/>
        <v>3923</v>
      </c>
      <c r="KY18" s="26"/>
      <c r="KZ18" s="32">
        <v>0</v>
      </c>
      <c r="LA18" s="32">
        <v>0</v>
      </c>
      <c r="LB18" s="32">
        <v>0</v>
      </c>
      <c r="LC18" s="32">
        <v>0</v>
      </c>
      <c r="LD18" s="32">
        <v>0</v>
      </c>
      <c r="LE18" s="32">
        <v>0</v>
      </c>
      <c r="LF18" s="32">
        <v>0</v>
      </c>
      <c r="LG18" s="32">
        <v>0</v>
      </c>
      <c r="LH18" s="32">
        <v>0</v>
      </c>
      <c r="LI18" s="32">
        <v>0</v>
      </c>
      <c r="LJ18" s="32">
        <v>0</v>
      </c>
      <c r="LK18" s="69">
        <v>0</v>
      </c>
      <c r="LL18" s="38">
        <f t="shared" si="32"/>
        <v>0</v>
      </c>
      <c r="LM18" s="26"/>
      <c r="LN18" s="71">
        <v>28</v>
      </c>
      <c r="LO18" s="71">
        <v>19</v>
      </c>
      <c r="LP18" s="71">
        <v>6</v>
      </c>
      <c r="LQ18" s="71">
        <v>18</v>
      </c>
      <c r="LR18" s="71">
        <v>14</v>
      </c>
      <c r="LS18" s="71">
        <v>17</v>
      </c>
      <c r="LT18" s="71">
        <v>9</v>
      </c>
      <c r="LU18" s="45">
        <v>21</v>
      </c>
      <c r="LV18" s="45">
        <v>20</v>
      </c>
      <c r="LW18" s="45">
        <v>19</v>
      </c>
      <c r="LX18" s="45">
        <v>6</v>
      </c>
      <c r="LY18" s="45">
        <v>15</v>
      </c>
      <c r="LZ18" s="38">
        <f t="shared" si="8"/>
        <v>192</v>
      </c>
      <c r="MA18" s="26"/>
      <c r="MB18" s="45">
        <v>179</v>
      </c>
      <c r="MC18" s="45">
        <v>184</v>
      </c>
      <c r="MD18" s="45">
        <v>220</v>
      </c>
      <c r="ME18" s="45">
        <v>135</v>
      </c>
      <c r="MF18" s="45">
        <v>351</v>
      </c>
      <c r="MG18" s="45">
        <v>162</v>
      </c>
      <c r="MH18" s="45">
        <v>50</v>
      </c>
      <c r="MI18" s="45">
        <v>101</v>
      </c>
      <c r="MJ18" s="45">
        <v>124</v>
      </c>
      <c r="MK18" s="45">
        <v>138</v>
      </c>
      <c r="ML18" s="45">
        <v>130</v>
      </c>
      <c r="MM18" s="45">
        <v>125</v>
      </c>
      <c r="MN18" s="38">
        <f t="shared" si="9"/>
        <v>1899</v>
      </c>
      <c r="MO18" s="32">
        <v>377</v>
      </c>
      <c r="MP18" s="32">
        <v>643</v>
      </c>
      <c r="MQ18" s="32">
        <v>1025</v>
      </c>
      <c r="MR18" s="32">
        <v>743</v>
      </c>
      <c r="MS18" s="32">
        <v>841</v>
      </c>
      <c r="MT18" s="32">
        <v>683</v>
      </c>
      <c r="MU18" s="32">
        <v>505</v>
      </c>
      <c r="MV18" s="32">
        <v>337</v>
      </c>
      <c r="MW18" s="32">
        <v>446</v>
      </c>
      <c r="MX18" s="32">
        <v>506</v>
      </c>
      <c r="MY18" s="32">
        <v>529</v>
      </c>
      <c r="MZ18" s="32">
        <v>426</v>
      </c>
      <c r="NA18" s="38">
        <f t="shared" si="10"/>
        <v>7061</v>
      </c>
      <c r="NB18" s="36">
        <f t="shared" si="33"/>
        <v>8960</v>
      </c>
      <c r="NC18" s="26"/>
      <c r="ND18" s="32">
        <v>47</v>
      </c>
      <c r="NE18" s="32">
        <v>27</v>
      </c>
      <c r="NF18" s="32">
        <v>57</v>
      </c>
      <c r="NG18" s="32">
        <v>98</v>
      </c>
      <c r="NH18" s="32">
        <v>218</v>
      </c>
      <c r="NI18" s="32">
        <v>143</v>
      </c>
      <c r="NJ18" s="32">
        <v>75</v>
      </c>
      <c r="NK18" s="32">
        <v>82</v>
      </c>
      <c r="NL18" s="32">
        <v>152</v>
      </c>
      <c r="NM18" s="32">
        <v>56</v>
      </c>
      <c r="NN18" s="32">
        <v>61</v>
      </c>
      <c r="NO18" s="32">
        <v>96</v>
      </c>
      <c r="NP18" s="118">
        <f t="shared" si="11"/>
        <v>1112</v>
      </c>
      <c r="NQ18" s="36">
        <f t="shared" si="34"/>
        <v>4105</v>
      </c>
      <c r="NR18" s="36">
        <f t="shared" si="35"/>
        <v>15265</v>
      </c>
      <c r="NS18" s="36">
        <f t="shared" si="36"/>
        <v>11542.6</v>
      </c>
      <c r="NT18" s="36">
        <f t="shared" si="37"/>
        <v>30912.6</v>
      </c>
      <c r="NU18" s="18"/>
      <c r="NV18" s="18"/>
      <c r="NW18" s="18"/>
      <c r="NX18" s="19"/>
      <c r="NY18" s="19"/>
      <c r="NZ18" s="19"/>
      <c r="OA18" s="19"/>
      <c r="OB18" s="19"/>
      <c r="OC18" s="19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8"/>
      <c r="OR18" s="18"/>
      <c r="OS18" s="18"/>
      <c r="OT18" s="18"/>
      <c r="OU18" s="18"/>
      <c r="OV18" s="18"/>
      <c r="OW18" s="18"/>
      <c r="OX18" s="19"/>
      <c r="OY18" s="19"/>
      <c r="OZ18" s="19"/>
      <c r="PA18" s="19"/>
      <c r="PB18" s="19"/>
      <c r="PC18" s="19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8"/>
      <c r="PR18" s="18"/>
      <c r="PS18" s="18"/>
      <c r="PT18" s="18"/>
      <c r="PU18" s="18"/>
      <c r="PV18" s="18"/>
      <c r="PW18" s="18"/>
      <c r="PX18" s="19"/>
      <c r="PY18" s="19"/>
      <c r="PZ18" s="19"/>
      <c r="QA18" s="19"/>
      <c r="QB18" s="19"/>
      <c r="QC18" s="19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</row>
    <row r="19" spans="1:458" s="1" customFormat="1" ht="50.1" customHeight="1" x14ac:dyDescent="0.25">
      <c r="A19" s="120"/>
      <c r="B19" s="6" t="s">
        <v>20</v>
      </c>
      <c r="C19" s="23"/>
      <c r="D19" s="41">
        <f>SUM(D16:D18)</f>
        <v>3989</v>
      </c>
      <c r="E19" s="41">
        <f t="shared" ref="E19:P19" si="67">SUM(E16:E18)</f>
        <v>969</v>
      </c>
      <c r="F19" s="41">
        <f t="shared" si="67"/>
        <v>4003</v>
      </c>
      <c r="G19" s="41">
        <f t="shared" si="67"/>
        <v>3392</v>
      </c>
      <c r="H19" s="41">
        <f t="shared" si="67"/>
        <v>3931</v>
      </c>
      <c r="I19" s="41">
        <f t="shared" si="67"/>
        <v>3885</v>
      </c>
      <c r="J19" s="41">
        <f t="shared" si="67"/>
        <v>3795</v>
      </c>
      <c r="K19" s="41">
        <f t="shared" si="67"/>
        <v>3921</v>
      </c>
      <c r="L19" s="41">
        <f t="shared" si="67"/>
        <v>4095</v>
      </c>
      <c r="M19" s="41">
        <f t="shared" si="67"/>
        <v>4383</v>
      </c>
      <c r="N19" s="41">
        <f t="shared" si="67"/>
        <v>4134</v>
      </c>
      <c r="O19" s="41">
        <f t="shared" si="67"/>
        <v>3664</v>
      </c>
      <c r="P19" s="117">
        <f t="shared" si="67"/>
        <v>44161</v>
      </c>
      <c r="Q19" s="45">
        <f>SUM(Q16:Q18)</f>
        <v>0</v>
      </c>
      <c r="R19" s="45">
        <f t="shared" ref="R19:AB19" si="68">SUM(R16:R18)</f>
        <v>0</v>
      </c>
      <c r="S19" s="45">
        <f t="shared" si="68"/>
        <v>0</v>
      </c>
      <c r="T19" s="45">
        <f t="shared" si="68"/>
        <v>0</v>
      </c>
      <c r="U19" s="45">
        <f t="shared" si="68"/>
        <v>0</v>
      </c>
      <c r="V19" s="45">
        <f t="shared" si="68"/>
        <v>0</v>
      </c>
      <c r="W19" s="45">
        <f t="shared" si="68"/>
        <v>0</v>
      </c>
      <c r="X19" s="45">
        <f t="shared" si="68"/>
        <v>0</v>
      </c>
      <c r="Y19" s="45">
        <f t="shared" si="68"/>
        <v>0</v>
      </c>
      <c r="Z19" s="45">
        <f t="shared" si="68"/>
        <v>0</v>
      </c>
      <c r="AA19" s="45">
        <f t="shared" si="68"/>
        <v>0</v>
      </c>
      <c r="AB19" s="45">
        <f t="shared" si="68"/>
        <v>0</v>
      </c>
      <c r="AC19" s="38">
        <f t="shared" si="38"/>
        <v>0</v>
      </c>
      <c r="AD19" s="36">
        <f t="shared" si="13"/>
        <v>44161</v>
      </c>
      <c r="AE19" s="26"/>
      <c r="AF19" s="32">
        <f>SUM(AF16:AF18)</f>
        <v>134</v>
      </c>
      <c r="AG19" s="32">
        <f t="shared" ref="AG19:AQ19" si="69">SUM(AG16:AG18)</f>
        <v>129</v>
      </c>
      <c r="AH19" s="32">
        <f t="shared" si="69"/>
        <v>136</v>
      </c>
      <c r="AI19" s="32">
        <f t="shared" si="69"/>
        <v>139</v>
      </c>
      <c r="AJ19" s="32">
        <f t="shared" si="69"/>
        <v>144</v>
      </c>
      <c r="AK19" s="32">
        <f t="shared" si="69"/>
        <v>150</v>
      </c>
      <c r="AL19" s="32">
        <f t="shared" si="69"/>
        <v>147</v>
      </c>
      <c r="AM19" s="32">
        <f t="shared" si="69"/>
        <v>138</v>
      </c>
      <c r="AN19" s="32">
        <f t="shared" si="69"/>
        <v>152</v>
      </c>
      <c r="AO19" s="32">
        <f t="shared" si="69"/>
        <v>135</v>
      </c>
      <c r="AP19" s="32">
        <f t="shared" si="69"/>
        <v>142</v>
      </c>
      <c r="AQ19" s="32">
        <f t="shared" si="69"/>
        <v>145</v>
      </c>
      <c r="AR19" s="38">
        <f t="shared" si="14"/>
        <v>1691</v>
      </c>
      <c r="AS19" s="32">
        <f>SUM(AS16:AS18)</f>
        <v>0</v>
      </c>
      <c r="AT19" s="32">
        <f t="shared" ref="AT19:BD19" si="70">SUM(AT16:AT18)</f>
        <v>0</v>
      </c>
      <c r="AU19" s="32">
        <f t="shared" si="70"/>
        <v>0</v>
      </c>
      <c r="AV19" s="32">
        <f t="shared" si="70"/>
        <v>0</v>
      </c>
      <c r="AW19" s="32">
        <f t="shared" si="70"/>
        <v>0</v>
      </c>
      <c r="AX19" s="32">
        <f t="shared" si="70"/>
        <v>0</v>
      </c>
      <c r="AY19" s="32">
        <f t="shared" si="70"/>
        <v>0</v>
      </c>
      <c r="AZ19" s="32">
        <f t="shared" si="70"/>
        <v>0</v>
      </c>
      <c r="BA19" s="32">
        <f t="shared" si="70"/>
        <v>0</v>
      </c>
      <c r="BB19" s="32">
        <f t="shared" si="70"/>
        <v>0</v>
      </c>
      <c r="BC19" s="32">
        <f t="shared" si="70"/>
        <v>0</v>
      </c>
      <c r="BD19" s="32">
        <f t="shared" si="70"/>
        <v>0</v>
      </c>
      <c r="BE19" s="38">
        <f>SUM(AS19:BD19)</f>
        <v>0</v>
      </c>
      <c r="BF19" s="36">
        <f t="shared" si="16"/>
        <v>1691</v>
      </c>
      <c r="BG19" s="26"/>
      <c r="BH19" s="41">
        <f>SUM(BH16:BH18)</f>
        <v>0</v>
      </c>
      <c r="BI19" s="41">
        <f t="shared" ref="BI19:CF19" si="71">SUM(BI16:BI18)</f>
        <v>0</v>
      </c>
      <c r="BJ19" s="41">
        <f t="shared" si="71"/>
        <v>0</v>
      </c>
      <c r="BK19" s="41">
        <f t="shared" si="71"/>
        <v>0</v>
      </c>
      <c r="BL19" s="41">
        <f t="shared" si="71"/>
        <v>0</v>
      </c>
      <c r="BM19" s="41">
        <f t="shared" si="71"/>
        <v>0</v>
      </c>
      <c r="BN19" s="41">
        <f t="shared" si="71"/>
        <v>0</v>
      </c>
      <c r="BO19" s="41">
        <f t="shared" si="71"/>
        <v>0</v>
      </c>
      <c r="BP19" s="41">
        <f t="shared" si="71"/>
        <v>0</v>
      </c>
      <c r="BQ19" s="41">
        <f t="shared" si="71"/>
        <v>0</v>
      </c>
      <c r="BR19" s="41">
        <f t="shared" si="71"/>
        <v>0</v>
      </c>
      <c r="BS19" s="41">
        <f t="shared" si="71"/>
        <v>0</v>
      </c>
      <c r="BT19" s="38">
        <f t="shared" si="17"/>
        <v>0</v>
      </c>
      <c r="BU19" s="41">
        <f t="shared" si="71"/>
        <v>775</v>
      </c>
      <c r="BV19" s="41">
        <f t="shared" si="71"/>
        <v>797</v>
      </c>
      <c r="BW19" s="41">
        <f t="shared" si="71"/>
        <v>699</v>
      </c>
      <c r="BX19" s="41">
        <f t="shared" si="71"/>
        <v>787</v>
      </c>
      <c r="BY19" s="41">
        <f t="shared" si="71"/>
        <v>676</v>
      </c>
      <c r="BZ19" s="41">
        <f t="shared" si="71"/>
        <v>668</v>
      </c>
      <c r="CA19" s="41">
        <f t="shared" si="71"/>
        <v>765</v>
      </c>
      <c r="CB19" s="41">
        <f t="shared" si="71"/>
        <v>715</v>
      </c>
      <c r="CC19" s="41">
        <f t="shared" si="71"/>
        <v>707</v>
      </c>
      <c r="CD19" s="41">
        <f t="shared" si="71"/>
        <v>1130</v>
      </c>
      <c r="CE19" s="41">
        <f t="shared" si="71"/>
        <v>832</v>
      </c>
      <c r="CF19" s="41">
        <f t="shared" si="71"/>
        <v>709</v>
      </c>
      <c r="CG19" s="38">
        <f t="shared" si="18"/>
        <v>9260</v>
      </c>
      <c r="CH19" s="36">
        <f t="shared" si="19"/>
        <v>9260</v>
      </c>
      <c r="CI19" s="26"/>
      <c r="CJ19" s="32">
        <f>SUM(CJ16:CJ18)</f>
        <v>0</v>
      </c>
      <c r="CK19" s="32">
        <f t="shared" ref="CK19:CU19" si="72">SUM(CK16:CK18)</f>
        <v>0</v>
      </c>
      <c r="CL19" s="32">
        <f t="shared" si="72"/>
        <v>0</v>
      </c>
      <c r="CM19" s="32">
        <f t="shared" si="72"/>
        <v>0</v>
      </c>
      <c r="CN19" s="32">
        <f t="shared" si="72"/>
        <v>0</v>
      </c>
      <c r="CO19" s="32">
        <f t="shared" si="72"/>
        <v>0</v>
      </c>
      <c r="CP19" s="32">
        <f t="shared" si="72"/>
        <v>0</v>
      </c>
      <c r="CQ19" s="32">
        <f t="shared" si="72"/>
        <v>0</v>
      </c>
      <c r="CR19" s="32">
        <f t="shared" si="72"/>
        <v>0</v>
      </c>
      <c r="CS19" s="32">
        <f t="shared" si="72"/>
        <v>0</v>
      </c>
      <c r="CT19" s="32">
        <f t="shared" si="72"/>
        <v>0</v>
      </c>
      <c r="CU19" s="32">
        <f t="shared" si="72"/>
        <v>0</v>
      </c>
      <c r="CV19" s="38">
        <f t="shared" si="20"/>
        <v>0</v>
      </c>
      <c r="CW19" s="32">
        <f t="shared" ref="CW19" si="73">SUM(CW16:CW18)</f>
        <v>1528</v>
      </c>
      <c r="CX19" s="32">
        <f t="shared" ref="CX19" si="74">SUM(CX16:CX18)</f>
        <v>1329</v>
      </c>
      <c r="CY19" s="32">
        <f t="shared" ref="CY19" si="75">SUM(CY16:CY18)</f>
        <v>1912</v>
      </c>
      <c r="CZ19" s="32">
        <f t="shared" ref="CZ19" si="76">SUM(CZ16:CZ18)</f>
        <v>1605</v>
      </c>
      <c r="DA19" s="32">
        <f t="shared" ref="DA19" si="77">SUM(DA16:DA18)</f>
        <v>1763</v>
      </c>
      <c r="DB19" s="32">
        <f t="shared" ref="DB19" si="78">SUM(DB16:DB18)</f>
        <v>1421</v>
      </c>
      <c r="DC19" s="32">
        <f t="shared" ref="DC19" si="79">SUM(DC16:DC18)</f>
        <v>1876</v>
      </c>
      <c r="DD19" s="32">
        <f t="shared" ref="DD19" si="80">SUM(DD16:DD18)</f>
        <v>1520</v>
      </c>
      <c r="DE19" s="32">
        <f t="shared" ref="DE19" si="81">SUM(DE16:DE18)</f>
        <v>1457</v>
      </c>
      <c r="DF19" s="32">
        <f t="shared" ref="DF19" si="82">SUM(DF16:DF18)</f>
        <v>1537</v>
      </c>
      <c r="DG19" s="32">
        <f t="shared" ref="DG19" si="83">SUM(DG16:DG18)</f>
        <v>1492</v>
      </c>
      <c r="DH19" s="32">
        <f t="shared" ref="DH19" si="84">SUM(DH16:DH18)</f>
        <v>1542</v>
      </c>
      <c r="DI19" s="38">
        <f t="shared" si="21"/>
        <v>18982</v>
      </c>
      <c r="DJ19" s="36">
        <f t="shared" si="22"/>
        <v>18982</v>
      </c>
      <c r="DK19" s="26"/>
      <c r="DL19" s="32">
        <f>SUM(DL16:DL18)</f>
        <v>938</v>
      </c>
      <c r="DM19" s="32">
        <f t="shared" ref="DM19:DW19" si="85">SUM(DM16:DM18)</f>
        <v>1058</v>
      </c>
      <c r="DN19" s="32">
        <f t="shared" si="85"/>
        <v>930</v>
      </c>
      <c r="DO19" s="32">
        <f t="shared" si="85"/>
        <v>927</v>
      </c>
      <c r="DP19" s="32">
        <f t="shared" si="85"/>
        <v>1133</v>
      </c>
      <c r="DQ19" s="32">
        <f t="shared" si="85"/>
        <v>805</v>
      </c>
      <c r="DR19" s="32">
        <f t="shared" si="85"/>
        <v>796</v>
      </c>
      <c r="DS19" s="32">
        <f t="shared" si="85"/>
        <v>806</v>
      </c>
      <c r="DT19" s="32">
        <f t="shared" si="85"/>
        <v>704</v>
      </c>
      <c r="DU19" s="32">
        <f t="shared" si="85"/>
        <v>709</v>
      </c>
      <c r="DV19" s="32">
        <f t="shared" si="85"/>
        <v>774</v>
      </c>
      <c r="DW19" s="32">
        <f t="shared" si="85"/>
        <v>667</v>
      </c>
      <c r="DX19" s="38">
        <f t="shared" si="0"/>
        <v>10247</v>
      </c>
      <c r="DY19" s="63">
        <f>SUM(DY16:DY18)</f>
        <v>1855</v>
      </c>
      <c r="DZ19" s="63">
        <f t="shared" ref="DZ19:EJ19" si="86">SUM(DZ16:DZ18)</f>
        <v>1855</v>
      </c>
      <c r="EA19" s="63">
        <f t="shared" si="86"/>
        <v>1696</v>
      </c>
      <c r="EB19" s="63">
        <f t="shared" si="86"/>
        <v>1832</v>
      </c>
      <c r="EC19" s="63">
        <f t="shared" si="86"/>
        <v>1849</v>
      </c>
      <c r="ED19" s="63">
        <f t="shared" si="86"/>
        <v>1686</v>
      </c>
      <c r="EE19" s="63">
        <f t="shared" si="86"/>
        <v>1782</v>
      </c>
      <c r="EF19" s="63">
        <f t="shared" si="86"/>
        <v>1839</v>
      </c>
      <c r="EG19" s="63">
        <f t="shared" si="86"/>
        <v>1473</v>
      </c>
      <c r="EH19" s="63">
        <f t="shared" si="86"/>
        <v>1942</v>
      </c>
      <c r="EI19" s="63">
        <f t="shared" si="86"/>
        <v>1874</v>
      </c>
      <c r="EJ19" s="63">
        <f t="shared" si="86"/>
        <v>1338</v>
      </c>
      <c r="EK19" s="38">
        <f t="shared" si="23"/>
        <v>21021</v>
      </c>
      <c r="EL19" s="36">
        <f t="shared" si="1"/>
        <v>31268</v>
      </c>
      <c r="EM19" s="26"/>
      <c r="EN19" s="32">
        <f>SUM(EN16:EN18)</f>
        <v>2530</v>
      </c>
      <c r="EO19" s="32">
        <f t="shared" ref="EO19:EY19" si="87">SUM(EO16:EO18)</f>
        <v>2396</v>
      </c>
      <c r="EP19" s="32">
        <f t="shared" si="87"/>
        <v>3074</v>
      </c>
      <c r="EQ19" s="32">
        <f t="shared" si="87"/>
        <v>3036</v>
      </c>
      <c r="ER19" s="32">
        <f t="shared" si="87"/>
        <v>2276</v>
      </c>
      <c r="ES19" s="32">
        <f t="shared" si="87"/>
        <v>2104</v>
      </c>
      <c r="ET19" s="32">
        <f t="shared" si="87"/>
        <v>2376</v>
      </c>
      <c r="EU19" s="32">
        <f t="shared" si="87"/>
        <v>2308</v>
      </c>
      <c r="EV19" s="32">
        <f t="shared" si="87"/>
        <v>2344</v>
      </c>
      <c r="EW19" s="32">
        <f t="shared" si="87"/>
        <v>2606</v>
      </c>
      <c r="EX19" s="32">
        <f t="shared" si="87"/>
        <v>1916</v>
      </c>
      <c r="EY19" s="32">
        <f t="shared" si="87"/>
        <v>1958</v>
      </c>
      <c r="EZ19" s="38">
        <f t="shared" si="24"/>
        <v>28924</v>
      </c>
      <c r="FA19" s="26"/>
      <c r="FB19" s="104">
        <f>SUM(FB16:FB18)</f>
        <v>6157</v>
      </c>
      <c r="FC19" s="104">
        <f t="shared" ref="FC19:FM19" si="88">SUM(FC16:FC18)</f>
        <v>5701</v>
      </c>
      <c r="FD19" s="104">
        <f t="shared" si="88"/>
        <v>5704</v>
      </c>
      <c r="FE19" s="104">
        <f t="shared" si="88"/>
        <v>6072</v>
      </c>
      <c r="FF19" s="104">
        <f t="shared" si="88"/>
        <v>5725</v>
      </c>
      <c r="FG19" s="104">
        <f t="shared" si="88"/>
        <v>4735</v>
      </c>
      <c r="FH19" s="104">
        <f t="shared" si="88"/>
        <v>5678</v>
      </c>
      <c r="FI19" s="104">
        <f t="shared" si="88"/>
        <v>6344</v>
      </c>
      <c r="FJ19" s="104">
        <f t="shared" si="88"/>
        <v>5376</v>
      </c>
      <c r="FK19" s="104">
        <f t="shared" si="88"/>
        <v>7103</v>
      </c>
      <c r="FL19" s="104">
        <f t="shared" si="88"/>
        <v>5064</v>
      </c>
      <c r="FM19" s="104">
        <f t="shared" si="88"/>
        <v>5617</v>
      </c>
      <c r="FN19" s="38">
        <f t="shared" si="25"/>
        <v>69276</v>
      </c>
      <c r="FO19" s="26"/>
      <c r="FP19" s="32">
        <f>SUM(FP16:FP18)</f>
        <v>1321</v>
      </c>
      <c r="FQ19" s="32">
        <f t="shared" ref="FQ19:GA19" si="89">SUM(FQ16:FQ18)</f>
        <v>1242</v>
      </c>
      <c r="FR19" s="32">
        <f t="shared" si="89"/>
        <v>1156</v>
      </c>
      <c r="FS19" s="32">
        <f t="shared" si="89"/>
        <v>1063</v>
      </c>
      <c r="FT19" s="32">
        <f t="shared" si="89"/>
        <v>1154</v>
      </c>
      <c r="FU19" s="32">
        <f t="shared" si="89"/>
        <v>1139</v>
      </c>
      <c r="FV19" s="32">
        <f t="shared" si="89"/>
        <v>1107</v>
      </c>
      <c r="FW19" s="32">
        <f t="shared" si="89"/>
        <v>1163</v>
      </c>
      <c r="FX19" s="32">
        <f t="shared" si="89"/>
        <v>1179</v>
      </c>
      <c r="FY19" s="32">
        <f t="shared" si="89"/>
        <v>1242</v>
      </c>
      <c r="FZ19" s="32">
        <f t="shared" si="89"/>
        <v>1073</v>
      </c>
      <c r="GA19" s="32">
        <f t="shared" si="89"/>
        <v>881</v>
      </c>
      <c r="GB19" s="38">
        <f t="shared" si="26"/>
        <v>13720</v>
      </c>
      <c r="GC19" s="26"/>
      <c r="GD19" s="32">
        <f>SUM(GD16:GD18)</f>
        <v>2221</v>
      </c>
      <c r="GE19" s="32">
        <f t="shared" ref="GE19:GO19" si="90">SUM(GE16:GE18)</f>
        <v>2114</v>
      </c>
      <c r="GF19" s="32">
        <f t="shared" si="90"/>
        <v>2157</v>
      </c>
      <c r="GG19" s="32">
        <f t="shared" si="90"/>
        <v>2522</v>
      </c>
      <c r="GH19" s="32">
        <f t="shared" si="90"/>
        <v>2378</v>
      </c>
      <c r="GI19" s="32">
        <f t="shared" si="90"/>
        <v>2152</v>
      </c>
      <c r="GJ19" s="32">
        <f t="shared" si="90"/>
        <v>2459</v>
      </c>
      <c r="GK19" s="32">
        <f t="shared" si="90"/>
        <v>2805</v>
      </c>
      <c r="GL19" s="32">
        <f t="shared" si="90"/>
        <v>2373</v>
      </c>
      <c r="GM19" s="32">
        <f t="shared" si="90"/>
        <v>2741</v>
      </c>
      <c r="GN19" s="32">
        <f t="shared" si="90"/>
        <v>2303</v>
      </c>
      <c r="GO19" s="32">
        <f t="shared" si="90"/>
        <v>2130</v>
      </c>
      <c r="GP19" s="38">
        <f t="shared" si="27"/>
        <v>28355</v>
      </c>
      <c r="GQ19" s="26"/>
      <c r="GR19" s="32">
        <f>SUM(GR16:GR18)</f>
        <v>648</v>
      </c>
      <c r="GS19" s="32">
        <f t="shared" ref="GS19:HC19" si="91">SUM(GS16:GS18)</f>
        <v>729</v>
      </c>
      <c r="GT19" s="32">
        <f t="shared" si="91"/>
        <v>604</v>
      </c>
      <c r="GU19" s="32">
        <f t="shared" si="91"/>
        <v>889</v>
      </c>
      <c r="GV19" s="32">
        <f t="shared" si="91"/>
        <v>885</v>
      </c>
      <c r="GW19" s="32">
        <f t="shared" si="91"/>
        <v>796</v>
      </c>
      <c r="GX19" s="32">
        <f t="shared" si="91"/>
        <v>934</v>
      </c>
      <c r="GY19" s="32">
        <f t="shared" si="91"/>
        <v>872</v>
      </c>
      <c r="GZ19" s="32">
        <f t="shared" si="91"/>
        <v>853</v>
      </c>
      <c r="HA19" s="32">
        <f t="shared" si="91"/>
        <v>1002</v>
      </c>
      <c r="HB19" s="32">
        <f t="shared" si="91"/>
        <v>802</v>
      </c>
      <c r="HC19" s="32">
        <f t="shared" si="91"/>
        <v>881</v>
      </c>
      <c r="HD19" s="38">
        <f t="shared" si="28"/>
        <v>9895</v>
      </c>
      <c r="HE19" s="26"/>
      <c r="HF19" s="54">
        <f>SUM(HF16:HF18)</f>
        <v>3437</v>
      </c>
      <c r="HG19" s="54">
        <f t="shared" ref="HG19:HQ19" si="92">SUM(HG16:HG18)</f>
        <v>3248</v>
      </c>
      <c r="HH19" s="54">
        <f t="shared" si="92"/>
        <v>2965</v>
      </c>
      <c r="HI19" s="54">
        <f t="shared" si="92"/>
        <v>3375</v>
      </c>
      <c r="HJ19" s="54">
        <f t="shared" si="92"/>
        <v>3102</v>
      </c>
      <c r="HK19" s="54">
        <f t="shared" si="92"/>
        <v>3451</v>
      </c>
      <c r="HL19" s="54">
        <f t="shared" si="92"/>
        <v>3797</v>
      </c>
      <c r="HM19" s="54">
        <f t="shared" si="92"/>
        <v>3593</v>
      </c>
      <c r="HN19" s="54">
        <f t="shared" si="92"/>
        <v>3635</v>
      </c>
      <c r="HO19" s="54">
        <f t="shared" si="92"/>
        <v>3751</v>
      </c>
      <c r="HP19" s="54">
        <f t="shared" si="92"/>
        <v>4311</v>
      </c>
      <c r="HQ19" s="54">
        <f t="shared" si="92"/>
        <v>3577</v>
      </c>
      <c r="HR19" s="38">
        <f t="shared" si="29"/>
        <v>42242</v>
      </c>
      <c r="HS19" s="26"/>
      <c r="HT19" s="32">
        <f>SUM(HT16:HT18)</f>
        <v>323</v>
      </c>
      <c r="HU19" s="32">
        <f t="shared" ref="HU19:IE19" si="93">SUM(HU16:HU18)</f>
        <v>300</v>
      </c>
      <c r="HV19" s="32">
        <f t="shared" si="93"/>
        <v>322</v>
      </c>
      <c r="HW19" s="32">
        <f t="shared" si="93"/>
        <v>315</v>
      </c>
      <c r="HX19" s="32">
        <f t="shared" si="93"/>
        <v>309</v>
      </c>
      <c r="HY19" s="32">
        <f t="shared" si="93"/>
        <v>303</v>
      </c>
      <c r="HZ19" s="32">
        <f t="shared" si="93"/>
        <v>322</v>
      </c>
      <c r="IA19" s="32">
        <f t="shared" si="93"/>
        <v>284</v>
      </c>
      <c r="IB19" s="32">
        <f t="shared" si="93"/>
        <v>308</v>
      </c>
      <c r="IC19" s="32">
        <f t="shared" si="93"/>
        <v>296</v>
      </c>
      <c r="ID19" s="32">
        <f t="shared" si="93"/>
        <v>306</v>
      </c>
      <c r="IE19" s="69">
        <f t="shared" si="93"/>
        <v>205</v>
      </c>
      <c r="IF19" s="38">
        <f t="shared" si="2"/>
        <v>3593</v>
      </c>
      <c r="IG19" s="104">
        <f>SUM(IG16:IG18)</f>
        <v>1881</v>
      </c>
      <c r="IH19" s="104">
        <f t="shared" ref="IH19:IR19" si="94">SUM(IH16:IH18)</f>
        <v>1623</v>
      </c>
      <c r="II19" s="104">
        <f t="shared" si="94"/>
        <v>1795</v>
      </c>
      <c r="IJ19" s="104">
        <f t="shared" si="94"/>
        <v>1868</v>
      </c>
      <c r="IK19" s="104">
        <f t="shared" si="94"/>
        <v>1850</v>
      </c>
      <c r="IL19" s="104">
        <f t="shared" si="94"/>
        <v>1611</v>
      </c>
      <c r="IM19" s="104">
        <f t="shared" si="94"/>
        <v>1853</v>
      </c>
      <c r="IN19" s="104">
        <f t="shared" si="94"/>
        <v>1700</v>
      </c>
      <c r="IO19" s="104">
        <f t="shared" si="94"/>
        <v>1809</v>
      </c>
      <c r="IP19" s="104">
        <f t="shared" si="94"/>
        <v>2009</v>
      </c>
      <c r="IQ19" s="104">
        <f t="shared" si="94"/>
        <v>1490</v>
      </c>
      <c r="IR19" s="107">
        <f t="shared" si="94"/>
        <v>1496</v>
      </c>
      <c r="IS19" s="38">
        <f t="shared" si="3"/>
        <v>20985</v>
      </c>
      <c r="IT19" s="36">
        <f t="shared" si="39"/>
        <v>24578</v>
      </c>
      <c r="IU19" s="26"/>
      <c r="IV19" s="32">
        <f>SUM(IV16:IV18)</f>
        <v>303</v>
      </c>
      <c r="IW19" s="32">
        <f t="shared" ref="IW19:JG19" si="95">SUM(IW16:IW18)</f>
        <v>327</v>
      </c>
      <c r="IX19" s="32">
        <f t="shared" si="95"/>
        <v>334</v>
      </c>
      <c r="IY19" s="32">
        <f t="shared" si="95"/>
        <v>347</v>
      </c>
      <c r="IZ19" s="32">
        <f t="shared" si="95"/>
        <v>306</v>
      </c>
      <c r="JA19" s="32">
        <f t="shared" si="95"/>
        <v>327</v>
      </c>
      <c r="JB19" s="32">
        <f t="shared" si="95"/>
        <v>336</v>
      </c>
      <c r="JC19" s="32">
        <f t="shared" si="95"/>
        <v>319</v>
      </c>
      <c r="JD19" s="32">
        <f t="shared" si="95"/>
        <v>319</v>
      </c>
      <c r="JE19" s="32">
        <f t="shared" si="95"/>
        <v>379</v>
      </c>
      <c r="JF19" s="32">
        <f t="shared" si="95"/>
        <v>395</v>
      </c>
      <c r="JG19" s="32">
        <f t="shared" si="95"/>
        <v>364</v>
      </c>
      <c r="JH19" s="38">
        <f t="shared" si="4"/>
        <v>4056</v>
      </c>
      <c r="JI19" s="110">
        <f>SUM(JI16:JI18)</f>
        <v>5723.2</v>
      </c>
      <c r="JJ19" s="32">
        <f t="shared" ref="JJ19:JT19" si="96">SUM(JJ16:JJ18)</f>
        <v>4792.7999999999993</v>
      </c>
      <c r="JK19" s="32">
        <f t="shared" si="96"/>
        <v>4830.4000000000005</v>
      </c>
      <c r="JL19" s="32">
        <f t="shared" si="96"/>
        <v>5452</v>
      </c>
      <c r="JM19" s="32">
        <f t="shared" si="96"/>
        <v>3483.2</v>
      </c>
      <c r="JN19" s="32">
        <f t="shared" si="96"/>
        <v>4755.2000000000007</v>
      </c>
      <c r="JO19" s="32">
        <f t="shared" si="96"/>
        <v>5182.3999999999996</v>
      </c>
      <c r="JP19" s="32">
        <f t="shared" si="96"/>
        <v>4595.2000000000007</v>
      </c>
      <c r="JQ19" s="32">
        <f t="shared" si="96"/>
        <v>5142.4000000000005</v>
      </c>
      <c r="JR19" s="32">
        <f t="shared" si="96"/>
        <v>4867.2000000000007</v>
      </c>
      <c r="JS19" s="32">
        <f t="shared" si="96"/>
        <v>4848.8</v>
      </c>
      <c r="JT19" s="32">
        <f t="shared" si="96"/>
        <v>4652</v>
      </c>
      <c r="JU19" s="35">
        <f t="shared" si="5"/>
        <v>58324.800000000017</v>
      </c>
      <c r="JV19" s="40">
        <f t="shared" si="30"/>
        <v>62380.800000000017</v>
      </c>
      <c r="JW19" s="26"/>
      <c r="JX19" s="32">
        <f>SUM(JX16:JX18)</f>
        <v>0</v>
      </c>
      <c r="JY19" s="32">
        <f t="shared" ref="JY19:KI19" si="97">SUM(JY16:JY18)</f>
        <v>0</v>
      </c>
      <c r="JZ19" s="32">
        <f t="shared" si="97"/>
        <v>0</v>
      </c>
      <c r="KA19" s="32">
        <f t="shared" si="97"/>
        <v>283</v>
      </c>
      <c r="KB19" s="32">
        <f t="shared" si="97"/>
        <v>687</v>
      </c>
      <c r="KC19" s="32">
        <f t="shared" si="97"/>
        <v>578</v>
      </c>
      <c r="KD19" s="32">
        <f t="shared" si="97"/>
        <v>525</v>
      </c>
      <c r="KE19" s="32">
        <f t="shared" si="97"/>
        <v>589</v>
      </c>
      <c r="KF19" s="32">
        <f t="shared" si="97"/>
        <v>552</v>
      </c>
      <c r="KG19" s="32">
        <f t="shared" si="97"/>
        <v>456</v>
      </c>
      <c r="KH19" s="32">
        <f t="shared" si="97"/>
        <v>486</v>
      </c>
      <c r="KI19" s="32">
        <f t="shared" si="97"/>
        <v>332</v>
      </c>
      <c r="KJ19" s="38">
        <f t="shared" si="6"/>
        <v>4488</v>
      </c>
      <c r="KK19" s="32">
        <f>SUM(KK16:KK18)</f>
        <v>1430</v>
      </c>
      <c r="KL19" s="32">
        <f t="shared" ref="KL19:KV19" si="98">SUM(KL16:KL18)</f>
        <v>1512</v>
      </c>
      <c r="KM19" s="32">
        <f t="shared" si="98"/>
        <v>1503</v>
      </c>
      <c r="KN19" s="32">
        <f t="shared" si="98"/>
        <v>1672</v>
      </c>
      <c r="KO19" s="32">
        <f t="shared" si="98"/>
        <v>1334</v>
      </c>
      <c r="KP19" s="32">
        <f t="shared" si="98"/>
        <v>1024</v>
      </c>
      <c r="KQ19" s="32">
        <f t="shared" si="98"/>
        <v>1140</v>
      </c>
      <c r="KR19" s="32">
        <f t="shared" si="98"/>
        <v>1420</v>
      </c>
      <c r="KS19" s="32">
        <f t="shared" si="98"/>
        <v>1459</v>
      </c>
      <c r="KT19" s="32">
        <f t="shared" si="98"/>
        <v>1435</v>
      </c>
      <c r="KU19" s="32">
        <f t="shared" si="98"/>
        <v>1258</v>
      </c>
      <c r="KV19" s="32">
        <f t="shared" si="98"/>
        <v>875</v>
      </c>
      <c r="KW19" s="38">
        <f t="shared" si="7"/>
        <v>16062</v>
      </c>
      <c r="KX19" s="36">
        <f t="shared" si="31"/>
        <v>20550</v>
      </c>
      <c r="KY19" s="26"/>
      <c r="KZ19" s="32">
        <f>SUM(KZ16:KZ18)</f>
        <v>0</v>
      </c>
      <c r="LA19" s="32">
        <f t="shared" ref="LA19:LK19" si="99">SUM(LA16:LA18)</f>
        <v>0</v>
      </c>
      <c r="LB19" s="32">
        <f t="shared" si="99"/>
        <v>0</v>
      </c>
      <c r="LC19" s="32">
        <f t="shared" si="99"/>
        <v>0</v>
      </c>
      <c r="LD19" s="32">
        <f t="shared" si="99"/>
        <v>0</v>
      </c>
      <c r="LE19" s="32">
        <f t="shared" si="99"/>
        <v>0</v>
      </c>
      <c r="LF19" s="32">
        <f t="shared" si="99"/>
        <v>0</v>
      </c>
      <c r="LG19" s="32">
        <f t="shared" si="99"/>
        <v>0</v>
      </c>
      <c r="LH19" s="32">
        <f t="shared" si="99"/>
        <v>0</v>
      </c>
      <c r="LI19" s="32">
        <f t="shared" si="99"/>
        <v>0</v>
      </c>
      <c r="LJ19" s="32">
        <f t="shared" si="99"/>
        <v>0</v>
      </c>
      <c r="LK19" s="69">
        <f t="shared" si="99"/>
        <v>0</v>
      </c>
      <c r="LL19" s="38">
        <f t="shared" si="32"/>
        <v>0</v>
      </c>
      <c r="LM19" s="26"/>
      <c r="LN19" s="71">
        <f>SUM(LN16:LN18)</f>
        <v>5659</v>
      </c>
      <c r="LO19" s="71">
        <f t="shared" ref="LO19:LY19" si="100">SUM(LO16:LO18)</f>
        <v>6920</v>
      </c>
      <c r="LP19" s="71">
        <f t="shared" si="100"/>
        <v>6262</v>
      </c>
      <c r="LQ19" s="71">
        <f t="shared" si="100"/>
        <v>6918</v>
      </c>
      <c r="LR19" s="71">
        <f t="shared" si="100"/>
        <v>6416</v>
      </c>
      <c r="LS19" s="71">
        <f t="shared" si="100"/>
        <v>6302</v>
      </c>
      <c r="LT19" s="71">
        <f t="shared" si="100"/>
        <v>6443</v>
      </c>
      <c r="LU19" s="71">
        <f t="shared" si="100"/>
        <v>5924</v>
      </c>
      <c r="LV19" s="71">
        <f t="shared" si="100"/>
        <v>5449</v>
      </c>
      <c r="LW19" s="71">
        <f t="shared" si="100"/>
        <v>6021</v>
      </c>
      <c r="LX19" s="71">
        <f t="shared" si="100"/>
        <v>5751</v>
      </c>
      <c r="LY19" s="71">
        <f t="shared" si="100"/>
        <v>6096</v>
      </c>
      <c r="LZ19" s="38">
        <f t="shared" si="8"/>
        <v>74161</v>
      </c>
      <c r="MA19" s="26"/>
      <c r="MB19" s="45">
        <f>SUM(MB16:MB18)</f>
        <v>5208</v>
      </c>
      <c r="MC19" s="45">
        <f t="shared" ref="MC19:MM19" si="101">SUM(MC16:MC18)</f>
        <v>4950</v>
      </c>
      <c r="MD19" s="45">
        <f t="shared" si="101"/>
        <v>5614</v>
      </c>
      <c r="ME19" s="45">
        <f t="shared" si="101"/>
        <v>5356</v>
      </c>
      <c r="MF19" s="45">
        <f t="shared" si="101"/>
        <v>6268</v>
      </c>
      <c r="MG19" s="45">
        <f t="shared" si="101"/>
        <v>5473</v>
      </c>
      <c r="MH19" s="45">
        <f t="shared" si="101"/>
        <v>5556</v>
      </c>
      <c r="MI19" s="45">
        <f t="shared" si="101"/>
        <v>6035</v>
      </c>
      <c r="MJ19" s="45">
        <f t="shared" si="101"/>
        <v>6139</v>
      </c>
      <c r="MK19" s="45">
        <f t="shared" si="101"/>
        <v>6263</v>
      </c>
      <c r="ML19" s="45">
        <f t="shared" si="101"/>
        <v>5517</v>
      </c>
      <c r="MM19" s="45">
        <f t="shared" si="101"/>
        <v>5265</v>
      </c>
      <c r="MN19" s="38">
        <f t="shared" si="9"/>
        <v>67644</v>
      </c>
      <c r="MO19" s="32">
        <f>SUM(MO16:MO18)</f>
        <v>7640</v>
      </c>
      <c r="MP19" s="32">
        <f t="shared" ref="MP19:MZ19" si="102">SUM(MP16:MP18)</f>
        <v>5029</v>
      </c>
      <c r="MQ19" s="32">
        <f t="shared" si="102"/>
        <v>5208</v>
      </c>
      <c r="MR19" s="32">
        <f t="shared" si="102"/>
        <v>5692</v>
      </c>
      <c r="MS19" s="32">
        <f t="shared" si="102"/>
        <v>6575</v>
      </c>
      <c r="MT19" s="32">
        <f t="shared" si="102"/>
        <v>6428</v>
      </c>
      <c r="MU19" s="32">
        <f t="shared" si="102"/>
        <v>8841</v>
      </c>
      <c r="MV19" s="32">
        <f t="shared" si="102"/>
        <v>7510</v>
      </c>
      <c r="MW19" s="32">
        <f t="shared" si="102"/>
        <v>7746</v>
      </c>
      <c r="MX19" s="32">
        <f t="shared" si="102"/>
        <v>10206</v>
      </c>
      <c r="MY19" s="32">
        <f t="shared" si="102"/>
        <v>10423</v>
      </c>
      <c r="MZ19" s="32">
        <f t="shared" si="102"/>
        <v>6414</v>
      </c>
      <c r="NA19" s="38">
        <f t="shared" si="10"/>
        <v>87712</v>
      </c>
      <c r="NB19" s="36">
        <f t="shared" si="33"/>
        <v>155356</v>
      </c>
      <c r="NC19" s="26"/>
      <c r="ND19" s="32">
        <f>SUM(ND16:ND18)</f>
        <v>1687</v>
      </c>
      <c r="NE19" s="32">
        <f t="shared" ref="NE19:NO19" si="103">SUM(NE16:NE18)</f>
        <v>1550</v>
      </c>
      <c r="NF19" s="32">
        <f t="shared" si="103"/>
        <v>1350</v>
      </c>
      <c r="NG19" s="32">
        <f t="shared" si="103"/>
        <v>1503</v>
      </c>
      <c r="NH19" s="32">
        <f t="shared" si="103"/>
        <v>1164</v>
      </c>
      <c r="NI19" s="32">
        <f t="shared" si="103"/>
        <v>1035</v>
      </c>
      <c r="NJ19" s="32">
        <f t="shared" si="103"/>
        <v>1301</v>
      </c>
      <c r="NK19" s="32">
        <f t="shared" si="103"/>
        <v>951</v>
      </c>
      <c r="NL19" s="32">
        <f t="shared" si="103"/>
        <v>1035</v>
      </c>
      <c r="NM19" s="32">
        <f t="shared" si="103"/>
        <v>1306</v>
      </c>
      <c r="NN19" s="32">
        <f t="shared" si="103"/>
        <v>962</v>
      </c>
      <c r="NO19" s="32">
        <f t="shared" si="103"/>
        <v>899</v>
      </c>
      <c r="NP19" s="118">
        <f t="shared" si="11"/>
        <v>14743</v>
      </c>
      <c r="NQ19" s="36">
        <f t="shared" si="34"/>
        <v>74075</v>
      </c>
      <c r="NR19" s="36">
        <f t="shared" si="35"/>
        <v>429431</v>
      </c>
      <c r="NS19" s="36">
        <f t="shared" si="36"/>
        <v>146036.80000000002</v>
      </c>
      <c r="NT19" s="36">
        <f t="shared" si="37"/>
        <v>649542.80000000005</v>
      </c>
      <c r="NU19" s="18"/>
      <c r="NV19" s="18"/>
      <c r="NW19" s="18"/>
      <c r="NX19" s="19"/>
      <c r="NY19" s="19"/>
      <c r="NZ19" s="19"/>
      <c r="OA19" s="19"/>
      <c r="OB19" s="19"/>
      <c r="OC19" s="19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8"/>
      <c r="OR19" s="18"/>
      <c r="OS19" s="18"/>
      <c r="OT19" s="18"/>
      <c r="OU19" s="18"/>
      <c r="OV19" s="18"/>
      <c r="OW19" s="18"/>
      <c r="OX19" s="19"/>
      <c r="OY19" s="19"/>
      <c r="OZ19" s="19"/>
      <c r="PA19" s="19"/>
      <c r="PB19" s="19"/>
      <c r="PC19" s="19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8"/>
      <c r="PR19" s="18"/>
      <c r="PS19" s="18"/>
      <c r="PT19" s="18"/>
      <c r="PU19" s="18"/>
      <c r="PV19" s="18"/>
      <c r="PW19" s="18"/>
      <c r="PX19" s="19"/>
      <c r="PY19" s="19"/>
      <c r="PZ19" s="19"/>
      <c r="QA19" s="19"/>
      <c r="QB19" s="19"/>
      <c r="QC19" s="19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</row>
    <row r="20" spans="1:458" s="1" customFormat="1" ht="50.1" customHeight="1" x14ac:dyDescent="0.25">
      <c r="A20" s="120"/>
      <c r="B20" s="6" t="s">
        <v>21</v>
      </c>
      <c r="C20" s="23"/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38">
        <f t="shared" si="12"/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38">
        <f t="shared" si="38"/>
        <v>0</v>
      </c>
      <c r="AD20" s="36">
        <f t="shared" si="13"/>
        <v>0</v>
      </c>
      <c r="AE20" s="26"/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8">
        <f t="shared" si="14"/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8">
        <f t="shared" si="15"/>
        <v>0</v>
      </c>
      <c r="BF20" s="36">
        <f t="shared" si="16"/>
        <v>0</v>
      </c>
      <c r="BG20" s="26"/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  <c r="BQ20" s="41">
        <v>0</v>
      </c>
      <c r="BR20" s="41">
        <v>0</v>
      </c>
      <c r="BS20" s="41">
        <v>0</v>
      </c>
      <c r="BT20" s="38">
        <f t="shared" si="17"/>
        <v>0</v>
      </c>
      <c r="BU20" s="54">
        <v>0</v>
      </c>
      <c r="BV20" s="54">
        <v>0</v>
      </c>
      <c r="BW20" s="54">
        <v>0</v>
      </c>
      <c r="BX20" s="54">
        <v>0</v>
      </c>
      <c r="BY20" s="54">
        <v>0</v>
      </c>
      <c r="BZ20" s="54">
        <v>0</v>
      </c>
      <c r="CA20" s="54">
        <v>0</v>
      </c>
      <c r="CB20" s="54">
        <v>0</v>
      </c>
      <c r="CC20" s="54">
        <v>0</v>
      </c>
      <c r="CD20" s="54">
        <v>0</v>
      </c>
      <c r="CE20" s="54">
        <v>0</v>
      </c>
      <c r="CF20" s="54">
        <v>0</v>
      </c>
      <c r="CG20" s="38">
        <f t="shared" si="18"/>
        <v>0</v>
      </c>
      <c r="CH20" s="36">
        <f t="shared" si="19"/>
        <v>0</v>
      </c>
      <c r="CI20" s="26"/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32">
        <v>0</v>
      </c>
      <c r="CR20" s="32">
        <v>0</v>
      </c>
      <c r="CS20" s="32">
        <v>0</v>
      </c>
      <c r="CT20" s="32">
        <v>0</v>
      </c>
      <c r="CU20" s="32">
        <v>0</v>
      </c>
      <c r="CV20" s="38">
        <f t="shared" si="20"/>
        <v>0</v>
      </c>
      <c r="CW20" s="54">
        <v>12</v>
      </c>
      <c r="CX20" s="54">
        <v>27</v>
      </c>
      <c r="CY20" s="54">
        <v>14</v>
      </c>
      <c r="CZ20" s="54">
        <v>20</v>
      </c>
      <c r="DA20" s="54">
        <v>30</v>
      </c>
      <c r="DB20" s="54">
        <v>24</v>
      </c>
      <c r="DC20" s="54">
        <v>29</v>
      </c>
      <c r="DD20" s="54">
        <v>26</v>
      </c>
      <c r="DE20" s="54">
        <v>20</v>
      </c>
      <c r="DF20" s="54">
        <v>25</v>
      </c>
      <c r="DG20" s="54">
        <v>32</v>
      </c>
      <c r="DH20" s="54">
        <v>20</v>
      </c>
      <c r="DI20" s="38">
        <f t="shared" si="21"/>
        <v>279</v>
      </c>
      <c r="DJ20" s="36">
        <f t="shared" si="22"/>
        <v>279</v>
      </c>
      <c r="DK20" s="26"/>
      <c r="DL20" s="75">
        <v>0</v>
      </c>
      <c r="DM20" s="75">
        <v>0</v>
      </c>
      <c r="DN20" s="75">
        <v>0</v>
      </c>
      <c r="DO20" s="75">
        <v>0</v>
      </c>
      <c r="DP20" s="75">
        <v>0</v>
      </c>
      <c r="DQ20" s="75">
        <v>0</v>
      </c>
      <c r="DR20" s="75">
        <v>0</v>
      </c>
      <c r="DS20" s="75">
        <v>0</v>
      </c>
      <c r="DT20" s="75">
        <v>0</v>
      </c>
      <c r="DU20" s="75">
        <v>0</v>
      </c>
      <c r="DV20" s="75">
        <v>0</v>
      </c>
      <c r="DW20" s="75">
        <v>0</v>
      </c>
      <c r="DX20" s="38">
        <f t="shared" si="0"/>
        <v>0</v>
      </c>
      <c r="DY20" s="64">
        <v>12</v>
      </c>
      <c r="DZ20" s="64">
        <v>9</v>
      </c>
      <c r="EA20" s="64">
        <v>5</v>
      </c>
      <c r="EB20" s="64">
        <v>10</v>
      </c>
      <c r="EC20" s="64">
        <v>5</v>
      </c>
      <c r="ED20" s="64">
        <v>10</v>
      </c>
      <c r="EE20" s="64">
        <v>6</v>
      </c>
      <c r="EF20" s="64">
        <v>8</v>
      </c>
      <c r="EG20" s="64">
        <v>9</v>
      </c>
      <c r="EH20" s="64">
        <v>6</v>
      </c>
      <c r="EI20" s="64">
        <v>10</v>
      </c>
      <c r="EJ20" s="64">
        <v>8</v>
      </c>
      <c r="EK20" s="38">
        <f t="shared" si="23"/>
        <v>98</v>
      </c>
      <c r="EL20" s="36">
        <f t="shared" si="1"/>
        <v>98</v>
      </c>
      <c r="EM20" s="26"/>
      <c r="EN20" s="32">
        <v>0</v>
      </c>
      <c r="EO20" s="32">
        <v>0</v>
      </c>
      <c r="EP20" s="32">
        <v>0</v>
      </c>
      <c r="EQ20" s="32">
        <v>0</v>
      </c>
      <c r="ER20" s="32">
        <v>0</v>
      </c>
      <c r="ES20" s="32">
        <v>0</v>
      </c>
      <c r="ET20" s="32">
        <v>0</v>
      </c>
      <c r="EU20" s="32">
        <v>0</v>
      </c>
      <c r="EV20" s="32">
        <v>0</v>
      </c>
      <c r="EW20" s="32">
        <v>0</v>
      </c>
      <c r="EX20" s="32">
        <v>0</v>
      </c>
      <c r="EY20" s="32">
        <v>0</v>
      </c>
      <c r="EZ20" s="38">
        <f t="shared" si="24"/>
        <v>0</v>
      </c>
      <c r="FA20" s="26"/>
      <c r="FB20" s="104">
        <v>0</v>
      </c>
      <c r="FC20" s="104">
        <v>0</v>
      </c>
      <c r="FD20" s="104">
        <v>0</v>
      </c>
      <c r="FE20" s="104">
        <v>0</v>
      </c>
      <c r="FF20" s="104">
        <v>0</v>
      </c>
      <c r="FG20" s="104">
        <v>0</v>
      </c>
      <c r="FH20" s="104">
        <v>0</v>
      </c>
      <c r="FI20" s="104">
        <v>0</v>
      </c>
      <c r="FJ20" s="104">
        <v>0</v>
      </c>
      <c r="FK20" s="104">
        <v>0</v>
      </c>
      <c r="FL20" s="104">
        <v>0</v>
      </c>
      <c r="FM20" s="104">
        <v>0</v>
      </c>
      <c r="FN20" s="38">
        <f t="shared" si="25"/>
        <v>0</v>
      </c>
      <c r="FO20" s="26"/>
      <c r="FP20" s="32">
        <v>11</v>
      </c>
      <c r="FQ20" s="32">
        <v>18</v>
      </c>
      <c r="FR20" s="32">
        <v>9</v>
      </c>
      <c r="FS20" s="32">
        <v>15</v>
      </c>
      <c r="FT20" s="32">
        <v>13</v>
      </c>
      <c r="FU20" s="32">
        <v>21</v>
      </c>
      <c r="FV20" s="32">
        <v>12</v>
      </c>
      <c r="FW20" s="32">
        <v>7</v>
      </c>
      <c r="FX20" s="32">
        <v>25</v>
      </c>
      <c r="FY20" s="32">
        <v>14</v>
      </c>
      <c r="FZ20" s="32">
        <v>19</v>
      </c>
      <c r="GA20" s="32">
        <v>16</v>
      </c>
      <c r="GB20" s="38">
        <f t="shared" si="26"/>
        <v>180</v>
      </c>
      <c r="GC20" s="26"/>
      <c r="GD20" s="101">
        <v>33</v>
      </c>
      <c r="GE20" s="101">
        <v>54</v>
      </c>
      <c r="GF20" s="101">
        <v>35</v>
      </c>
      <c r="GG20" s="101">
        <v>12</v>
      </c>
      <c r="GH20" s="101">
        <v>9</v>
      </c>
      <c r="GI20" s="101">
        <v>34</v>
      </c>
      <c r="GJ20" s="101">
        <v>13</v>
      </c>
      <c r="GK20" s="101">
        <v>29</v>
      </c>
      <c r="GL20" s="101">
        <v>23</v>
      </c>
      <c r="GM20" s="101">
        <v>28</v>
      </c>
      <c r="GN20" s="101">
        <v>29</v>
      </c>
      <c r="GO20" s="101">
        <v>23</v>
      </c>
      <c r="GP20" s="38">
        <f t="shared" si="27"/>
        <v>322</v>
      </c>
      <c r="GQ20" s="26"/>
      <c r="GR20" s="32">
        <v>0</v>
      </c>
      <c r="GS20" s="32">
        <v>0</v>
      </c>
      <c r="GT20" s="32">
        <v>0</v>
      </c>
      <c r="GU20" s="32">
        <v>0</v>
      </c>
      <c r="GV20" s="32">
        <v>0</v>
      </c>
      <c r="GW20" s="32">
        <v>0</v>
      </c>
      <c r="GX20" s="32">
        <v>0</v>
      </c>
      <c r="GY20" s="32">
        <v>0</v>
      </c>
      <c r="GZ20" s="32">
        <v>0</v>
      </c>
      <c r="HA20" s="32">
        <v>0</v>
      </c>
      <c r="HB20" s="32">
        <v>0</v>
      </c>
      <c r="HC20" s="32">
        <v>0</v>
      </c>
      <c r="HD20" s="38">
        <f t="shared" si="28"/>
        <v>0</v>
      </c>
      <c r="HE20" s="26"/>
      <c r="HF20" s="54">
        <v>0</v>
      </c>
      <c r="HG20" s="54">
        <v>0</v>
      </c>
      <c r="HH20" s="54">
        <v>0</v>
      </c>
      <c r="HI20" s="54">
        <v>0</v>
      </c>
      <c r="HJ20" s="54">
        <v>0</v>
      </c>
      <c r="HK20" s="54">
        <v>0</v>
      </c>
      <c r="HL20" s="54">
        <v>0</v>
      </c>
      <c r="HM20" s="54">
        <v>0</v>
      </c>
      <c r="HN20" s="54">
        <v>0</v>
      </c>
      <c r="HO20" s="54">
        <v>0</v>
      </c>
      <c r="HP20" s="54">
        <v>0</v>
      </c>
      <c r="HQ20" s="54">
        <v>0</v>
      </c>
      <c r="HR20" s="38">
        <f t="shared" si="29"/>
        <v>0</v>
      </c>
      <c r="HS20" s="26"/>
      <c r="HT20" s="32">
        <v>1</v>
      </c>
      <c r="HU20" s="32">
        <v>2</v>
      </c>
      <c r="HV20" s="32">
        <v>4</v>
      </c>
      <c r="HW20" s="32">
        <v>2</v>
      </c>
      <c r="HX20" s="32">
        <v>1</v>
      </c>
      <c r="HY20" s="32">
        <v>3</v>
      </c>
      <c r="HZ20" s="32">
        <v>2</v>
      </c>
      <c r="IA20" s="32">
        <v>1</v>
      </c>
      <c r="IB20" s="32">
        <v>4</v>
      </c>
      <c r="IC20" s="32">
        <v>3</v>
      </c>
      <c r="ID20" s="32">
        <v>4</v>
      </c>
      <c r="IE20" s="69">
        <v>3</v>
      </c>
      <c r="IF20" s="38">
        <f t="shared" si="2"/>
        <v>30</v>
      </c>
      <c r="IG20" s="104">
        <v>3</v>
      </c>
      <c r="IH20" s="104">
        <v>4</v>
      </c>
      <c r="II20" s="104">
        <v>8</v>
      </c>
      <c r="IJ20" s="104">
        <v>24</v>
      </c>
      <c r="IK20" s="104">
        <v>42</v>
      </c>
      <c r="IL20" s="104">
        <v>22</v>
      </c>
      <c r="IM20" s="104">
        <v>5</v>
      </c>
      <c r="IN20" s="104">
        <v>12</v>
      </c>
      <c r="IO20" s="104">
        <v>21</v>
      </c>
      <c r="IP20" s="104">
        <v>7</v>
      </c>
      <c r="IQ20" s="104">
        <v>15</v>
      </c>
      <c r="IR20" s="107">
        <v>14</v>
      </c>
      <c r="IS20" s="38">
        <f t="shared" si="3"/>
        <v>177</v>
      </c>
      <c r="IT20" s="36">
        <f t="shared" si="39"/>
        <v>207</v>
      </c>
      <c r="IU20" s="26"/>
      <c r="IV20" s="32">
        <v>4</v>
      </c>
      <c r="IW20" s="32">
        <v>3</v>
      </c>
      <c r="IX20" s="32">
        <v>5</v>
      </c>
      <c r="IY20" s="32">
        <v>6</v>
      </c>
      <c r="IZ20" s="32">
        <v>4</v>
      </c>
      <c r="JA20" s="32">
        <v>6</v>
      </c>
      <c r="JB20" s="32">
        <v>7</v>
      </c>
      <c r="JC20" s="32">
        <v>2</v>
      </c>
      <c r="JD20" s="32">
        <v>4</v>
      </c>
      <c r="JE20" s="32">
        <v>3</v>
      </c>
      <c r="JF20" s="32">
        <v>5</v>
      </c>
      <c r="JG20" s="32">
        <v>6</v>
      </c>
      <c r="JH20" s="38">
        <f t="shared" si="4"/>
        <v>55</v>
      </c>
      <c r="JI20" s="110">
        <v>3</v>
      </c>
      <c r="JJ20" s="32">
        <v>6</v>
      </c>
      <c r="JK20" s="32">
        <v>8</v>
      </c>
      <c r="JL20" s="32">
        <v>14</v>
      </c>
      <c r="JM20" s="32">
        <v>4</v>
      </c>
      <c r="JN20" s="32">
        <v>7</v>
      </c>
      <c r="JO20" s="32">
        <v>7</v>
      </c>
      <c r="JP20" s="32">
        <v>5</v>
      </c>
      <c r="JQ20" s="32">
        <v>3</v>
      </c>
      <c r="JR20" s="32">
        <v>3</v>
      </c>
      <c r="JS20" s="32">
        <v>9</v>
      </c>
      <c r="JT20" s="32">
        <v>5</v>
      </c>
      <c r="JU20" s="35">
        <f t="shared" si="5"/>
        <v>74</v>
      </c>
      <c r="JV20" s="40">
        <f t="shared" si="30"/>
        <v>129</v>
      </c>
      <c r="JW20" s="26"/>
      <c r="JX20" s="32">
        <v>0</v>
      </c>
      <c r="JY20" s="32">
        <v>0</v>
      </c>
      <c r="JZ20" s="32">
        <v>0</v>
      </c>
      <c r="KA20" s="32">
        <v>0</v>
      </c>
      <c r="KB20" s="32">
        <v>0</v>
      </c>
      <c r="KC20" s="32">
        <v>0</v>
      </c>
      <c r="KD20" s="32">
        <v>0</v>
      </c>
      <c r="KE20" s="32">
        <v>0</v>
      </c>
      <c r="KF20" s="32">
        <v>0</v>
      </c>
      <c r="KG20" s="32">
        <v>0</v>
      </c>
      <c r="KH20" s="32">
        <v>0</v>
      </c>
      <c r="KI20" s="32">
        <v>0</v>
      </c>
      <c r="KJ20" s="38">
        <f t="shared" si="6"/>
        <v>0</v>
      </c>
      <c r="KK20" s="32">
        <v>8</v>
      </c>
      <c r="KL20" s="32">
        <v>6</v>
      </c>
      <c r="KM20" s="32">
        <v>70</v>
      </c>
      <c r="KN20" s="32">
        <v>31</v>
      </c>
      <c r="KO20" s="32">
        <v>54</v>
      </c>
      <c r="KP20" s="32">
        <v>16</v>
      </c>
      <c r="KQ20" s="32">
        <v>14</v>
      </c>
      <c r="KR20" s="32">
        <v>10</v>
      </c>
      <c r="KS20" s="32">
        <v>3</v>
      </c>
      <c r="KT20" s="32">
        <v>43</v>
      </c>
      <c r="KU20" s="32">
        <v>46</v>
      </c>
      <c r="KV20" s="32">
        <v>31</v>
      </c>
      <c r="KW20" s="38">
        <f t="shared" si="7"/>
        <v>332</v>
      </c>
      <c r="KX20" s="36">
        <f t="shared" si="31"/>
        <v>332</v>
      </c>
      <c r="KY20" s="26"/>
      <c r="KZ20" s="32">
        <v>0</v>
      </c>
      <c r="LA20" s="32">
        <v>0</v>
      </c>
      <c r="LB20" s="32">
        <v>0</v>
      </c>
      <c r="LC20" s="32">
        <v>0</v>
      </c>
      <c r="LD20" s="32">
        <v>0</v>
      </c>
      <c r="LE20" s="32">
        <v>0</v>
      </c>
      <c r="LF20" s="32">
        <v>0</v>
      </c>
      <c r="LG20" s="32">
        <v>0</v>
      </c>
      <c r="LH20" s="32">
        <v>0</v>
      </c>
      <c r="LI20" s="32">
        <v>0</v>
      </c>
      <c r="LJ20" s="32">
        <v>0</v>
      </c>
      <c r="LK20" s="69">
        <v>0</v>
      </c>
      <c r="LL20" s="38">
        <f t="shared" si="32"/>
        <v>0</v>
      </c>
      <c r="LM20" s="26"/>
      <c r="LN20" s="71">
        <v>29</v>
      </c>
      <c r="LO20" s="71">
        <v>33</v>
      </c>
      <c r="LP20" s="71">
        <v>31</v>
      </c>
      <c r="LQ20" s="71">
        <v>30</v>
      </c>
      <c r="LR20" s="71">
        <v>35</v>
      </c>
      <c r="LS20" s="71">
        <v>32</v>
      </c>
      <c r="LT20" s="71">
        <v>29</v>
      </c>
      <c r="LU20" s="45">
        <v>38</v>
      </c>
      <c r="LV20" s="45">
        <v>48</v>
      </c>
      <c r="LW20" s="45">
        <v>50</v>
      </c>
      <c r="LX20" s="45">
        <v>48</v>
      </c>
      <c r="LY20" s="45">
        <v>49</v>
      </c>
      <c r="LZ20" s="38">
        <f t="shared" si="8"/>
        <v>452</v>
      </c>
      <c r="MA20" s="26"/>
      <c r="MB20" s="45">
        <v>0</v>
      </c>
      <c r="MC20" s="45">
        <v>0</v>
      </c>
      <c r="MD20" s="45">
        <v>0</v>
      </c>
      <c r="ME20" s="45">
        <v>0</v>
      </c>
      <c r="MF20" s="45">
        <v>0</v>
      </c>
      <c r="MG20" s="45">
        <v>0</v>
      </c>
      <c r="MH20" s="45">
        <v>0</v>
      </c>
      <c r="MI20" s="45">
        <v>0</v>
      </c>
      <c r="MJ20" s="45">
        <v>0</v>
      </c>
      <c r="MK20" s="45">
        <v>0</v>
      </c>
      <c r="ML20" s="45">
        <v>0</v>
      </c>
      <c r="MM20" s="45">
        <v>0</v>
      </c>
      <c r="MN20" s="38">
        <f t="shared" si="9"/>
        <v>0</v>
      </c>
      <c r="MO20" s="32">
        <v>27</v>
      </c>
      <c r="MP20" s="32">
        <v>1303</v>
      </c>
      <c r="MQ20" s="32">
        <v>1700</v>
      </c>
      <c r="MR20" s="32">
        <v>1567</v>
      </c>
      <c r="MS20" s="32">
        <v>1358</v>
      </c>
      <c r="MT20" s="32">
        <v>1510</v>
      </c>
      <c r="MU20" s="32">
        <v>1239</v>
      </c>
      <c r="MV20" s="32">
        <v>896</v>
      </c>
      <c r="MW20" s="32">
        <v>832</v>
      </c>
      <c r="MX20" s="32">
        <v>207</v>
      </c>
      <c r="MY20" s="32">
        <v>117</v>
      </c>
      <c r="MZ20" s="32">
        <v>198</v>
      </c>
      <c r="NA20" s="38">
        <f t="shared" si="10"/>
        <v>10954</v>
      </c>
      <c r="NB20" s="36">
        <f t="shared" si="33"/>
        <v>10954</v>
      </c>
      <c r="NC20" s="26"/>
      <c r="ND20" s="32">
        <v>0</v>
      </c>
      <c r="NE20" s="32">
        <v>0</v>
      </c>
      <c r="NF20" s="32">
        <v>0</v>
      </c>
      <c r="NG20" s="32">
        <v>0</v>
      </c>
      <c r="NH20" s="32">
        <v>0</v>
      </c>
      <c r="NI20" s="32">
        <v>0</v>
      </c>
      <c r="NJ20" s="32">
        <v>0</v>
      </c>
      <c r="NK20" s="32">
        <v>0</v>
      </c>
      <c r="NL20" s="32">
        <v>0</v>
      </c>
      <c r="NM20" s="32">
        <v>0</v>
      </c>
      <c r="NN20" s="32">
        <v>0</v>
      </c>
      <c r="NO20" s="32">
        <v>0</v>
      </c>
      <c r="NP20" s="118">
        <f t="shared" si="11"/>
        <v>0</v>
      </c>
      <c r="NQ20" s="36">
        <f t="shared" si="34"/>
        <v>30</v>
      </c>
      <c r="NR20" s="36">
        <f t="shared" si="35"/>
        <v>1895</v>
      </c>
      <c r="NS20" s="36">
        <f t="shared" si="36"/>
        <v>11028</v>
      </c>
      <c r="NT20" s="36">
        <f t="shared" si="37"/>
        <v>12953</v>
      </c>
      <c r="NU20" s="18"/>
      <c r="NV20" s="18"/>
      <c r="NW20" s="18"/>
      <c r="NX20" s="19"/>
      <c r="NY20" s="19"/>
      <c r="NZ20" s="19"/>
      <c r="OA20" s="19"/>
      <c r="OB20" s="19"/>
      <c r="OC20" s="19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8"/>
      <c r="OR20" s="18"/>
      <c r="OS20" s="18"/>
      <c r="OT20" s="18"/>
      <c r="OU20" s="18"/>
      <c r="OV20" s="18"/>
      <c r="OW20" s="18"/>
      <c r="OX20" s="19"/>
      <c r="OY20" s="19"/>
      <c r="OZ20" s="19"/>
      <c r="PA20" s="19"/>
      <c r="PB20" s="19"/>
      <c r="PC20" s="19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8"/>
      <c r="PR20" s="18"/>
      <c r="PS20" s="18"/>
      <c r="PT20" s="18"/>
      <c r="PU20" s="18"/>
      <c r="PV20" s="18"/>
      <c r="PW20" s="18"/>
      <c r="PX20" s="19"/>
      <c r="PY20" s="19"/>
      <c r="PZ20" s="19"/>
      <c r="QA20" s="19"/>
      <c r="QB20" s="19"/>
      <c r="QC20" s="19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</row>
    <row r="21" spans="1:458" s="1" customFormat="1" ht="50.1" customHeight="1" x14ac:dyDescent="0.25">
      <c r="A21" s="120"/>
      <c r="B21" s="6" t="s">
        <v>22</v>
      </c>
      <c r="C21" s="23"/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38">
        <f t="shared" si="12"/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38">
        <f t="shared" si="38"/>
        <v>0</v>
      </c>
      <c r="AD21" s="36">
        <f t="shared" si="13"/>
        <v>0</v>
      </c>
      <c r="AE21" s="26"/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8">
        <f t="shared" si="14"/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8">
        <f t="shared" si="15"/>
        <v>0</v>
      </c>
      <c r="BF21" s="36">
        <f t="shared" si="16"/>
        <v>0</v>
      </c>
      <c r="BG21" s="26"/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  <c r="BQ21" s="41">
        <v>0</v>
      </c>
      <c r="BR21" s="41">
        <v>0</v>
      </c>
      <c r="BS21" s="41">
        <v>0</v>
      </c>
      <c r="BT21" s="38">
        <f>SUM(BH21:BS21)</f>
        <v>0</v>
      </c>
      <c r="BU21" s="54">
        <v>0</v>
      </c>
      <c r="BV21" s="54">
        <v>0</v>
      </c>
      <c r="BW21" s="54">
        <v>0</v>
      </c>
      <c r="BX21" s="54">
        <v>0</v>
      </c>
      <c r="BY21" s="54">
        <v>0</v>
      </c>
      <c r="BZ21" s="54">
        <v>0</v>
      </c>
      <c r="CA21" s="54">
        <v>0</v>
      </c>
      <c r="CB21" s="54">
        <v>0</v>
      </c>
      <c r="CC21" s="54">
        <v>0</v>
      </c>
      <c r="CD21" s="54">
        <v>0</v>
      </c>
      <c r="CE21" s="54">
        <v>0</v>
      </c>
      <c r="CF21" s="54">
        <v>0</v>
      </c>
      <c r="CG21" s="38">
        <f t="shared" si="18"/>
        <v>0</v>
      </c>
      <c r="CH21" s="36">
        <f t="shared" si="19"/>
        <v>0</v>
      </c>
      <c r="CI21" s="26"/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32">
        <v>0</v>
      </c>
      <c r="CR21" s="32">
        <v>0</v>
      </c>
      <c r="CS21" s="32">
        <v>0</v>
      </c>
      <c r="CT21" s="32">
        <v>0</v>
      </c>
      <c r="CU21" s="32">
        <v>0</v>
      </c>
      <c r="CV21" s="38">
        <f t="shared" si="20"/>
        <v>0</v>
      </c>
      <c r="CW21" s="54">
        <v>0</v>
      </c>
      <c r="CX21" s="54">
        <v>0</v>
      </c>
      <c r="CY21" s="54">
        <v>0</v>
      </c>
      <c r="CZ21" s="54">
        <v>0</v>
      </c>
      <c r="DA21" s="54">
        <v>0</v>
      </c>
      <c r="DB21" s="54">
        <v>0</v>
      </c>
      <c r="DC21" s="54">
        <v>0</v>
      </c>
      <c r="DD21" s="54">
        <v>0</v>
      </c>
      <c r="DE21" s="54">
        <v>0</v>
      </c>
      <c r="DF21" s="54">
        <v>0</v>
      </c>
      <c r="DG21" s="54">
        <v>0</v>
      </c>
      <c r="DH21" s="54">
        <v>0</v>
      </c>
      <c r="DI21" s="38">
        <f t="shared" si="21"/>
        <v>0</v>
      </c>
      <c r="DJ21" s="36">
        <f t="shared" si="22"/>
        <v>0</v>
      </c>
      <c r="DK21" s="26"/>
      <c r="DL21" s="75">
        <v>0</v>
      </c>
      <c r="DM21" s="75">
        <v>0</v>
      </c>
      <c r="DN21" s="75">
        <v>0</v>
      </c>
      <c r="DO21" s="75">
        <v>0</v>
      </c>
      <c r="DP21" s="75">
        <v>0</v>
      </c>
      <c r="DQ21" s="75">
        <v>0</v>
      </c>
      <c r="DR21" s="75">
        <v>0</v>
      </c>
      <c r="DS21" s="75">
        <v>0</v>
      </c>
      <c r="DT21" s="75">
        <v>0</v>
      </c>
      <c r="DU21" s="75">
        <v>0</v>
      </c>
      <c r="DV21" s="75">
        <v>0</v>
      </c>
      <c r="DW21" s="75">
        <v>0</v>
      </c>
      <c r="DX21" s="38">
        <f t="shared" si="0"/>
        <v>0</v>
      </c>
      <c r="DY21" s="63">
        <v>0</v>
      </c>
      <c r="DZ21" s="63">
        <v>0</v>
      </c>
      <c r="EA21" s="63">
        <v>0</v>
      </c>
      <c r="EB21" s="63">
        <v>0</v>
      </c>
      <c r="EC21" s="63">
        <v>0</v>
      </c>
      <c r="ED21" s="63">
        <v>0</v>
      </c>
      <c r="EE21" s="63">
        <v>0</v>
      </c>
      <c r="EF21" s="63">
        <v>0</v>
      </c>
      <c r="EG21" s="63">
        <v>0</v>
      </c>
      <c r="EH21" s="63">
        <v>0</v>
      </c>
      <c r="EI21" s="63">
        <v>0</v>
      </c>
      <c r="EJ21" s="63">
        <v>0</v>
      </c>
      <c r="EK21" s="38">
        <f t="shared" si="23"/>
        <v>0</v>
      </c>
      <c r="EL21" s="36">
        <f t="shared" si="1"/>
        <v>0</v>
      </c>
      <c r="EM21" s="26"/>
      <c r="EN21" s="32">
        <v>0</v>
      </c>
      <c r="EO21" s="32">
        <v>0</v>
      </c>
      <c r="EP21" s="32">
        <v>0</v>
      </c>
      <c r="EQ21" s="32">
        <v>0</v>
      </c>
      <c r="ER21" s="32">
        <v>0</v>
      </c>
      <c r="ES21" s="32">
        <v>0</v>
      </c>
      <c r="ET21" s="32">
        <v>0</v>
      </c>
      <c r="EU21" s="32">
        <v>0</v>
      </c>
      <c r="EV21" s="32">
        <v>0</v>
      </c>
      <c r="EW21" s="32">
        <v>0</v>
      </c>
      <c r="EX21" s="32">
        <v>0</v>
      </c>
      <c r="EY21" s="32">
        <v>0</v>
      </c>
      <c r="EZ21" s="38">
        <f t="shared" si="24"/>
        <v>0</v>
      </c>
      <c r="FA21" s="26"/>
      <c r="FB21" s="104">
        <v>0</v>
      </c>
      <c r="FC21" s="104">
        <v>0</v>
      </c>
      <c r="FD21" s="104">
        <v>0</v>
      </c>
      <c r="FE21" s="104">
        <v>0</v>
      </c>
      <c r="FF21" s="104">
        <v>0</v>
      </c>
      <c r="FG21" s="104">
        <v>0</v>
      </c>
      <c r="FH21" s="104">
        <v>0</v>
      </c>
      <c r="FI21" s="104">
        <v>0</v>
      </c>
      <c r="FJ21" s="104">
        <v>0</v>
      </c>
      <c r="FK21" s="104">
        <v>0</v>
      </c>
      <c r="FL21" s="104">
        <v>0</v>
      </c>
      <c r="FM21" s="104">
        <v>0</v>
      </c>
      <c r="FN21" s="38">
        <f t="shared" si="25"/>
        <v>0</v>
      </c>
      <c r="FO21" s="26"/>
      <c r="FP21" s="32">
        <v>0</v>
      </c>
      <c r="FQ21" s="32">
        <v>0</v>
      </c>
      <c r="FR21" s="32">
        <v>0</v>
      </c>
      <c r="FS21" s="32">
        <v>0</v>
      </c>
      <c r="FT21" s="32">
        <v>0</v>
      </c>
      <c r="FU21" s="32">
        <v>0</v>
      </c>
      <c r="FV21" s="32">
        <v>0</v>
      </c>
      <c r="FW21" s="32">
        <v>0</v>
      </c>
      <c r="FX21" s="32">
        <v>0</v>
      </c>
      <c r="FY21" s="32">
        <v>0</v>
      </c>
      <c r="FZ21" s="32">
        <v>0</v>
      </c>
      <c r="GA21" s="32">
        <v>0</v>
      </c>
      <c r="GB21" s="38">
        <f t="shared" si="26"/>
        <v>0</v>
      </c>
      <c r="GC21" s="26"/>
      <c r="GD21" s="32">
        <v>0</v>
      </c>
      <c r="GE21" s="32">
        <v>0</v>
      </c>
      <c r="GF21" s="32">
        <v>0</v>
      </c>
      <c r="GG21" s="32">
        <v>0</v>
      </c>
      <c r="GH21" s="32">
        <v>0</v>
      </c>
      <c r="GI21" s="32">
        <v>0</v>
      </c>
      <c r="GJ21" s="32">
        <v>0</v>
      </c>
      <c r="GK21" s="32">
        <v>0</v>
      </c>
      <c r="GL21" s="32">
        <v>0</v>
      </c>
      <c r="GM21" s="32">
        <v>0</v>
      </c>
      <c r="GN21" s="32">
        <v>0</v>
      </c>
      <c r="GO21" s="32">
        <v>0</v>
      </c>
      <c r="GP21" s="38">
        <f t="shared" si="27"/>
        <v>0</v>
      </c>
      <c r="GQ21" s="26"/>
      <c r="GR21" s="32">
        <v>0</v>
      </c>
      <c r="GS21" s="32">
        <v>0</v>
      </c>
      <c r="GT21" s="32">
        <v>0</v>
      </c>
      <c r="GU21" s="32">
        <v>0</v>
      </c>
      <c r="GV21" s="32">
        <v>0</v>
      </c>
      <c r="GW21" s="32">
        <v>0</v>
      </c>
      <c r="GX21" s="32">
        <v>0</v>
      </c>
      <c r="GY21" s="32">
        <v>0</v>
      </c>
      <c r="GZ21" s="32">
        <v>0</v>
      </c>
      <c r="HA21" s="32">
        <v>0</v>
      </c>
      <c r="HB21" s="32">
        <v>0</v>
      </c>
      <c r="HC21" s="32">
        <v>0</v>
      </c>
      <c r="HD21" s="38">
        <f t="shared" si="28"/>
        <v>0</v>
      </c>
      <c r="HE21" s="26"/>
      <c r="HF21" s="54">
        <v>0</v>
      </c>
      <c r="HG21" s="54">
        <v>0</v>
      </c>
      <c r="HH21" s="54">
        <v>0</v>
      </c>
      <c r="HI21" s="54">
        <v>0</v>
      </c>
      <c r="HJ21" s="54">
        <v>0</v>
      </c>
      <c r="HK21" s="54">
        <v>0</v>
      </c>
      <c r="HL21" s="54">
        <v>0</v>
      </c>
      <c r="HM21" s="54">
        <v>0</v>
      </c>
      <c r="HN21" s="54">
        <v>0</v>
      </c>
      <c r="HO21" s="54">
        <v>0</v>
      </c>
      <c r="HP21" s="54">
        <v>0</v>
      </c>
      <c r="HQ21" s="54">
        <v>0</v>
      </c>
      <c r="HR21" s="38">
        <f t="shared" si="29"/>
        <v>0</v>
      </c>
      <c r="HS21" s="26"/>
      <c r="HT21" s="32">
        <v>0</v>
      </c>
      <c r="HU21" s="32">
        <v>0</v>
      </c>
      <c r="HV21" s="32">
        <v>0</v>
      </c>
      <c r="HW21" s="32">
        <v>0</v>
      </c>
      <c r="HX21" s="32">
        <v>0</v>
      </c>
      <c r="HY21" s="32">
        <v>0</v>
      </c>
      <c r="HZ21" s="32">
        <v>0</v>
      </c>
      <c r="IA21" s="32">
        <v>0</v>
      </c>
      <c r="IB21" s="32">
        <v>0</v>
      </c>
      <c r="IC21" s="32">
        <v>0</v>
      </c>
      <c r="ID21" s="32">
        <v>0</v>
      </c>
      <c r="IE21" s="69">
        <v>0</v>
      </c>
      <c r="IF21" s="38">
        <f t="shared" si="2"/>
        <v>0</v>
      </c>
      <c r="IG21" s="104">
        <v>0</v>
      </c>
      <c r="IH21" s="104">
        <v>0</v>
      </c>
      <c r="II21" s="104">
        <v>0</v>
      </c>
      <c r="IJ21" s="104">
        <v>0</v>
      </c>
      <c r="IK21" s="104">
        <v>0</v>
      </c>
      <c r="IL21" s="104">
        <v>0</v>
      </c>
      <c r="IM21" s="104">
        <v>0</v>
      </c>
      <c r="IN21" s="104">
        <v>0</v>
      </c>
      <c r="IO21" s="104">
        <v>0</v>
      </c>
      <c r="IP21" s="104">
        <v>0</v>
      </c>
      <c r="IQ21" s="104">
        <v>0</v>
      </c>
      <c r="IR21" s="107">
        <v>0</v>
      </c>
      <c r="IS21" s="38">
        <f t="shared" si="3"/>
        <v>0</v>
      </c>
      <c r="IT21" s="36">
        <f t="shared" si="39"/>
        <v>0</v>
      </c>
      <c r="IU21" s="26"/>
      <c r="IV21" s="32">
        <v>0</v>
      </c>
      <c r="IW21" s="32">
        <v>0</v>
      </c>
      <c r="IX21" s="32">
        <v>0</v>
      </c>
      <c r="IY21" s="32">
        <v>0</v>
      </c>
      <c r="IZ21" s="32">
        <v>0</v>
      </c>
      <c r="JA21" s="32">
        <v>0</v>
      </c>
      <c r="JB21" s="32">
        <v>0</v>
      </c>
      <c r="JC21" s="32">
        <v>0</v>
      </c>
      <c r="JD21" s="32">
        <v>0</v>
      </c>
      <c r="JE21" s="32">
        <v>0</v>
      </c>
      <c r="JF21" s="32">
        <v>0</v>
      </c>
      <c r="JG21" s="32">
        <v>0</v>
      </c>
      <c r="JH21" s="38">
        <f t="shared" si="4"/>
        <v>0</v>
      </c>
      <c r="JI21" s="110">
        <v>0</v>
      </c>
      <c r="JJ21" s="32">
        <v>0</v>
      </c>
      <c r="JK21" s="32">
        <v>0</v>
      </c>
      <c r="JL21" s="32">
        <v>0</v>
      </c>
      <c r="JM21" s="32">
        <v>0</v>
      </c>
      <c r="JN21" s="32">
        <v>0</v>
      </c>
      <c r="JO21" s="32">
        <v>0</v>
      </c>
      <c r="JP21" s="32">
        <v>0</v>
      </c>
      <c r="JQ21" s="32">
        <v>0</v>
      </c>
      <c r="JR21" s="32">
        <v>0</v>
      </c>
      <c r="JS21" s="32">
        <v>0</v>
      </c>
      <c r="JT21" s="32">
        <v>0</v>
      </c>
      <c r="JU21" s="35">
        <f t="shared" si="5"/>
        <v>0</v>
      </c>
      <c r="JV21" s="40">
        <f t="shared" si="30"/>
        <v>0</v>
      </c>
      <c r="JW21" s="26"/>
      <c r="JX21" s="32">
        <v>0</v>
      </c>
      <c r="JY21" s="32">
        <v>0</v>
      </c>
      <c r="JZ21" s="32">
        <v>0</v>
      </c>
      <c r="KA21" s="32">
        <v>0</v>
      </c>
      <c r="KB21" s="32">
        <v>0</v>
      </c>
      <c r="KC21" s="32">
        <v>0</v>
      </c>
      <c r="KD21" s="32">
        <v>0</v>
      </c>
      <c r="KE21" s="32">
        <v>0</v>
      </c>
      <c r="KF21" s="32">
        <v>0</v>
      </c>
      <c r="KG21" s="32">
        <v>0</v>
      </c>
      <c r="KH21" s="32">
        <v>0</v>
      </c>
      <c r="KI21" s="32">
        <v>0</v>
      </c>
      <c r="KJ21" s="38">
        <f t="shared" si="6"/>
        <v>0</v>
      </c>
      <c r="KK21" s="32">
        <v>0</v>
      </c>
      <c r="KL21" s="32">
        <v>0</v>
      </c>
      <c r="KM21" s="32">
        <v>0</v>
      </c>
      <c r="KN21" s="32">
        <v>0</v>
      </c>
      <c r="KO21" s="32">
        <v>0</v>
      </c>
      <c r="KP21" s="32">
        <v>0</v>
      </c>
      <c r="KQ21" s="32">
        <v>0</v>
      </c>
      <c r="KR21" s="32">
        <v>0</v>
      </c>
      <c r="KS21" s="32">
        <v>0</v>
      </c>
      <c r="KT21" s="32">
        <v>0</v>
      </c>
      <c r="KU21" s="32">
        <v>0</v>
      </c>
      <c r="KV21" s="32">
        <v>0</v>
      </c>
      <c r="KW21" s="38">
        <f t="shared" si="7"/>
        <v>0</v>
      </c>
      <c r="KX21" s="36">
        <f t="shared" si="31"/>
        <v>0</v>
      </c>
      <c r="KY21" s="26"/>
      <c r="KZ21" s="32">
        <v>0</v>
      </c>
      <c r="LA21" s="32">
        <v>0</v>
      </c>
      <c r="LB21" s="32">
        <v>0</v>
      </c>
      <c r="LC21" s="32">
        <v>0</v>
      </c>
      <c r="LD21" s="32">
        <v>0</v>
      </c>
      <c r="LE21" s="32">
        <v>0</v>
      </c>
      <c r="LF21" s="32">
        <v>0</v>
      </c>
      <c r="LG21" s="32">
        <v>0</v>
      </c>
      <c r="LH21" s="32">
        <v>0</v>
      </c>
      <c r="LI21" s="32">
        <v>0</v>
      </c>
      <c r="LJ21" s="32">
        <v>0</v>
      </c>
      <c r="LK21" s="69">
        <v>0</v>
      </c>
      <c r="LL21" s="38">
        <f t="shared" si="32"/>
        <v>0</v>
      </c>
      <c r="LM21" s="26"/>
      <c r="LN21" s="71">
        <v>0</v>
      </c>
      <c r="LO21" s="71">
        <v>0</v>
      </c>
      <c r="LP21" s="71">
        <v>0</v>
      </c>
      <c r="LQ21" s="71">
        <v>0</v>
      </c>
      <c r="LR21" s="71">
        <v>0</v>
      </c>
      <c r="LS21" s="71">
        <v>0</v>
      </c>
      <c r="LT21" s="71">
        <v>0</v>
      </c>
      <c r="LU21" s="45">
        <v>0</v>
      </c>
      <c r="LV21" s="45">
        <v>0</v>
      </c>
      <c r="LW21" s="45">
        <v>0</v>
      </c>
      <c r="LX21" s="45">
        <v>0</v>
      </c>
      <c r="LY21" s="45">
        <v>0</v>
      </c>
      <c r="LZ21" s="38">
        <f t="shared" si="8"/>
        <v>0</v>
      </c>
      <c r="MA21" s="26"/>
      <c r="MB21" s="45">
        <v>0</v>
      </c>
      <c r="MC21" s="45">
        <v>0</v>
      </c>
      <c r="MD21" s="45">
        <v>0</v>
      </c>
      <c r="ME21" s="45">
        <v>0</v>
      </c>
      <c r="MF21" s="45">
        <v>0</v>
      </c>
      <c r="MG21" s="45">
        <v>0</v>
      </c>
      <c r="MH21" s="45">
        <v>0</v>
      </c>
      <c r="MI21" s="45">
        <v>0</v>
      </c>
      <c r="MJ21" s="45">
        <v>0</v>
      </c>
      <c r="MK21" s="45">
        <v>0</v>
      </c>
      <c r="ML21" s="45">
        <v>0</v>
      </c>
      <c r="MM21" s="45">
        <v>0</v>
      </c>
      <c r="MN21" s="38">
        <f t="shared" si="9"/>
        <v>0</v>
      </c>
      <c r="MO21" s="32">
        <v>0</v>
      </c>
      <c r="MP21" s="32">
        <v>0</v>
      </c>
      <c r="MQ21" s="32">
        <v>0</v>
      </c>
      <c r="MR21" s="32">
        <v>0</v>
      </c>
      <c r="MS21" s="32">
        <v>0</v>
      </c>
      <c r="MT21" s="32">
        <v>0</v>
      </c>
      <c r="MU21" s="32">
        <v>0</v>
      </c>
      <c r="MV21" s="32">
        <v>0</v>
      </c>
      <c r="MW21" s="32">
        <v>0</v>
      </c>
      <c r="MX21" s="32">
        <v>0</v>
      </c>
      <c r="MY21" s="32">
        <v>0</v>
      </c>
      <c r="MZ21" s="32">
        <v>0</v>
      </c>
      <c r="NA21" s="38">
        <f t="shared" si="10"/>
        <v>0</v>
      </c>
      <c r="NB21" s="36">
        <f t="shared" si="33"/>
        <v>0</v>
      </c>
      <c r="NC21" s="26"/>
      <c r="ND21" s="32">
        <v>0</v>
      </c>
      <c r="NE21" s="32">
        <v>0</v>
      </c>
      <c r="NF21" s="32">
        <v>0</v>
      </c>
      <c r="NG21" s="32">
        <v>0</v>
      </c>
      <c r="NH21" s="32">
        <v>0</v>
      </c>
      <c r="NI21" s="32">
        <v>0</v>
      </c>
      <c r="NJ21" s="32">
        <v>0</v>
      </c>
      <c r="NK21" s="32">
        <v>0</v>
      </c>
      <c r="NL21" s="32">
        <v>0</v>
      </c>
      <c r="NM21" s="32">
        <v>0</v>
      </c>
      <c r="NN21" s="32">
        <v>0</v>
      </c>
      <c r="NO21" s="32">
        <v>0</v>
      </c>
      <c r="NP21" s="118">
        <f t="shared" si="11"/>
        <v>0</v>
      </c>
      <c r="NQ21" s="36">
        <f t="shared" si="34"/>
        <v>0</v>
      </c>
      <c r="NR21" s="36">
        <f t="shared" si="35"/>
        <v>0</v>
      </c>
      <c r="NS21" s="36">
        <f t="shared" si="36"/>
        <v>0</v>
      </c>
      <c r="NT21" s="36">
        <f t="shared" si="37"/>
        <v>0</v>
      </c>
      <c r="NU21" s="18"/>
      <c r="NV21" s="18"/>
      <c r="NW21" s="18"/>
      <c r="NX21" s="19"/>
      <c r="NY21" s="19"/>
      <c r="NZ21" s="19"/>
      <c r="OA21" s="19"/>
      <c r="OB21" s="19"/>
      <c r="OC21" s="19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8"/>
      <c r="OR21" s="18"/>
      <c r="OS21" s="18"/>
      <c r="OT21" s="18"/>
      <c r="OU21" s="18"/>
      <c r="OV21" s="18"/>
      <c r="OW21" s="18"/>
      <c r="OX21" s="19"/>
      <c r="OY21" s="19"/>
      <c r="OZ21" s="19"/>
      <c r="PA21" s="19"/>
      <c r="PB21" s="19"/>
      <c r="PC21" s="19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8"/>
      <c r="PR21" s="18"/>
      <c r="PS21" s="18"/>
      <c r="PT21" s="18"/>
      <c r="PU21" s="18"/>
      <c r="PV21" s="18"/>
      <c r="PW21" s="18"/>
      <c r="PX21" s="19"/>
      <c r="PY21" s="19"/>
      <c r="PZ21" s="19"/>
      <c r="QA21" s="19"/>
      <c r="QB21" s="19"/>
      <c r="QC21" s="19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</row>
    <row r="22" spans="1:458" s="1" customFormat="1" ht="50.1" customHeight="1" x14ac:dyDescent="0.25">
      <c r="A22" s="120">
        <v>2019</v>
      </c>
      <c r="B22" s="6" t="s">
        <v>17</v>
      </c>
      <c r="C22" s="23"/>
      <c r="D22" s="41">
        <v>4618</v>
      </c>
      <c r="E22" s="41">
        <v>4173</v>
      </c>
      <c r="F22" s="41">
        <v>1785</v>
      </c>
      <c r="G22" s="41">
        <v>3273</v>
      </c>
      <c r="H22" s="41">
        <v>2716</v>
      </c>
      <c r="I22" s="41">
        <v>3416</v>
      </c>
      <c r="J22" s="41">
        <v>3817</v>
      </c>
      <c r="K22" s="41">
        <v>3465</v>
      </c>
      <c r="L22" s="41">
        <v>3560</v>
      </c>
      <c r="M22" s="41">
        <v>4035</v>
      </c>
      <c r="N22" s="41">
        <v>3688</v>
      </c>
      <c r="O22" s="41">
        <v>3353</v>
      </c>
      <c r="P22" s="38">
        <f t="shared" si="12"/>
        <v>41899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38">
        <f t="shared" si="38"/>
        <v>0</v>
      </c>
      <c r="AD22" s="36">
        <f t="shared" si="13"/>
        <v>41899</v>
      </c>
      <c r="AE22" s="26"/>
      <c r="AF22" s="32">
        <v>138</v>
      </c>
      <c r="AG22" s="32">
        <v>139</v>
      </c>
      <c r="AH22" s="32">
        <v>130</v>
      </c>
      <c r="AI22" s="32">
        <v>127</v>
      </c>
      <c r="AJ22" s="32">
        <v>131</v>
      </c>
      <c r="AK22" s="32">
        <v>125</v>
      </c>
      <c r="AL22" s="32">
        <v>136</v>
      </c>
      <c r="AM22" s="32">
        <v>124</v>
      </c>
      <c r="AN22" s="32">
        <v>151</v>
      </c>
      <c r="AO22" s="32">
        <v>164</v>
      </c>
      <c r="AP22" s="32">
        <v>153</v>
      </c>
      <c r="AQ22" s="32">
        <v>130</v>
      </c>
      <c r="AR22" s="38">
        <f t="shared" si="14"/>
        <v>1648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8">
        <f t="shared" si="15"/>
        <v>0</v>
      </c>
      <c r="BF22" s="36">
        <f t="shared" si="16"/>
        <v>1648</v>
      </c>
      <c r="BG22" s="26"/>
      <c r="BH22" s="41">
        <v>41</v>
      </c>
      <c r="BI22" s="41">
        <v>36</v>
      </c>
      <c r="BJ22" s="41">
        <v>28</v>
      </c>
      <c r="BK22" s="41">
        <v>34</v>
      </c>
      <c r="BL22" s="41">
        <v>24</v>
      </c>
      <c r="BM22" s="41">
        <v>28</v>
      </c>
      <c r="BN22" s="41">
        <v>36</v>
      </c>
      <c r="BO22" s="41">
        <v>41</v>
      </c>
      <c r="BP22" s="41">
        <v>51</v>
      </c>
      <c r="BQ22" s="41">
        <v>29</v>
      </c>
      <c r="BR22" s="41">
        <v>37</v>
      </c>
      <c r="BS22" s="41">
        <v>46</v>
      </c>
      <c r="BT22" s="38">
        <f t="shared" si="17"/>
        <v>431</v>
      </c>
      <c r="BU22" s="54">
        <v>704</v>
      </c>
      <c r="BV22" s="54">
        <v>494</v>
      </c>
      <c r="BW22" s="54">
        <v>351</v>
      </c>
      <c r="BX22" s="54">
        <v>305</v>
      </c>
      <c r="BY22" s="54">
        <v>330</v>
      </c>
      <c r="BZ22" s="54">
        <v>470</v>
      </c>
      <c r="CA22" s="54">
        <v>667</v>
      </c>
      <c r="CB22" s="54">
        <v>630</v>
      </c>
      <c r="CC22" s="54">
        <v>724</v>
      </c>
      <c r="CD22" s="54">
        <v>957</v>
      </c>
      <c r="CE22" s="54">
        <v>605</v>
      </c>
      <c r="CF22" s="54">
        <v>626</v>
      </c>
      <c r="CG22" s="38">
        <f t="shared" si="18"/>
        <v>6863</v>
      </c>
      <c r="CH22" s="36">
        <f t="shared" si="19"/>
        <v>7294</v>
      </c>
      <c r="CI22" s="26"/>
      <c r="CJ22" s="32">
        <v>778</v>
      </c>
      <c r="CK22" s="32">
        <v>487</v>
      </c>
      <c r="CL22" s="32">
        <v>254</v>
      </c>
      <c r="CM22" s="32">
        <v>484</v>
      </c>
      <c r="CN22" s="32">
        <v>470</v>
      </c>
      <c r="CO22" s="32">
        <v>699</v>
      </c>
      <c r="CP22" s="32">
        <v>487</v>
      </c>
      <c r="CQ22" s="32">
        <v>640</v>
      </c>
      <c r="CR22" s="32">
        <v>884</v>
      </c>
      <c r="CS22" s="32">
        <v>972</v>
      </c>
      <c r="CT22" s="32">
        <v>911</v>
      </c>
      <c r="CU22" s="32">
        <v>436</v>
      </c>
      <c r="CV22" s="38">
        <f t="shared" si="20"/>
        <v>7502</v>
      </c>
      <c r="CW22" s="54">
        <v>1671</v>
      </c>
      <c r="CX22" s="54">
        <v>1104</v>
      </c>
      <c r="CY22" s="54">
        <v>1041</v>
      </c>
      <c r="CZ22" s="54">
        <v>849</v>
      </c>
      <c r="DA22" s="54">
        <v>744</v>
      </c>
      <c r="DB22" s="54">
        <v>1281</v>
      </c>
      <c r="DC22" s="54">
        <v>1673</v>
      </c>
      <c r="DD22" s="54">
        <v>1749</v>
      </c>
      <c r="DE22" s="54">
        <v>1832</v>
      </c>
      <c r="DF22" s="54">
        <v>1997</v>
      </c>
      <c r="DG22" s="54">
        <v>1547</v>
      </c>
      <c r="DH22" s="54">
        <v>1545</v>
      </c>
      <c r="DI22" s="38">
        <f t="shared" si="21"/>
        <v>17033</v>
      </c>
      <c r="DJ22" s="36">
        <f t="shared" si="22"/>
        <v>24535</v>
      </c>
      <c r="DK22" s="26"/>
      <c r="DL22" s="75">
        <v>713</v>
      </c>
      <c r="DM22" s="75">
        <v>467</v>
      </c>
      <c r="DN22" s="75">
        <v>594</v>
      </c>
      <c r="DO22" s="75">
        <v>400</v>
      </c>
      <c r="DP22" s="75">
        <v>363</v>
      </c>
      <c r="DQ22" s="75">
        <v>600</v>
      </c>
      <c r="DR22" s="75">
        <v>729</v>
      </c>
      <c r="DS22" s="75">
        <v>670</v>
      </c>
      <c r="DT22" s="75">
        <v>699</v>
      </c>
      <c r="DU22" s="75">
        <v>712</v>
      </c>
      <c r="DV22" s="75">
        <v>584</v>
      </c>
      <c r="DW22" s="75">
        <v>576</v>
      </c>
      <c r="DX22" s="38">
        <f t="shared" si="0"/>
        <v>7107</v>
      </c>
      <c r="DY22" s="64">
        <v>1533</v>
      </c>
      <c r="DZ22" s="64">
        <v>1138</v>
      </c>
      <c r="EA22" s="64">
        <v>1127</v>
      </c>
      <c r="EB22" s="51">
        <v>1015</v>
      </c>
      <c r="EC22" s="64">
        <v>955</v>
      </c>
      <c r="ED22" s="64">
        <v>1419</v>
      </c>
      <c r="EE22" s="64">
        <v>1703</v>
      </c>
      <c r="EF22" s="64">
        <v>919</v>
      </c>
      <c r="EG22" s="64">
        <v>1617</v>
      </c>
      <c r="EH22" s="64">
        <v>1942</v>
      </c>
      <c r="EI22" s="64">
        <v>1400</v>
      </c>
      <c r="EJ22" s="64">
        <v>1558</v>
      </c>
      <c r="EK22" s="38">
        <f t="shared" si="23"/>
        <v>16326</v>
      </c>
      <c r="EL22" s="36">
        <f t="shared" si="1"/>
        <v>23433</v>
      </c>
      <c r="EM22" s="26"/>
      <c r="EN22" s="32">
        <v>1568</v>
      </c>
      <c r="EO22" s="32">
        <v>1228</v>
      </c>
      <c r="EP22" s="32">
        <v>1710</v>
      </c>
      <c r="EQ22" s="32">
        <v>1250</v>
      </c>
      <c r="ER22" s="32">
        <v>1048</v>
      </c>
      <c r="ES22" s="32">
        <v>2164</v>
      </c>
      <c r="ET22" s="32">
        <v>2458</v>
      </c>
      <c r="EU22" s="32">
        <v>1974</v>
      </c>
      <c r="EV22" s="32">
        <v>2304</v>
      </c>
      <c r="EW22" s="32">
        <v>2888</v>
      </c>
      <c r="EX22" s="32">
        <v>2564</v>
      </c>
      <c r="EY22" s="32">
        <v>2006</v>
      </c>
      <c r="EZ22" s="38">
        <f t="shared" si="24"/>
        <v>23162</v>
      </c>
      <c r="FA22" s="26"/>
      <c r="FB22" s="104">
        <v>3786</v>
      </c>
      <c r="FC22" s="104">
        <v>2314</v>
      </c>
      <c r="FD22" s="104">
        <v>2162</v>
      </c>
      <c r="FE22" s="104">
        <v>1593</v>
      </c>
      <c r="FF22" s="104">
        <v>2474</v>
      </c>
      <c r="FG22" s="104">
        <v>3778</v>
      </c>
      <c r="FH22" s="104">
        <v>5116</v>
      </c>
      <c r="FI22" s="104">
        <v>5179</v>
      </c>
      <c r="FJ22" s="104">
        <v>4985</v>
      </c>
      <c r="FK22" s="104">
        <v>5496</v>
      </c>
      <c r="FL22" s="104">
        <v>4792</v>
      </c>
      <c r="FM22" s="104">
        <v>4278</v>
      </c>
      <c r="FN22" s="38">
        <f t="shared" si="25"/>
        <v>45953</v>
      </c>
      <c r="FO22" s="26"/>
      <c r="FP22" s="32">
        <v>707</v>
      </c>
      <c r="FQ22" s="32">
        <v>566</v>
      </c>
      <c r="FR22" s="32">
        <v>499</v>
      </c>
      <c r="FS22" s="32">
        <v>550</v>
      </c>
      <c r="FT22" s="32">
        <v>393</v>
      </c>
      <c r="FU22" s="32">
        <v>682</v>
      </c>
      <c r="FV22" s="32">
        <v>726</v>
      </c>
      <c r="FW22" s="32">
        <v>546</v>
      </c>
      <c r="FX22" s="32">
        <v>563</v>
      </c>
      <c r="FY22" s="32">
        <v>837</v>
      </c>
      <c r="FZ22" s="32">
        <v>1071</v>
      </c>
      <c r="GA22" s="32">
        <v>833</v>
      </c>
      <c r="GB22" s="38">
        <f t="shared" si="26"/>
        <v>7973</v>
      </c>
      <c r="GC22" s="26"/>
      <c r="GD22" s="101">
        <v>1710</v>
      </c>
      <c r="GE22" s="101">
        <v>1780</v>
      </c>
      <c r="GF22" s="101">
        <v>1601</v>
      </c>
      <c r="GG22" s="101">
        <v>1259</v>
      </c>
      <c r="GH22" s="101">
        <v>1552</v>
      </c>
      <c r="GI22" s="101">
        <v>1489</v>
      </c>
      <c r="GJ22" s="101">
        <v>1854</v>
      </c>
      <c r="GK22" s="101">
        <v>1928</v>
      </c>
      <c r="GL22" s="101">
        <v>1946</v>
      </c>
      <c r="GM22" s="101">
        <v>2077</v>
      </c>
      <c r="GN22" s="101">
        <v>2079</v>
      </c>
      <c r="GO22" s="101">
        <v>1965</v>
      </c>
      <c r="GP22" s="38">
        <f t="shared" si="27"/>
        <v>21240</v>
      </c>
      <c r="GQ22" s="26"/>
      <c r="GR22" s="32">
        <v>627</v>
      </c>
      <c r="GS22" s="32">
        <v>460</v>
      </c>
      <c r="GT22" s="32">
        <v>623</v>
      </c>
      <c r="GU22" s="32">
        <v>528</v>
      </c>
      <c r="GV22" s="32">
        <v>471</v>
      </c>
      <c r="GW22" s="32">
        <v>500</v>
      </c>
      <c r="GX22" s="32">
        <v>696</v>
      </c>
      <c r="GY22" s="32">
        <v>740</v>
      </c>
      <c r="GZ22" s="32">
        <v>590</v>
      </c>
      <c r="HA22" s="32">
        <v>951</v>
      </c>
      <c r="HB22" s="32">
        <v>857</v>
      </c>
      <c r="HC22" s="32">
        <v>946</v>
      </c>
      <c r="HD22" s="38">
        <f t="shared" si="28"/>
        <v>7989</v>
      </c>
      <c r="HE22" s="26"/>
      <c r="HF22" s="54">
        <v>3149</v>
      </c>
      <c r="HG22" s="54">
        <v>2951</v>
      </c>
      <c r="HH22" s="54">
        <v>1969</v>
      </c>
      <c r="HI22" s="54">
        <v>1691</v>
      </c>
      <c r="HJ22" s="54">
        <v>1644</v>
      </c>
      <c r="HK22" s="54">
        <v>2232</v>
      </c>
      <c r="HL22" s="54">
        <v>3535</v>
      </c>
      <c r="HM22" s="54">
        <v>3365</v>
      </c>
      <c r="HN22" s="54">
        <v>3898</v>
      </c>
      <c r="HO22" s="54">
        <v>3911</v>
      </c>
      <c r="HP22" s="54">
        <v>3154</v>
      </c>
      <c r="HQ22" s="54">
        <v>3014</v>
      </c>
      <c r="HR22" s="38">
        <f t="shared" si="29"/>
        <v>34513</v>
      </c>
      <c r="HS22" s="26"/>
      <c r="HT22" s="32">
        <v>301</v>
      </c>
      <c r="HU22" s="32">
        <v>297</v>
      </c>
      <c r="HV22" s="32">
        <v>278</v>
      </c>
      <c r="HW22" s="32">
        <v>293</v>
      </c>
      <c r="HX22" s="32">
        <v>327</v>
      </c>
      <c r="HY22" s="32">
        <v>256</v>
      </c>
      <c r="HZ22" s="32">
        <v>318</v>
      </c>
      <c r="IA22" s="32">
        <v>278</v>
      </c>
      <c r="IB22" s="32">
        <v>329</v>
      </c>
      <c r="IC22" s="32">
        <v>423</v>
      </c>
      <c r="ID22" s="32">
        <v>397</v>
      </c>
      <c r="IE22" s="69">
        <v>295</v>
      </c>
      <c r="IF22" s="38">
        <f t="shared" si="2"/>
        <v>3792</v>
      </c>
      <c r="IG22" s="104">
        <v>1170</v>
      </c>
      <c r="IH22" s="104">
        <v>863</v>
      </c>
      <c r="II22" s="104">
        <v>775</v>
      </c>
      <c r="IJ22" s="104">
        <v>822</v>
      </c>
      <c r="IK22" s="104">
        <v>811</v>
      </c>
      <c r="IL22" s="104">
        <v>1184</v>
      </c>
      <c r="IM22" s="104">
        <v>1366</v>
      </c>
      <c r="IN22" s="104">
        <v>1404</v>
      </c>
      <c r="IO22" s="104">
        <v>1253</v>
      </c>
      <c r="IP22" s="104">
        <v>1432</v>
      </c>
      <c r="IQ22" s="104">
        <v>1375</v>
      </c>
      <c r="IR22" s="107">
        <v>918</v>
      </c>
      <c r="IS22" s="38">
        <f t="shared" si="3"/>
        <v>13373</v>
      </c>
      <c r="IT22" s="36">
        <f t="shared" si="39"/>
        <v>17165</v>
      </c>
      <c r="IU22" s="26"/>
      <c r="IV22" s="32">
        <v>289</v>
      </c>
      <c r="IW22" s="32">
        <v>306</v>
      </c>
      <c r="IX22" s="32">
        <v>285</v>
      </c>
      <c r="IY22" s="32">
        <v>260</v>
      </c>
      <c r="IZ22" s="32">
        <v>243</v>
      </c>
      <c r="JA22" s="32">
        <v>289</v>
      </c>
      <c r="JB22" s="32">
        <v>309</v>
      </c>
      <c r="JC22" s="32">
        <v>262</v>
      </c>
      <c r="JD22" s="32">
        <v>294</v>
      </c>
      <c r="JE22" s="32">
        <v>263</v>
      </c>
      <c r="JF22" s="32">
        <v>298</v>
      </c>
      <c r="JG22" s="32">
        <v>320</v>
      </c>
      <c r="JH22" s="38">
        <f t="shared" si="4"/>
        <v>3418</v>
      </c>
      <c r="JI22" s="109">
        <v>3752</v>
      </c>
      <c r="JJ22" s="97">
        <v>3279.2000000000003</v>
      </c>
      <c r="JK22" s="97">
        <v>2279.2000000000003</v>
      </c>
      <c r="JL22" s="97">
        <v>1541.6000000000001</v>
      </c>
      <c r="JM22" s="97">
        <v>2892.8</v>
      </c>
      <c r="JN22" s="97">
        <v>3124</v>
      </c>
      <c r="JO22" s="97">
        <v>3549.6000000000004</v>
      </c>
      <c r="JP22" s="97">
        <v>3843.2000000000003</v>
      </c>
      <c r="JQ22" s="97">
        <v>3608.8</v>
      </c>
      <c r="JR22" s="97">
        <v>2940.8</v>
      </c>
      <c r="JS22" s="97">
        <v>3696.8</v>
      </c>
      <c r="JT22" s="97">
        <v>3577.6000000000004</v>
      </c>
      <c r="JU22" s="35">
        <f t="shared" si="5"/>
        <v>38085.599999999999</v>
      </c>
      <c r="JV22" s="40">
        <f t="shared" si="30"/>
        <v>41503.599999999999</v>
      </c>
      <c r="JW22" s="26"/>
      <c r="JX22" s="32">
        <v>274</v>
      </c>
      <c r="JY22" s="32">
        <v>205</v>
      </c>
      <c r="JZ22" s="32">
        <v>195</v>
      </c>
      <c r="KA22" s="32">
        <v>343</v>
      </c>
      <c r="KB22" s="32">
        <v>346</v>
      </c>
      <c r="KC22" s="32">
        <v>330</v>
      </c>
      <c r="KD22" s="32">
        <v>408</v>
      </c>
      <c r="KE22" s="32">
        <v>384</v>
      </c>
      <c r="KF22" s="32">
        <v>420</v>
      </c>
      <c r="KG22" s="32">
        <v>437</v>
      </c>
      <c r="KH22" s="32">
        <v>400</v>
      </c>
      <c r="KI22" s="32">
        <v>487</v>
      </c>
      <c r="KJ22" s="38">
        <f t="shared" si="6"/>
        <v>4229</v>
      </c>
      <c r="KK22" s="32">
        <v>959</v>
      </c>
      <c r="KL22" s="32">
        <v>998</v>
      </c>
      <c r="KM22" s="32">
        <v>1753</v>
      </c>
      <c r="KN22" s="32">
        <v>1448</v>
      </c>
      <c r="KO22" s="32">
        <v>1672</v>
      </c>
      <c r="KP22" s="32">
        <v>1200</v>
      </c>
      <c r="KQ22" s="32">
        <v>1216</v>
      </c>
      <c r="KR22" s="32">
        <v>1326</v>
      </c>
      <c r="KS22" s="32">
        <v>1658</v>
      </c>
      <c r="KT22" s="32">
        <v>1524</v>
      </c>
      <c r="KU22" s="32">
        <v>1421</v>
      </c>
      <c r="KV22" s="32">
        <v>933</v>
      </c>
      <c r="KW22" s="38">
        <f t="shared" si="7"/>
        <v>16108</v>
      </c>
      <c r="KX22" s="36">
        <f t="shared" si="31"/>
        <v>20337</v>
      </c>
      <c r="KY22" s="26"/>
      <c r="KZ22" s="32">
        <v>0</v>
      </c>
      <c r="LA22" s="32">
        <v>0</v>
      </c>
      <c r="LB22" s="32">
        <v>0</v>
      </c>
      <c r="LC22" s="32">
        <v>0</v>
      </c>
      <c r="LD22" s="32">
        <v>0</v>
      </c>
      <c r="LE22" s="32">
        <v>0</v>
      </c>
      <c r="LF22" s="32">
        <v>0</v>
      </c>
      <c r="LG22" s="32">
        <v>0</v>
      </c>
      <c r="LH22" s="32">
        <v>0</v>
      </c>
      <c r="LI22" s="32">
        <v>0</v>
      </c>
      <c r="LJ22" s="32">
        <v>0</v>
      </c>
      <c r="LK22" s="69">
        <v>0</v>
      </c>
      <c r="LL22" s="38">
        <f t="shared" si="32"/>
        <v>0</v>
      </c>
      <c r="LM22" s="26"/>
      <c r="LN22" s="71">
        <v>5625</v>
      </c>
      <c r="LO22" s="71">
        <v>5676</v>
      </c>
      <c r="LP22" s="71">
        <v>4478</v>
      </c>
      <c r="LQ22" s="71">
        <v>2764</v>
      </c>
      <c r="LR22" s="71">
        <v>2762</v>
      </c>
      <c r="LS22" s="71">
        <v>4968</v>
      </c>
      <c r="LT22" s="71">
        <v>4752</v>
      </c>
      <c r="LU22" s="45">
        <v>5820</v>
      </c>
      <c r="LV22" s="45">
        <v>4213</v>
      </c>
      <c r="LW22" s="45">
        <v>6777</v>
      </c>
      <c r="LX22" s="45">
        <v>5191</v>
      </c>
      <c r="LY22" s="45">
        <v>4723</v>
      </c>
      <c r="LZ22" s="38">
        <f t="shared" si="8"/>
        <v>57749</v>
      </c>
      <c r="MA22" s="26"/>
      <c r="MB22" s="45">
        <v>4788</v>
      </c>
      <c r="MC22" s="45">
        <v>3702</v>
      </c>
      <c r="MD22" s="45">
        <v>4714</v>
      </c>
      <c r="ME22" s="45">
        <v>4963</v>
      </c>
      <c r="MF22" s="45">
        <v>5579</v>
      </c>
      <c r="MG22" s="45">
        <v>5327</v>
      </c>
      <c r="MH22" s="45">
        <v>5677</v>
      </c>
      <c r="MI22" s="45">
        <v>5869</v>
      </c>
      <c r="MJ22" s="45">
        <v>5522</v>
      </c>
      <c r="MK22" s="45">
        <v>6353</v>
      </c>
      <c r="ML22" s="45">
        <v>4356</v>
      </c>
      <c r="MM22" s="45">
        <v>4794</v>
      </c>
      <c r="MN22" s="38">
        <f t="shared" si="9"/>
        <v>61644</v>
      </c>
      <c r="MO22" s="32">
        <v>6645</v>
      </c>
      <c r="MP22" s="32">
        <v>3982</v>
      </c>
      <c r="MQ22" s="32">
        <v>2615</v>
      </c>
      <c r="MR22" s="32">
        <v>2304</v>
      </c>
      <c r="MS22" s="32">
        <v>4083</v>
      </c>
      <c r="MT22" s="32">
        <v>5363</v>
      </c>
      <c r="MU22" s="32">
        <v>6952</v>
      </c>
      <c r="MV22" s="32">
        <v>5875</v>
      </c>
      <c r="MW22" s="32">
        <v>5890</v>
      </c>
      <c r="MX22" s="32">
        <v>6624</v>
      </c>
      <c r="MY22" s="32">
        <v>4291</v>
      </c>
      <c r="MZ22" s="32">
        <v>4278</v>
      </c>
      <c r="NA22" s="38">
        <f t="shared" si="10"/>
        <v>58902</v>
      </c>
      <c r="NB22" s="36">
        <f t="shared" si="33"/>
        <v>120546</v>
      </c>
      <c r="NC22" s="26"/>
      <c r="ND22" s="32">
        <v>879</v>
      </c>
      <c r="NE22" s="32">
        <v>850</v>
      </c>
      <c r="NF22" s="32">
        <v>775</v>
      </c>
      <c r="NG22" s="32">
        <v>677</v>
      </c>
      <c r="NH22" s="32">
        <v>481</v>
      </c>
      <c r="NI22" s="32">
        <v>831</v>
      </c>
      <c r="NJ22" s="32">
        <v>1134</v>
      </c>
      <c r="NK22" s="32">
        <v>775</v>
      </c>
      <c r="NL22" s="32">
        <v>822</v>
      </c>
      <c r="NM22" s="32">
        <v>1154</v>
      </c>
      <c r="NN22" s="32">
        <v>816</v>
      </c>
      <c r="NO22" s="32">
        <v>827</v>
      </c>
      <c r="NP22" s="118">
        <f t="shared" si="11"/>
        <v>10021</v>
      </c>
      <c r="NQ22" s="36">
        <f t="shared" si="34"/>
        <v>74597</v>
      </c>
      <c r="NR22" s="36">
        <f t="shared" si="35"/>
        <v>335376</v>
      </c>
      <c r="NS22" s="36">
        <f t="shared" si="36"/>
        <v>96987.6</v>
      </c>
      <c r="NT22" s="36">
        <f t="shared" si="37"/>
        <v>506960.6</v>
      </c>
      <c r="NU22" s="18"/>
      <c r="NV22" s="18"/>
      <c r="NW22" s="18"/>
      <c r="NX22" s="19"/>
      <c r="NY22" s="19"/>
      <c r="NZ22" s="19"/>
      <c r="OA22" s="19"/>
      <c r="OB22" s="19"/>
      <c r="OC22" s="19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8"/>
      <c r="OR22" s="18"/>
      <c r="OS22" s="18"/>
      <c r="OT22" s="18"/>
      <c r="OU22" s="18"/>
      <c r="OV22" s="18"/>
      <c r="OW22" s="18"/>
      <c r="OX22" s="19"/>
      <c r="OY22" s="19"/>
      <c r="OZ22" s="19"/>
      <c r="PA22" s="19"/>
      <c r="PB22" s="19"/>
      <c r="PC22" s="19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8"/>
      <c r="PR22" s="18"/>
      <c r="PS22" s="18"/>
      <c r="PT22" s="18"/>
      <c r="PU22" s="18"/>
      <c r="PV22" s="18"/>
      <c r="PW22" s="18"/>
      <c r="PX22" s="19"/>
      <c r="PY22" s="19"/>
      <c r="PZ22" s="19"/>
      <c r="QA22" s="19"/>
      <c r="QB22" s="19"/>
      <c r="QC22" s="19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</row>
    <row r="23" spans="1:458" s="1" customFormat="1" ht="50.1" customHeight="1" x14ac:dyDescent="0.25">
      <c r="A23" s="120"/>
      <c r="B23" s="6" t="s">
        <v>18</v>
      </c>
      <c r="C23" s="23"/>
      <c r="D23" s="41">
        <v>248</v>
      </c>
      <c r="E23" s="41">
        <v>328</v>
      </c>
      <c r="F23" s="41">
        <v>22</v>
      </c>
      <c r="G23" s="41">
        <v>411</v>
      </c>
      <c r="H23" s="41">
        <v>194</v>
      </c>
      <c r="I23" s="41">
        <v>444</v>
      </c>
      <c r="J23" s="41">
        <v>282</v>
      </c>
      <c r="K23" s="41">
        <v>274</v>
      </c>
      <c r="L23" s="41">
        <v>209</v>
      </c>
      <c r="M23" s="41">
        <v>335</v>
      </c>
      <c r="N23" s="41">
        <v>250</v>
      </c>
      <c r="O23" s="41">
        <v>155</v>
      </c>
      <c r="P23" s="38">
        <f t="shared" si="12"/>
        <v>3152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38">
        <f t="shared" si="38"/>
        <v>0</v>
      </c>
      <c r="AD23" s="36">
        <f t="shared" si="13"/>
        <v>3152</v>
      </c>
      <c r="AE23" s="26"/>
      <c r="AF23" s="32">
        <v>1</v>
      </c>
      <c r="AG23" s="32">
        <v>8</v>
      </c>
      <c r="AH23" s="32">
        <v>1</v>
      </c>
      <c r="AI23" s="32">
        <v>9</v>
      </c>
      <c r="AJ23" s="32">
        <v>10</v>
      </c>
      <c r="AK23" s="32">
        <v>12</v>
      </c>
      <c r="AL23" s="32">
        <v>2</v>
      </c>
      <c r="AM23" s="32">
        <v>6</v>
      </c>
      <c r="AN23" s="32">
        <v>0</v>
      </c>
      <c r="AO23" s="32">
        <v>1</v>
      </c>
      <c r="AP23" s="32">
        <v>3</v>
      </c>
      <c r="AQ23" s="32">
        <v>1</v>
      </c>
      <c r="AR23" s="38">
        <f t="shared" si="14"/>
        <v>54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8">
        <f t="shared" si="15"/>
        <v>0</v>
      </c>
      <c r="BF23" s="36">
        <f t="shared" si="16"/>
        <v>54</v>
      </c>
      <c r="BG23" s="26"/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  <c r="BQ23" s="41">
        <v>0</v>
      </c>
      <c r="BR23" s="41">
        <v>0</v>
      </c>
      <c r="BS23" s="41">
        <v>0</v>
      </c>
      <c r="BT23" s="38">
        <f t="shared" si="17"/>
        <v>0</v>
      </c>
      <c r="BU23" s="54">
        <v>251</v>
      </c>
      <c r="BV23" s="54">
        <v>266</v>
      </c>
      <c r="BW23" s="54">
        <v>217</v>
      </c>
      <c r="BX23" s="54">
        <v>176</v>
      </c>
      <c r="BY23" s="54">
        <v>126</v>
      </c>
      <c r="BZ23" s="54">
        <v>151</v>
      </c>
      <c r="CA23" s="54">
        <v>121</v>
      </c>
      <c r="CB23" s="54">
        <v>122</v>
      </c>
      <c r="CC23" s="54">
        <v>57</v>
      </c>
      <c r="CD23" s="54">
        <v>62</v>
      </c>
      <c r="CE23" s="54">
        <v>105</v>
      </c>
      <c r="CF23" s="54">
        <v>66</v>
      </c>
      <c r="CG23" s="38">
        <f t="shared" si="18"/>
        <v>1720</v>
      </c>
      <c r="CH23" s="36">
        <f t="shared" si="19"/>
        <v>1720</v>
      </c>
      <c r="CI23" s="26"/>
      <c r="CJ23" s="32">
        <v>50</v>
      </c>
      <c r="CK23" s="32">
        <v>68</v>
      </c>
      <c r="CL23" s="32">
        <v>122</v>
      </c>
      <c r="CM23" s="32">
        <v>127</v>
      </c>
      <c r="CN23" s="32">
        <v>74</v>
      </c>
      <c r="CO23" s="32">
        <v>69</v>
      </c>
      <c r="CP23" s="32">
        <v>68</v>
      </c>
      <c r="CQ23" s="32">
        <v>91</v>
      </c>
      <c r="CR23" s="32">
        <v>43</v>
      </c>
      <c r="CS23" s="32">
        <v>80</v>
      </c>
      <c r="CT23" s="32">
        <v>102</v>
      </c>
      <c r="CU23" s="32">
        <v>57</v>
      </c>
      <c r="CV23" s="38">
        <f t="shared" si="20"/>
        <v>951</v>
      </c>
      <c r="CW23" s="54">
        <v>225</v>
      </c>
      <c r="CX23" s="54">
        <v>245</v>
      </c>
      <c r="CY23" s="54">
        <v>216</v>
      </c>
      <c r="CZ23" s="54">
        <v>189</v>
      </c>
      <c r="DA23" s="54">
        <v>187</v>
      </c>
      <c r="DB23" s="54">
        <v>204</v>
      </c>
      <c r="DC23" s="54">
        <v>122</v>
      </c>
      <c r="DD23" s="54">
        <v>143</v>
      </c>
      <c r="DE23" s="54">
        <v>151</v>
      </c>
      <c r="DF23" s="54">
        <v>198</v>
      </c>
      <c r="DG23" s="54">
        <v>227</v>
      </c>
      <c r="DH23" s="54">
        <v>141</v>
      </c>
      <c r="DI23" s="38">
        <f t="shared" si="21"/>
        <v>2248</v>
      </c>
      <c r="DJ23" s="36">
        <f t="shared" si="22"/>
        <v>3199</v>
      </c>
      <c r="DK23" s="26"/>
      <c r="DL23" s="75">
        <v>102</v>
      </c>
      <c r="DM23" s="75">
        <v>68</v>
      </c>
      <c r="DN23" s="75">
        <v>71</v>
      </c>
      <c r="DO23" s="75">
        <v>70</v>
      </c>
      <c r="DP23" s="75">
        <v>83</v>
      </c>
      <c r="DQ23" s="75">
        <v>55</v>
      </c>
      <c r="DR23" s="75">
        <v>41</v>
      </c>
      <c r="DS23" s="75">
        <v>77</v>
      </c>
      <c r="DT23" s="75">
        <v>29</v>
      </c>
      <c r="DU23" s="75">
        <v>115</v>
      </c>
      <c r="DV23" s="75">
        <v>39</v>
      </c>
      <c r="DW23" s="75">
        <v>20</v>
      </c>
      <c r="DX23" s="38">
        <f t="shared" si="0"/>
        <v>770</v>
      </c>
      <c r="DY23" s="64">
        <v>141</v>
      </c>
      <c r="DZ23" s="64">
        <v>224</v>
      </c>
      <c r="EA23" s="64">
        <v>210</v>
      </c>
      <c r="EB23" s="51">
        <v>202</v>
      </c>
      <c r="EC23" s="64">
        <v>274</v>
      </c>
      <c r="ED23" s="64">
        <v>165</v>
      </c>
      <c r="EE23" s="64">
        <v>141</v>
      </c>
      <c r="EF23" s="64">
        <v>80</v>
      </c>
      <c r="EG23" s="64">
        <v>155</v>
      </c>
      <c r="EH23" s="64">
        <v>116</v>
      </c>
      <c r="EI23" s="64">
        <v>147</v>
      </c>
      <c r="EJ23" s="64">
        <v>81</v>
      </c>
      <c r="EK23" s="38">
        <f t="shared" si="23"/>
        <v>1936</v>
      </c>
      <c r="EL23" s="36">
        <f t="shared" si="1"/>
        <v>2706</v>
      </c>
      <c r="EM23" s="26"/>
      <c r="EN23" s="32">
        <v>580</v>
      </c>
      <c r="EO23" s="32">
        <v>414</v>
      </c>
      <c r="EP23" s="32">
        <v>456</v>
      </c>
      <c r="EQ23" s="32">
        <v>462</v>
      </c>
      <c r="ER23" s="32">
        <v>476</v>
      </c>
      <c r="ES23" s="32">
        <v>238</v>
      </c>
      <c r="ET23" s="32">
        <v>198</v>
      </c>
      <c r="EU23" s="32">
        <v>138</v>
      </c>
      <c r="EV23" s="32">
        <v>206</v>
      </c>
      <c r="EW23" s="32">
        <v>144</v>
      </c>
      <c r="EX23" s="32">
        <v>130</v>
      </c>
      <c r="EY23" s="32">
        <v>106</v>
      </c>
      <c r="EZ23" s="38">
        <f t="shared" si="24"/>
        <v>3548</v>
      </c>
      <c r="FA23" s="26"/>
      <c r="FB23" s="104">
        <v>1951</v>
      </c>
      <c r="FC23" s="104">
        <v>1834</v>
      </c>
      <c r="FD23" s="104">
        <v>1638</v>
      </c>
      <c r="FE23" s="104">
        <v>1296</v>
      </c>
      <c r="FF23" s="104">
        <v>1395</v>
      </c>
      <c r="FG23" s="104">
        <v>1242</v>
      </c>
      <c r="FH23" s="104">
        <v>1010</v>
      </c>
      <c r="FI23" s="104">
        <v>1691</v>
      </c>
      <c r="FJ23" s="104">
        <v>1632</v>
      </c>
      <c r="FK23" s="104">
        <v>1908</v>
      </c>
      <c r="FL23" s="104">
        <v>1549</v>
      </c>
      <c r="FM23" s="104">
        <v>1897</v>
      </c>
      <c r="FN23" s="38">
        <f t="shared" si="25"/>
        <v>19043</v>
      </c>
      <c r="FO23" s="26"/>
      <c r="FP23" s="32">
        <v>285</v>
      </c>
      <c r="FQ23" s="32">
        <v>305</v>
      </c>
      <c r="FR23" s="32">
        <v>230</v>
      </c>
      <c r="FS23" s="32">
        <v>209</v>
      </c>
      <c r="FT23" s="32">
        <v>235</v>
      </c>
      <c r="FU23" s="32">
        <v>204</v>
      </c>
      <c r="FV23" s="32">
        <v>176</v>
      </c>
      <c r="FW23" s="32">
        <v>152</v>
      </c>
      <c r="FX23" s="32">
        <v>183</v>
      </c>
      <c r="FY23" s="32">
        <v>113</v>
      </c>
      <c r="FZ23" s="32">
        <v>103</v>
      </c>
      <c r="GA23" s="32">
        <v>69</v>
      </c>
      <c r="GB23" s="38">
        <f t="shared" si="26"/>
        <v>2264</v>
      </c>
      <c r="GC23" s="26"/>
      <c r="GD23" s="101">
        <v>524</v>
      </c>
      <c r="GE23" s="101">
        <v>563</v>
      </c>
      <c r="GF23" s="101">
        <v>463</v>
      </c>
      <c r="GG23" s="101">
        <v>418</v>
      </c>
      <c r="GH23" s="101">
        <v>509</v>
      </c>
      <c r="GI23" s="101">
        <v>248</v>
      </c>
      <c r="GJ23" s="101">
        <v>299</v>
      </c>
      <c r="GK23" s="101">
        <v>259</v>
      </c>
      <c r="GL23" s="101">
        <v>275</v>
      </c>
      <c r="GM23" s="101">
        <v>304</v>
      </c>
      <c r="GN23" s="101">
        <v>189</v>
      </c>
      <c r="GO23" s="101">
        <v>220</v>
      </c>
      <c r="GP23" s="38">
        <f t="shared" si="27"/>
        <v>4271</v>
      </c>
      <c r="GQ23" s="26"/>
      <c r="GR23" s="32">
        <v>377</v>
      </c>
      <c r="GS23" s="32">
        <v>262</v>
      </c>
      <c r="GT23" s="32">
        <v>215</v>
      </c>
      <c r="GU23" s="32">
        <v>189</v>
      </c>
      <c r="GV23" s="32">
        <v>209</v>
      </c>
      <c r="GW23" s="32">
        <v>148</v>
      </c>
      <c r="GX23" s="32">
        <v>122</v>
      </c>
      <c r="GY23" s="32">
        <v>151</v>
      </c>
      <c r="GZ23" s="32">
        <v>123</v>
      </c>
      <c r="HA23" s="32">
        <v>122</v>
      </c>
      <c r="HB23" s="32">
        <v>126</v>
      </c>
      <c r="HC23" s="32">
        <v>73</v>
      </c>
      <c r="HD23" s="38">
        <f t="shared" si="28"/>
        <v>2117</v>
      </c>
      <c r="HE23" s="26"/>
      <c r="HF23" s="54">
        <v>640</v>
      </c>
      <c r="HG23" s="54">
        <v>715</v>
      </c>
      <c r="HH23" s="54">
        <v>693</v>
      </c>
      <c r="HI23" s="54">
        <v>746</v>
      </c>
      <c r="HJ23" s="54">
        <v>743</v>
      </c>
      <c r="HK23" s="54">
        <v>765</v>
      </c>
      <c r="HL23" s="54">
        <v>577</v>
      </c>
      <c r="HM23" s="54">
        <v>364</v>
      </c>
      <c r="HN23" s="54">
        <v>478</v>
      </c>
      <c r="HO23" s="54">
        <v>512</v>
      </c>
      <c r="HP23" s="54">
        <v>626</v>
      </c>
      <c r="HQ23" s="54">
        <v>527</v>
      </c>
      <c r="HR23" s="38">
        <f t="shared" si="29"/>
        <v>7386</v>
      </c>
      <c r="HS23" s="26"/>
      <c r="HT23" s="32">
        <v>2</v>
      </c>
      <c r="HU23" s="32">
        <v>0</v>
      </c>
      <c r="HV23" s="32">
        <v>4</v>
      </c>
      <c r="HW23" s="32">
        <v>5</v>
      </c>
      <c r="HX23" s="32">
        <v>11</v>
      </c>
      <c r="HY23" s="32">
        <v>4</v>
      </c>
      <c r="HZ23" s="32">
        <v>4</v>
      </c>
      <c r="IA23" s="32">
        <v>3</v>
      </c>
      <c r="IB23" s="32">
        <v>20</v>
      </c>
      <c r="IC23" s="32">
        <v>6</v>
      </c>
      <c r="ID23" s="32">
        <v>4</v>
      </c>
      <c r="IE23" s="69">
        <v>2</v>
      </c>
      <c r="IF23" s="38">
        <f t="shared" si="2"/>
        <v>65</v>
      </c>
      <c r="IG23" s="104">
        <v>219</v>
      </c>
      <c r="IH23" s="104">
        <v>376</v>
      </c>
      <c r="II23" s="104">
        <v>331</v>
      </c>
      <c r="IJ23" s="104">
        <v>281</v>
      </c>
      <c r="IK23" s="104">
        <v>299</v>
      </c>
      <c r="IL23" s="104">
        <v>194</v>
      </c>
      <c r="IM23" s="104">
        <v>167</v>
      </c>
      <c r="IN23" s="104">
        <v>160</v>
      </c>
      <c r="IO23" s="104">
        <v>145</v>
      </c>
      <c r="IP23" s="104">
        <v>143</v>
      </c>
      <c r="IQ23" s="104">
        <v>188</v>
      </c>
      <c r="IR23" s="107">
        <v>114</v>
      </c>
      <c r="IS23" s="38">
        <f t="shared" si="3"/>
        <v>2617</v>
      </c>
      <c r="IT23" s="36">
        <f t="shared" si="39"/>
        <v>2682</v>
      </c>
      <c r="IU23" s="26"/>
      <c r="IV23" s="32">
        <v>74</v>
      </c>
      <c r="IW23" s="32">
        <v>71</v>
      </c>
      <c r="IX23" s="32">
        <v>85</v>
      </c>
      <c r="IY23" s="32">
        <v>79</v>
      </c>
      <c r="IZ23" s="32">
        <v>88</v>
      </c>
      <c r="JA23" s="32">
        <v>85</v>
      </c>
      <c r="JB23" s="32">
        <v>68</v>
      </c>
      <c r="JC23" s="32">
        <v>75</v>
      </c>
      <c r="JD23" s="32">
        <v>82</v>
      </c>
      <c r="JE23" s="32">
        <v>74</v>
      </c>
      <c r="JF23" s="32">
        <v>89</v>
      </c>
      <c r="JG23" s="32">
        <v>76</v>
      </c>
      <c r="JH23" s="38">
        <f t="shared" si="4"/>
        <v>946</v>
      </c>
      <c r="JI23" s="109">
        <v>817.6</v>
      </c>
      <c r="JJ23" s="97">
        <v>1311.2</v>
      </c>
      <c r="JK23" s="97">
        <v>1136.8</v>
      </c>
      <c r="JL23" s="97">
        <v>776.80000000000007</v>
      </c>
      <c r="JM23" s="97">
        <v>839.2</v>
      </c>
      <c r="JN23" s="97">
        <v>760</v>
      </c>
      <c r="JO23" s="97">
        <v>574.4</v>
      </c>
      <c r="JP23" s="97">
        <v>425.6</v>
      </c>
      <c r="JQ23" s="97">
        <v>619.20000000000005</v>
      </c>
      <c r="JR23" s="97">
        <v>624.80000000000007</v>
      </c>
      <c r="JS23" s="97">
        <v>476.8</v>
      </c>
      <c r="JT23" s="97">
        <v>385.6</v>
      </c>
      <c r="JU23" s="35">
        <f t="shared" si="5"/>
        <v>8748</v>
      </c>
      <c r="JV23" s="40">
        <f t="shared" si="30"/>
        <v>9694</v>
      </c>
      <c r="JW23" s="26"/>
      <c r="JX23" s="32">
        <v>59</v>
      </c>
      <c r="JY23" s="32">
        <v>37</v>
      </c>
      <c r="JZ23" s="32">
        <v>31</v>
      </c>
      <c r="KA23" s="32">
        <v>50</v>
      </c>
      <c r="KB23" s="32">
        <v>61</v>
      </c>
      <c r="KC23" s="32">
        <v>47</v>
      </c>
      <c r="KD23" s="32">
        <v>39</v>
      </c>
      <c r="KE23" s="32">
        <v>30</v>
      </c>
      <c r="KF23" s="32">
        <v>36</v>
      </c>
      <c r="KG23" s="32">
        <v>40</v>
      </c>
      <c r="KH23" s="32">
        <v>40</v>
      </c>
      <c r="KI23" s="32">
        <v>33</v>
      </c>
      <c r="KJ23" s="38">
        <f t="shared" si="6"/>
        <v>503</v>
      </c>
      <c r="KK23" s="32">
        <v>306</v>
      </c>
      <c r="KL23" s="32">
        <v>218</v>
      </c>
      <c r="KM23" s="32">
        <v>190</v>
      </c>
      <c r="KN23" s="32">
        <v>214</v>
      </c>
      <c r="KO23" s="32">
        <v>277</v>
      </c>
      <c r="KP23" s="32">
        <v>113</v>
      </c>
      <c r="KQ23" s="32">
        <v>61</v>
      </c>
      <c r="KR23" s="32">
        <v>112</v>
      </c>
      <c r="KS23" s="32">
        <v>30</v>
      </c>
      <c r="KT23" s="32">
        <v>34</v>
      </c>
      <c r="KU23" s="32">
        <v>56</v>
      </c>
      <c r="KV23" s="32">
        <v>35</v>
      </c>
      <c r="KW23" s="38">
        <f t="shared" si="7"/>
        <v>1646</v>
      </c>
      <c r="KX23" s="36">
        <f t="shared" si="31"/>
        <v>2149</v>
      </c>
      <c r="KY23" s="26"/>
      <c r="KZ23" s="32">
        <v>0</v>
      </c>
      <c r="LA23" s="32">
        <v>0</v>
      </c>
      <c r="LB23" s="32">
        <v>0</v>
      </c>
      <c r="LC23" s="32">
        <v>0</v>
      </c>
      <c r="LD23" s="32">
        <v>0</v>
      </c>
      <c r="LE23" s="32">
        <v>0</v>
      </c>
      <c r="LF23" s="32">
        <v>0</v>
      </c>
      <c r="LG23" s="32">
        <v>0</v>
      </c>
      <c r="LH23" s="32">
        <v>0</v>
      </c>
      <c r="LI23" s="32">
        <v>0</v>
      </c>
      <c r="LJ23" s="32">
        <v>0</v>
      </c>
      <c r="LK23" s="69">
        <v>0</v>
      </c>
      <c r="LL23" s="38">
        <f t="shared" si="32"/>
        <v>0</v>
      </c>
      <c r="LM23" s="26"/>
      <c r="LN23" s="71">
        <v>663</v>
      </c>
      <c r="LO23" s="71">
        <v>600</v>
      </c>
      <c r="LP23" s="71">
        <v>909</v>
      </c>
      <c r="LQ23" s="71">
        <v>875</v>
      </c>
      <c r="LR23" s="71">
        <v>683</v>
      </c>
      <c r="LS23" s="71">
        <v>608</v>
      </c>
      <c r="LT23" s="71">
        <v>496</v>
      </c>
      <c r="LU23" s="45">
        <v>560</v>
      </c>
      <c r="LV23" s="45">
        <v>606</v>
      </c>
      <c r="LW23" s="45">
        <v>758</v>
      </c>
      <c r="LX23" s="45">
        <v>786</v>
      </c>
      <c r="LY23" s="45">
        <v>667</v>
      </c>
      <c r="LZ23" s="38">
        <f t="shared" si="8"/>
        <v>8211</v>
      </c>
      <c r="MA23" s="26"/>
      <c r="MB23" s="45">
        <v>794</v>
      </c>
      <c r="MC23" s="45">
        <v>509</v>
      </c>
      <c r="MD23" s="45">
        <v>838</v>
      </c>
      <c r="ME23" s="45">
        <v>557</v>
      </c>
      <c r="MF23" s="45">
        <v>649</v>
      </c>
      <c r="MG23" s="45">
        <v>484</v>
      </c>
      <c r="MH23" s="45">
        <v>420</v>
      </c>
      <c r="MI23" s="45">
        <v>507</v>
      </c>
      <c r="MJ23" s="45">
        <v>410</v>
      </c>
      <c r="MK23" s="45">
        <v>414</v>
      </c>
      <c r="ML23" s="45">
        <v>249</v>
      </c>
      <c r="MM23" s="45">
        <v>210</v>
      </c>
      <c r="MN23" s="38">
        <f t="shared" si="9"/>
        <v>6041</v>
      </c>
      <c r="MO23" s="32">
        <v>2359</v>
      </c>
      <c r="MP23" s="32">
        <v>2154</v>
      </c>
      <c r="MQ23" s="32">
        <v>2231</v>
      </c>
      <c r="MR23" s="32">
        <v>2094</v>
      </c>
      <c r="MS23" s="32">
        <v>2216</v>
      </c>
      <c r="MT23" s="32">
        <v>2394</v>
      </c>
      <c r="MU23" s="32">
        <v>2330</v>
      </c>
      <c r="MV23" s="32">
        <v>2543</v>
      </c>
      <c r="MW23" s="32">
        <v>2050</v>
      </c>
      <c r="MX23" s="32">
        <v>2883</v>
      </c>
      <c r="MY23" s="32">
        <v>2100</v>
      </c>
      <c r="MZ23" s="32">
        <v>2134</v>
      </c>
      <c r="NA23" s="38">
        <f t="shared" si="10"/>
        <v>27488</v>
      </c>
      <c r="NB23" s="36">
        <f t="shared" si="33"/>
        <v>33529</v>
      </c>
      <c r="NC23" s="26"/>
      <c r="ND23" s="32">
        <v>204</v>
      </c>
      <c r="NE23" s="32">
        <v>176</v>
      </c>
      <c r="NF23" s="32">
        <v>166</v>
      </c>
      <c r="NG23" s="32">
        <v>216</v>
      </c>
      <c r="NH23" s="32">
        <v>268</v>
      </c>
      <c r="NI23" s="32">
        <v>215</v>
      </c>
      <c r="NJ23" s="32">
        <v>169</v>
      </c>
      <c r="NK23" s="32">
        <v>153</v>
      </c>
      <c r="NL23" s="32">
        <v>196</v>
      </c>
      <c r="NM23" s="32">
        <v>216</v>
      </c>
      <c r="NN23" s="32">
        <v>185</v>
      </c>
      <c r="NO23" s="32">
        <v>140</v>
      </c>
      <c r="NP23" s="118">
        <f t="shared" si="11"/>
        <v>2304</v>
      </c>
      <c r="NQ23" s="36">
        <f t="shared" si="34"/>
        <v>7612</v>
      </c>
      <c r="NR23" s="36">
        <f t="shared" si="35"/>
        <v>64181</v>
      </c>
      <c r="NS23" s="36">
        <f t="shared" si="36"/>
        <v>36236</v>
      </c>
      <c r="NT23" s="36">
        <f t="shared" si="37"/>
        <v>108029</v>
      </c>
      <c r="NU23" s="18"/>
      <c r="NV23" s="18"/>
      <c r="NW23" s="18"/>
      <c r="NX23" s="19"/>
      <c r="NY23" s="19"/>
      <c r="NZ23" s="19"/>
      <c r="OA23" s="19"/>
      <c r="OB23" s="19"/>
      <c r="OC23" s="19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8"/>
      <c r="OR23" s="18"/>
      <c r="OS23" s="18"/>
      <c r="OT23" s="18"/>
      <c r="OU23" s="18"/>
      <c r="OV23" s="18"/>
      <c r="OW23" s="18"/>
      <c r="OX23" s="19"/>
      <c r="OY23" s="19"/>
      <c r="OZ23" s="19"/>
      <c r="PA23" s="19"/>
      <c r="PB23" s="19"/>
      <c r="PC23" s="19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8"/>
      <c r="PR23" s="18"/>
      <c r="PS23" s="18"/>
      <c r="PT23" s="18"/>
      <c r="PU23" s="18"/>
      <c r="PV23" s="18"/>
      <c r="PW23" s="18"/>
      <c r="PX23" s="19"/>
      <c r="PY23" s="19"/>
      <c r="PZ23" s="19"/>
      <c r="QA23" s="19"/>
      <c r="QB23" s="19"/>
      <c r="QC23" s="19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</row>
    <row r="24" spans="1:458" s="1" customFormat="1" ht="50.1" customHeight="1" x14ac:dyDescent="0.25">
      <c r="A24" s="120"/>
      <c r="B24" s="6" t="s">
        <v>19</v>
      </c>
      <c r="C24" s="23"/>
      <c r="D24" s="41">
        <v>32</v>
      </c>
      <c r="E24" s="41">
        <v>53</v>
      </c>
      <c r="F24" s="41">
        <v>16</v>
      </c>
      <c r="G24" s="41">
        <v>143</v>
      </c>
      <c r="H24" s="41">
        <v>32</v>
      </c>
      <c r="I24" s="41">
        <v>43</v>
      </c>
      <c r="J24" s="41">
        <v>65</v>
      </c>
      <c r="K24" s="41">
        <v>48</v>
      </c>
      <c r="L24" s="41">
        <v>15</v>
      </c>
      <c r="M24" s="41">
        <v>25</v>
      </c>
      <c r="N24" s="41">
        <v>48</v>
      </c>
      <c r="O24" s="41">
        <v>23</v>
      </c>
      <c r="P24" s="38">
        <f t="shared" si="12"/>
        <v>543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38">
        <f t="shared" si="38"/>
        <v>0</v>
      </c>
      <c r="AD24" s="36">
        <f t="shared" si="13"/>
        <v>543</v>
      </c>
      <c r="AE24" s="26"/>
      <c r="AF24" s="32">
        <v>0</v>
      </c>
      <c r="AG24" s="32">
        <v>1</v>
      </c>
      <c r="AH24" s="32">
        <v>0</v>
      </c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8">
        <f t="shared" si="14"/>
        <v>1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8">
        <f>SUM(AS24:BD24)</f>
        <v>0</v>
      </c>
      <c r="BF24" s="36">
        <f t="shared" si="16"/>
        <v>1</v>
      </c>
      <c r="BG24" s="26"/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  <c r="BQ24" s="41">
        <v>0</v>
      </c>
      <c r="BR24" s="41">
        <v>0</v>
      </c>
      <c r="BS24" s="41">
        <v>0</v>
      </c>
      <c r="BT24" s="38">
        <f t="shared" si="17"/>
        <v>0</v>
      </c>
      <c r="BU24" s="54">
        <v>73</v>
      </c>
      <c r="BV24" s="54">
        <v>104</v>
      </c>
      <c r="BW24" s="54">
        <v>175</v>
      </c>
      <c r="BX24" s="54">
        <v>196</v>
      </c>
      <c r="BY24" s="54">
        <v>210</v>
      </c>
      <c r="BZ24" s="54">
        <v>58</v>
      </c>
      <c r="CA24" s="54">
        <v>17</v>
      </c>
      <c r="CB24" s="54">
        <v>23</v>
      </c>
      <c r="CC24" s="54">
        <v>8</v>
      </c>
      <c r="CD24" s="54">
        <v>13</v>
      </c>
      <c r="CE24" s="54">
        <v>62</v>
      </c>
      <c r="CF24" s="54">
        <v>19</v>
      </c>
      <c r="CG24" s="38">
        <f t="shared" si="18"/>
        <v>958</v>
      </c>
      <c r="CH24" s="36">
        <f t="shared" si="19"/>
        <v>958</v>
      </c>
      <c r="CI24" s="26"/>
      <c r="CJ24" s="32">
        <v>4</v>
      </c>
      <c r="CK24" s="32">
        <v>7</v>
      </c>
      <c r="CL24" s="32">
        <v>0</v>
      </c>
      <c r="CM24" s="32">
        <v>14</v>
      </c>
      <c r="CN24" s="32">
        <v>4</v>
      </c>
      <c r="CO24" s="32">
        <v>6</v>
      </c>
      <c r="CP24" s="32">
        <v>7</v>
      </c>
      <c r="CQ24" s="32">
        <v>4</v>
      </c>
      <c r="CR24" s="32">
        <v>1</v>
      </c>
      <c r="CS24" s="32">
        <v>12</v>
      </c>
      <c r="CT24" s="32">
        <v>10</v>
      </c>
      <c r="CU24" s="32">
        <v>6</v>
      </c>
      <c r="CV24" s="38">
        <f t="shared" si="20"/>
        <v>75</v>
      </c>
      <c r="CW24" s="54">
        <v>61</v>
      </c>
      <c r="CX24" s="54">
        <v>169</v>
      </c>
      <c r="CY24" s="54">
        <v>240</v>
      </c>
      <c r="CZ24" s="54">
        <v>293</v>
      </c>
      <c r="DA24" s="54">
        <v>405</v>
      </c>
      <c r="DB24" s="54">
        <v>104</v>
      </c>
      <c r="DC24" s="54">
        <v>47</v>
      </c>
      <c r="DD24" s="54">
        <v>67</v>
      </c>
      <c r="DE24" s="54">
        <v>61</v>
      </c>
      <c r="DF24" s="54">
        <v>83</v>
      </c>
      <c r="DG24" s="54">
        <v>85</v>
      </c>
      <c r="DH24" s="54">
        <v>52</v>
      </c>
      <c r="DI24" s="38">
        <f t="shared" si="21"/>
        <v>1667</v>
      </c>
      <c r="DJ24" s="36">
        <f t="shared" si="22"/>
        <v>1742</v>
      </c>
      <c r="DK24" s="26"/>
      <c r="DL24" s="75">
        <v>0</v>
      </c>
      <c r="DM24" s="75">
        <v>0</v>
      </c>
      <c r="DN24" s="75">
        <v>0</v>
      </c>
      <c r="DO24" s="75">
        <v>0</v>
      </c>
      <c r="DP24" s="75">
        <v>0</v>
      </c>
      <c r="DQ24" s="75">
        <v>0</v>
      </c>
      <c r="DR24" s="75">
        <v>0</v>
      </c>
      <c r="DS24" s="75">
        <v>0</v>
      </c>
      <c r="DT24" s="75">
        <v>0</v>
      </c>
      <c r="DU24" s="75">
        <v>0</v>
      </c>
      <c r="DV24" s="75">
        <v>20</v>
      </c>
      <c r="DW24" s="75">
        <v>6</v>
      </c>
      <c r="DX24" s="38">
        <f t="shared" si="0"/>
        <v>26</v>
      </c>
      <c r="DY24" s="64">
        <v>4</v>
      </c>
      <c r="DZ24" s="64">
        <v>19</v>
      </c>
      <c r="EA24" s="64">
        <v>10</v>
      </c>
      <c r="EB24" s="51">
        <v>108</v>
      </c>
      <c r="EC24" s="64">
        <v>158</v>
      </c>
      <c r="ED24" s="64">
        <v>48</v>
      </c>
      <c r="EE24" s="64">
        <v>41</v>
      </c>
      <c r="EF24" s="64">
        <v>16</v>
      </c>
      <c r="EG24" s="64">
        <v>39</v>
      </c>
      <c r="EH24" s="64">
        <v>52</v>
      </c>
      <c r="EI24" s="64">
        <v>20</v>
      </c>
      <c r="EJ24" s="64">
        <v>20</v>
      </c>
      <c r="EK24" s="38">
        <f t="shared" si="23"/>
        <v>535</v>
      </c>
      <c r="EL24" s="36">
        <f t="shared" si="1"/>
        <v>561</v>
      </c>
      <c r="EM24" s="26"/>
      <c r="EN24" s="32">
        <v>212</v>
      </c>
      <c r="EO24" s="32">
        <v>228</v>
      </c>
      <c r="EP24" s="32">
        <v>186</v>
      </c>
      <c r="EQ24" s="32">
        <v>214</v>
      </c>
      <c r="ER24" s="32">
        <v>298</v>
      </c>
      <c r="ES24" s="32">
        <v>102</v>
      </c>
      <c r="ET24" s="32">
        <v>22</v>
      </c>
      <c r="EU24" s="32">
        <v>50</v>
      </c>
      <c r="EV24" s="32">
        <v>76</v>
      </c>
      <c r="EW24" s="32">
        <v>70</v>
      </c>
      <c r="EX24" s="32">
        <v>58</v>
      </c>
      <c r="EY24" s="32">
        <v>20</v>
      </c>
      <c r="EZ24" s="38">
        <f t="shared" si="24"/>
        <v>1536</v>
      </c>
      <c r="FA24" s="26"/>
      <c r="FB24" s="104">
        <v>619</v>
      </c>
      <c r="FC24" s="104">
        <v>1064</v>
      </c>
      <c r="FD24" s="104">
        <v>1202</v>
      </c>
      <c r="FE24" s="104">
        <v>920</v>
      </c>
      <c r="FF24" s="104">
        <v>764</v>
      </c>
      <c r="FG24" s="104">
        <v>94</v>
      </c>
      <c r="FH24" s="104">
        <v>65</v>
      </c>
      <c r="FI24" s="104">
        <v>231</v>
      </c>
      <c r="FJ24" s="104">
        <v>324</v>
      </c>
      <c r="FK24" s="104">
        <v>204</v>
      </c>
      <c r="FL24" s="104">
        <v>171</v>
      </c>
      <c r="FM24" s="104">
        <v>235</v>
      </c>
      <c r="FN24" s="38">
        <f t="shared" si="25"/>
        <v>5893</v>
      </c>
      <c r="FO24" s="26"/>
      <c r="FP24" s="32">
        <v>102</v>
      </c>
      <c r="FQ24" s="32">
        <v>115</v>
      </c>
      <c r="FR24" s="32">
        <v>60</v>
      </c>
      <c r="FS24" s="32">
        <v>35</v>
      </c>
      <c r="FT24" s="32">
        <v>40</v>
      </c>
      <c r="FU24" s="32">
        <v>49</v>
      </c>
      <c r="FV24" s="32">
        <v>20</v>
      </c>
      <c r="FW24" s="32">
        <v>24</v>
      </c>
      <c r="FX24" s="32">
        <v>75</v>
      </c>
      <c r="FY24" s="32">
        <v>12</v>
      </c>
      <c r="FZ24" s="32">
        <v>20</v>
      </c>
      <c r="GA24" s="32">
        <v>4</v>
      </c>
      <c r="GB24" s="38">
        <f t="shared" si="26"/>
        <v>556</v>
      </c>
      <c r="GC24" s="26"/>
      <c r="GD24" s="101">
        <v>122</v>
      </c>
      <c r="GE24" s="101">
        <v>132</v>
      </c>
      <c r="GF24" s="101">
        <v>238</v>
      </c>
      <c r="GG24" s="101">
        <v>227</v>
      </c>
      <c r="GH24" s="101">
        <v>329</v>
      </c>
      <c r="GI24" s="101">
        <v>85</v>
      </c>
      <c r="GJ24" s="101">
        <v>98</v>
      </c>
      <c r="GK24" s="101">
        <v>141</v>
      </c>
      <c r="GL24" s="101">
        <v>121</v>
      </c>
      <c r="GM24" s="101">
        <v>123</v>
      </c>
      <c r="GN24" s="101">
        <v>97</v>
      </c>
      <c r="GO24" s="101">
        <v>107</v>
      </c>
      <c r="GP24" s="38">
        <f t="shared" si="27"/>
        <v>1820</v>
      </c>
      <c r="GQ24" s="26"/>
      <c r="GR24" s="32">
        <v>0</v>
      </c>
      <c r="GS24" s="32">
        <v>0</v>
      </c>
      <c r="GT24" s="32">
        <v>0</v>
      </c>
      <c r="GU24" s="32">
        <v>108</v>
      </c>
      <c r="GV24" s="32">
        <v>80</v>
      </c>
      <c r="GW24" s="32">
        <v>23</v>
      </c>
      <c r="GX24" s="32">
        <v>15</v>
      </c>
      <c r="GY24" s="32">
        <v>0</v>
      </c>
      <c r="GZ24" s="32">
        <v>5</v>
      </c>
      <c r="HA24" s="32">
        <v>3</v>
      </c>
      <c r="HB24" s="32">
        <v>0</v>
      </c>
      <c r="HC24" s="32">
        <v>10</v>
      </c>
      <c r="HD24" s="38">
        <f t="shared" si="28"/>
        <v>244</v>
      </c>
      <c r="HE24" s="26"/>
      <c r="HF24" s="54">
        <v>72</v>
      </c>
      <c r="HG24" s="54">
        <v>97</v>
      </c>
      <c r="HH24" s="54">
        <v>141</v>
      </c>
      <c r="HI24" s="54">
        <v>99</v>
      </c>
      <c r="HJ24" s="54">
        <v>64</v>
      </c>
      <c r="HK24" s="54">
        <v>88</v>
      </c>
      <c r="HL24" s="54">
        <v>67</v>
      </c>
      <c r="HM24" s="54">
        <v>45</v>
      </c>
      <c r="HN24" s="54">
        <v>51</v>
      </c>
      <c r="HO24" s="54">
        <v>48</v>
      </c>
      <c r="HP24" s="54">
        <v>53</v>
      </c>
      <c r="HQ24" s="54">
        <v>53</v>
      </c>
      <c r="HR24" s="38">
        <f t="shared" si="29"/>
        <v>878</v>
      </c>
      <c r="HS24" s="26"/>
      <c r="HT24" s="32">
        <v>0</v>
      </c>
      <c r="HU24" s="32">
        <v>3</v>
      </c>
      <c r="HV24" s="32">
        <v>3</v>
      </c>
      <c r="HW24" s="32">
        <v>6</v>
      </c>
      <c r="HX24" s="32">
        <v>2</v>
      </c>
      <c r="HY24" s="32">
        <v>2</v>
      </c>
      <c r="HZ24" s="32">
        <v>5</v>
      </c>
      <c r="IA24" s="32">
        <v>2</v>
      </c>
      <c r="IB24" s="32">
        <v>9</v>
      </c>
      <c r="IC24" s="32">
        <v>2</v>
      </c>
      <c r="ID24" s="32">
        <v>1</v>
      </c>
      <c r="IE24" s="69">
        <v>0</v>
      </c>
      <c r="IF24" s="38">
        <f t="shared" si="2"/>
        <v>35</v>
      </c>
      <c r="IG24" s="104">
        <v>57</v>
      </c>
      <c r="IH24" s="104">
        <v>139</v>
      </c>
      <c r="II24" s="104">
        <v>89</v>
      </c>
      <c r="IJ24" s="104">
        <v>124</v>
      </c>
      <c r="IK24" s="104">
        <v>58</v>
      </c>
      <c r="IL24" s="104">
        <v>16</v>
      </c>
      <c r="IM24" s="104">
        <v>17</v>
      </c>
      <c r="IN24" s="104">
        <v>29</v>
      </c>
      <c r="IO24" s="104">
        <v>9</v>
      </c>
      <c r="IP24" s="104">
        <v>17</v>
      </c>
      <c r="IQ24" s="104">
        <v>30</v>
      </c>
      <c r="IR24" s="107">
        <v>20</v>
      </c>
      <c r="IS24" s="38">
        <f t="shared" si="3"/>
        <v>605</v>
      </c>
      <c r="IT24" s="36">
        <f t="shared" si="39"/>
        <v>640</v>
      </c>
      <c r="IU24" s="26"/>
      <c r="IV24" s="32">
        <v>32</v>
      </c>
      <c r="IW24" s="32">
        <v>29</v>
      </c>
      <c r="IX24" s="32">
        <v>35</v>
      </c>
      <c r="IY24" s="32">
        <v>42</v>
      </c>
      <c r="IZ24" s="32">
        <v>46</v>
      </c>
      <c r="JA24" s="32">
        <v>38</v>
      </c>
      <c r="JB24" s="32">
        <v>30</v>
      </c>
      <c r="JC24" s="32">
        <v>26</v>
      </c>
      <c r="JD24" s="32">
        <v>46</v>
      </c>
      <c r="JE24" s="32">
        <v>40</v>
      </c>
      <c r="JF24" s="32">
        <v>36</v>
      </c>
      <c r="JG24" s="32">
        <v>39</v>
      </c>
      <c r="JH24" s="38">
        <f t="shared" si="4"/>
        <v>439</v>
      </c>
      <c r="JI24" s="109">
        <v>188.8</v>
      </c>
      <c r="JJ24" s="97">
        <v>724</v>
      </c>
      <c r="JK24" s="97">
        <v>690.40000000000009</v>
      </c>
      <c r="JL24" s="97">
        <v>886.40000000000009</v>
      </c>
      <c r="JM24" s="97">
        <v>431.20000000000005</v>
      </c>
      <c r="JN24" s="97">
        <v>271.2</v>
      </c>
      <c r="JO24" s="97">
        <v>174.4</v>
      </c>
      <c r="JP24" s="97">
        <v>128.80000000000001</v>
      </c>
      <c r="JQ24" s="97">
        <v>254.4</v>
      </c>
      <c r="JR24" s="97">
        <v>313.60000000000002</v>
      </c>
      <c r="JS24" s="97">
        <v>206.4</v>
      </c>
      <c r="JT24" s="97">
        <v>98.4</v>
      </c>
      <c r="JU24" s="35">
        <f t="shared" si="5"/>
        <v>4368</v>
      </c>
      <c r="JV24" s="40">
        <f t="shared" si="30"/>
        <v>4807</v>
      </c>
      <c r="JW24" s="26"/>
      <c r="JX24" s="32">
        <v>114</v>
      </c>
      <c r="JY24" s="32">
        <v>143</v>
      </c>
      <c r="JZ24" s="32">
        <v>179</v>
      </c>
      <c r="KA24" s="32">
        <v>88</v>
      </c>
      <c r="KB24" s="32">
        <v>56</v>
      </c>
      <c r="KC24" s="32">
        <v>78</v>
      </c>
      <c r="KD24" s="32">
        <v>5</v>
      </c>
      <c r="KE24" s="32">
        <v>51</v>
      </c>
      <c r="KF24" s="32">
        <v>14</v>
      </c>
      <c r="KG24" s="32">
        <v>84</v>
      </c>
      <c r="KH24" s="32">
        <v>31</v>
      </c>
      <c r="KI24" s="32">
        <v>64</v>
      </c>
      <c r="KJ24" s="38">
        <f t="shared" si="6"/>
        <v>907</v>
      </c>
      <c r="KK24" s="32">
        <v>20</v>
      </c>
      <c r="KL24" s="32">
        <v>9</v>
      </c>
      <c r="KM24" s="32">
        <v>52</v>
      </c>
      <c r="KN24" s="32">
        <v>61</v>
      </c>
      <c r="KO24" s="32">
        <v>63</v>
      </c>
      <c r="KP24" s="32">
        <v>19</v>
      </c>
      <c r="KQ24" s="32">
        <v>30</v>
      </c>
      <c r="KR24" s="32">
        <v>51</v>
      </c>
      <c r="KS24" s="32">
        <v>7</v>
      </c>
      <c r="KT24" s="32">
        <v>0</v>
      </c>
      <c r="KU24" s="32">
        <v>3</v>
      </c>
      <c r="KV24" s="32">
        <v>3</v>
      </c>
      <c r="KW24" s="38">
        <f t="shared" si="7"/>
        <v>318</v>
      </c>
      <c r="KX24" s="36">
        <f t="shared" si="31"/>
        <v>1225</v>
      </c>
      <c r="KY24" s="26"/>
      <c r="KZ24" s="32">
        <v>0</v>
      </c>
      <c r="LA24" s="32">
        <v>0</v>
      </c>
      <c r="LB24" s="32">
        <v>0</v>
      </c>
      <c r="LC24" s="32">
        <v>0</v>
      </c>
      <c r="LD24" s="32">
        <v>0</v>
      </c>
      <c r="LE24" s="32">
        <v>0</v>
      </c>
      <c r="LF24" s="32">
        <v>0</v>
      </c>
      <c r="LG24" s="32">
        <v>0</v>
      </c>
      <c r="LH24" s="32">
        <v>0</v>
      </c>
      <c r="LI24" s="32">
        <v>0</v>
      </c>
      <c r="LJ24" s="32">
        <v>0</v>
      </c>
      <c r="LK24" s="69">
        <v>0</v>
      </c>
      <c r="LL24" s="38">
        <f t="shared" si="32"/>
        <v>0</v>
      </c>
      <c r="LM24" s="26"/>
      <c r="LN24" s="71">
        <v>9</v>
      </c>
      <c r="LO24" s="71">
        <v>49</v>
      </c>
      <c r="LP24" s="71">
        <v>61</v>
      </c>
      <c r="LQ24" s="71">
        <v>40</v>
      </c>
      <c r="LR24" s="71">
        <v>28</v>
      </c>
      <c r="LS24" s="71">
        <v>22</v>
      </c>
      <c r="LT24" s="71">
        <v>18</v>
      </c>
      <c r="LU24" s="45">
        <v>26</v>
      </c>
      <c r="LV24" s="45">
        <v>33</v>
      </c>
      <c r="LW24" s="45">
        <v>77</v>
      </c>
      <c r="LX24" s="45">
        <v>58</v>
      </c>
      <c r="LY24" s="45">
        <v>43</v>
      </c>
      <c r="LZ24" s="38">
        <f t="shared" si="8"/>
        <v>464</v>
      </c>
      <c r="MA24" s="26"/>
      <c r="MB24" s="45">
        <v>148</v>
      </c>
      <c r="MC24" s="45">
        <v>74</v>
      </c>
      <c r="MD24" s="45">
        <v>180</v>
      </c>
      <c r="ME24" s="45">
        <v>217</v>
      </c>
      <c r="MF24" s="45">
        <v>239</v>
      </c>
      <c r="MG24" s="45">
        <v>259</v>
      </c>
      <c r="MH24" s="45">
        <v>156</v>
      </c>
      <c r="MI24" s="45">
        <v>108</v>
      </c>
      <c r="MJ24" s="45">
        <v>64</v>
      </c>
      <c r="MK24" s="45">
        <v>86</v>
      </c>
      <c r="ML24" s="45">
        <v>21</v>
      </c>
      <c r="MM24" s="45">
        <v>31</v>
      </c>
      <c r="MN24" s="38">
        <f t="shared" si="9"/>
        <v>1583</v>
      </c>
      <c r="MO24" s="32">
        <v>419</v>
      </c>
      <c r="MP24" s="32">
        <v>424</v>
      </c>
      <c r="MQ24" s="32">
        <v>630</v>
      </c>
      <c r="MR24" s="32">
        <v>960</v>
      </c>
      <c r="MS24" s="32">
        <v>608</v>
      </c>
      <c r="MT24" s="32">
        <v>82</v>
      </c>
      <c r="MU24" s="32">
        <v>543</v>
      </c>
      <c r="MV24" s="32">
        <v>609</v>
      </c>
      <c r="MW24" s="32">
        <v>605</v>
      </c>
      <c r="MX24" s="32">
        <v>660</v>
      </c>
      <c r="MY24" s="32">
        <v>644</v>
      </c>
      <c r="MZ24" s="32">
        <v>492</v>
      </c>
      <c r="NA24" s="38">
        <f t="shared" si="10"/>
        <v>6676</v>
      </c>
      <c r="NB24" s="36">
        <f t="shared" si="33"/>
        <v>8259</v>
      </c>
      <c r="NC24" s="26"/>
      <c r="ND24" s="32">
        <v>48</v>
      </c>
      <c r="NE24" s="32">
        <v>41</v>
      </c>
      <c r="NF24" s="32">
        <v>40</v>
      </c>
      <c r="NG24" s="32">
        <v>114</v>
      </c>
      <c r="NH24" s="32">
        <v>199</v>
      </c>
      <c r="NI24" s="32">
        <v>137</v>
      </c>
      <c r="NJ24" s="32">
        <v>70</v>
      </c>
      <c r="NK24" s="32">
        <v>77</v>
      </c>
      <c r="NL24" s="32">
        <v>153</v>
      </c>
      <c r="NM24" s="32">
        <v>169</v>
      </c>
      <c r="NN24" s="32">
        <v>131</v>
      </c>
      <c r="NO24" s="32">
        <v>134</v>
      </c>
      <c r="NP24" s="118">
        <f t="shared" si="11"/>
        <v>1313</v>
      </c>
      <c r="NQ24" s="36">
        <f t="shared" si="34"/>
        <v>1831</v>
      </c>
      <c r="NR24" s="36">
        <f t="shared" si="35"/>
        <v>18565</v>
      </c>
      <c r="NS24" s="36">
        <f t="shared" si="36"/>
        <v>11044</v>
      </c>
      <c r="NT24" s="36">
        <f t="shared" si="37"/>
        <v>31440</v>
      </c>
      <c r="NU24" s="18"/>
      <c r="NV24" s="18"/>
      <c r="NW24" s="18"/>
      <c r="NX24" s="19"/>
      <c r="NY24" s="19"/>
      <c r="NZ24" s="19"/>
      <c r="OA24" s="19"/>
      <c r="OB24" s="19"/>
      <c r="OC24" s="19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8"/>
      <c r="OR24" s="18"/>
      <c r="OS24" s="18"/>
      <c r="OT24" s="18"/>
      <c r="OU24" s="18"/>
      <c r="OV24" s="18"/>
      <c r="OW24" s="18"/>
      <c r="OX24" s="19"/>
      <c r="OY24" s="19"/>
      <c r="OZ24" s="19"/>
      <c r="PA24" s="19"/>
      <c r="PB24" s="19"/>
      <c r="PC24" s="19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8"/>
      <c r="PR24" s="18"/>
      <c r="PS24" s="18"/>
      <c r="PT24" s="18"/>
      <c r="PU24" s="18"/>
      <c r="PV24" s="18"/>
      <c r="PW24" s="18"/>
      <c r="PX24" s="19"/>
      <c r="PY24" s="19"/>
      <c r="PZ24" s="19"/>
      <c r="QA24" s="19"/>
      <c r="QB24" s="19"/>
      <c r="QC24" s="19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</row>
    <row r="25" spans="1:458" s="1" customFormat="1" ht="50.1" customHeight="1" x14ac:dyDescent="0.25">
      <c r="A25" s="120"/>
      <c r="B25" s="6" t="s">
        <v>20</v>
      </c>
      <c r="C25" s="23"/>
      <c r="D25" s="41">
        <f>SUM(D22:D24)</f>
        <v>4898</v>
      </c>
      <c r="E25" s="41">
        <f t="shared" ref="E25:O25" si="104">SUM(E22:E24)</f>
        <v>4554</v>
      </c>
      <c r="F25" s="41">
        <f t="shared" si="104"/>
        <v>1823</v>
      </c>
      <c r="G25" s="41">
        <f t="shared" si="104"/>
        <v>3827</v>
      </c>
      <c r="H25" s="41">
        <f t="shared" si="104"/>
        <v>2942</v>
      </c>
      <c r="I25" s="41">
        <f t="shared" si="104"/>
        <v>3903</v>
      </c>
      <c r="J25" s="41">
        <f t="shared" si="104"/>
        <v>4164</v>
      </c>
      <c r="K25" s="41">
        <f t="shared" si="104"/>
        <v>3787</v>
      </c>
      <c r="L25" s="41">
        <f t="shared" si="104"/>
        <v>3784</v>
      </c>
      <c r="M25" s="41">
        <f t="shared" si="104"/>
        <v>4395</v>
      </c>
      <c r="N25" s="41">
        <f t="shared" si="104"/>
        <v>3986</v>
      </c>
      <c r="O25" s="41">
        <f t="shared" si="104"/>
        <v>3531</v>
      </c>
      <c r="P25" s="38">
        <f>SUM(D25:O25)</f>
        <v>45594</v>
      </c>
      <c r="Q25" s="45">
        <f>SUM(Q22:Q24)</f>
        <v>0</v>
      </c>
      <c r="R25" s="45">
        <f t="shared" ref="R25:AB25" si="105">SUM(R22:R24)</f>
        <v>0</v>
      </c>
      <c r="S25" s="45">
        <f t="shared" si="105"/>
        <v>0</v>
      </c>
      <c r="T25" s="45">
        <f t="shared" si="105"/>
        <v>0</v>
      </c>
      <c r="U25" s="45">
        <f t="shared" si="105"/>
        <v>0</v>
      </c>
      <c r="V25" s="45">
        <f t="shared" si="105"/>
        <v>0</v>
      </c>
      <c r="W25" s="45">
        <f t="shared" si="105"/>
        <v>0</v>
      </c>
      <c r="X25" s="45">
        <f t="shared" si="105"/>
        <v>0</v>
      </c>
      <c r="Y25" s="45">
        <f t="shared" si="105"/>
        <v>0</v>
      </c>
      <c r="Z25" s="45">
        <f t="shared" si="105"/>
        <v>0</v>
      </c>
      <c r="AA25" s="45">
        <f t="shared" si="105"/>
        <v>0</v>
      </c>
      <c r="AB25" s="45">
        <f t="shared" si="105"/>
        <v>0</v>
      </c>
      <c r="AC25" s="38">
        <f t="shared" si="38"/>
        <v>0</v>
      </c>
      <c r="AD25" s="36">
        <f t="shared" si="13"/>
        <v>45594</v>
      </c>
      <c r="AE25" s="26"/>
      <c r="AF25" s="32">
        <f>SUM(AF22:AF24)</f>
        <v>139</v>
      </c>
      <c r="AG25" s="32">
        <f t="shared" ref="AG25:AQ25" si="106">SUM(AG22:AG24)</f>
        <v>148</v>
      </c>
      <c r="AH25" s="32">
        <f t="shared" si="106"/>
        <v>131</v>
      </c>
      <c r="AI25" s="32">
        <f t="shared" si="106"/>
        <v>136</v>
      </c>
      <c r="AJ25" s="32">
        <f t="shared" si="106"/>
        <v>141</v>
      </c>
      <c r="AK25" s="32">
        <f t="shared" si="106"/>
        <v>137</v>
      </c>
      <c r="AL25" s="32">
        <f t="shared" si="106"/>
        <v>138</v>
      </c>
      <c r="AM25" s="32">
        <f t="shared" si="106"/>
        <v>130</v>
      </c>
      <c r="AN25" s="32">
        <f t="shared" si="106"/>
        <v>151</v>
      </c>
      <c r="AO25" s="32">
        <f t="shared" si="106"/>
        <v>165</v>
      </c>
      <c r="AP25" s="32">
        <f t="shared" si="106"/>
        <v>156</v>
      </c>
      <c r="AQ25" s="32">
        <f t="shared" si="106"/>
        <v>131</v>
      </c>
      <c r="AR25" s="38">
        <f t="shared" si="14"/>
        <v>1703</v>
      </c>
      <c r="AS25" s="42">
        <f>SUM(AS22:AS24)</f>
        <v>0</v>
      </c>
      <c r="AT25" s="42">
        <f t="shared" ref="AT25:BD25" si="107">SUM(AT22:AT24)</f>
        <v>0</v>
      </c>
      <c r="AU25" s="42">
        <f t="shared" si="107"/>
        <v>0</v>
      </c>
      <c r="AV25" s="42">
        <f t="shared" si="107"/>
        <v>0</v>
      </c>
      <c r="AW25" s="42">
        <f t="shared" si="107"/>
        <v>0</v>
      </c>
      <c r="AX25" s="42">
        <f t="shared" si="107"/>
        <v>0</v>
      </c>
      <c r="AY25" s="42">
        <f t="shared" si="107"/>
        <v>0</v>
      </c>
      <c r="AZ25" s="42">
        <f t="shared" si="107"/>
        <v>0</v>
      </c>
      <c r="BA25" s="42">
        <f t="shared" si="107"/>
        <v>0</v>
      </c>
      <c r="BB25" s="42">
        <f t="shared" si="107"/>
        <v>0</v>
      </c>
      <c r="BC25" s="42">
        <f t="shared" si="107"/>
        <v>0</v>
      </c>
      <c r="BD25" s="42">
        <f t="shared" si="107"/>
        <v>0</v>
      </c>
      <c r="BE25" s="38">
        <f>SUM(AS25:BD25)</f>
        <v>0</v>
      </c>
      <c r="BF25" s="36">
        <f t="shared" si="16"/>
        <v>1703</v>
      </c>
      <c r="BG25" s="26"/>
      <c r="BH25" s="41">
        <f>SUM(BH22:BH24)</f>
        <v>41</v>
      </c>
      <c r="BI25" s="41">
        <f t="shared" ref="BI25:CF25" si="108">SUM(BI22:BI24)</f>
        <v>36</v>
      </c>
      <c r="BJ25" s="41">
        <f t="shared" si="108"/>
        <v>28</v>
      </c>
      <c r="BK25" s="41">
        <f t="shared" si="108"/>
        <v>34</v>
      </c>
      <c r="BL25" s="41">
        <f t="shared" si="108"/>
        <v>24</v>
      </c>
      <c r="BM25" s="41">
        <f t="shared" si="108"/>
        <v>28</v>
      </c>
      <c r="BN25" s="41">
        <f t="shared" si="108"/>
        <v>36</v>
      </c>
      <c r="BO25" s="41">
        <f t="shared" si="108"/>
        <v>41</v>
      </c>
      <c r="BP25" s="41">
        <f t="shared" si="108"/>
        <v>51</v>
      </c>
      <c r="BQ25" s="41">
        <f t="shared" si="108"/>
        <v>29</v>
      </c>
      <c r="BR25" s="41">
        <f t="shared" si="108"/>
        <v>37</v>
      </c>
      <c r="BS25" s="41">
        <f t="shared" si="108"/>
        <v>46</v>
      </c>
      <c r="BT25" s="38">
        <f t="shared" si="17"/>
        <v>431</v>
      </c>
      <c r="BU25" s="41">
        <f t="shared" si="108"/>
        <v>1028</v>
      </c>
      <c r="BV25" s="41">
        <f t="shared" si="108"/>
        <v>864</v>
      </c>
      <c r="BW25" s="41">
        <f t="shared" si="108"/>
        <v>743</v>
      </c>
      <c r="BX25" s="41">
        <f t="shared" si="108"/>
        <v>677</v>
      </c>
      <c r="BY25" s="41">
        <f t="shared" si="108"/>
        <v>666</v>
      </c>
      <c r="BZ25" s="41">
        <f t="shared" si="108"/>
        <v>679</v>
      </c>
      <c r="CA25" s="41">
        <f t="shared" si="108"/>
        <v>805</v>
      </c>
      <c r="CB25" s="41">
        <f t="shared" si="108"/>
        <v>775</v>
      </c>
      <c r="CC25" s="41">
        <f t="shared" si="108"/>
        <v>789</v>
      </c>
      <c r="CD25" s="41">
        <f t="shared" si="108"/>
        <v>1032</v>
      </c>
      <c r="CE25" s="41">
        <f t="shared" si="108"/>
        <v>772</v>
      </c>
      <c r="CF25" s="41">
        <f t="shared" si="108"/>
        <v>711</v>
      </c>
      <c r="CG25" s="38">
        <f t="shared" si="18"/>
        <v>9541</v>
      </c>
      <c r="CH25" s="36">
        <f t="shared" si="19"/>
        <v>9972</v>
      </c>
      <c r="CI25" s="26"/>
      <c r="CJ25" s="32">
        <f>SUM(CJ22:CJ24)</f>
        <v>832</v>
      </c>
      <c r="CK25" s="32">
        <f t="shared" ref="CK25:CU25" si="109">SUM(CK22:CK24)</f>
        <v>562</v>
      </c>
      <c r="CL25" s="32">
        <f t="shared" si="109"/>
        <v>376</v>
      </c>
      <c r="CM25" s="32">
        <f t="shared" si="109"/>
        <v>625</v>
      </c>
      <c r="CN25" s="32">
        <f t="shared" si="109"/>
        <v>548</v>
      </c>
      <c r="CO25" s="32">
        <f t="shared" si="109"/>
        <v>774</v>
      </c>
      <c r="CP25" s="32">
        <f t="shared" si="109"/>
        <v>562</v>
      </c>
      <c r="CQ25" s="32">
        <f t="shared" si="109"/>
        <v>735</v>
      </c>
      <c r="CR25" s="32">
        <f t="shared" si="109"/>
        <v>928</v>
      </c>
      <c r="CS25" s="32">
        <f t="shared" si="109"/>
        <v>1064</v>
      </c>
      <c r="CT25" s="32">
        <f t="shared" si="109"/>
        <v>1023</v>
      </c>
      <c r="CU25" s="32">
        <f t="shared" si="109"/>
        <v>499</v>
      </c>
      <c r="CV25" s="38">
        <f t="shared" si="20"/>
        <v>8528</v>
      </c>
      <c r="CW25" s="32">
        <f t="shared" ref="CW25" si="110">SUM(CW22:CW24)</f>
        <v>1957</v>
      </c>
      <c r="CX25" s="32">
        <f t="shared" ref="CX25" si="111">SUM(CX22:CX24)</f>
        <v>1518</v>
      </c>
      <c r="CY25" s="32">
        <f t="shared" ref="CY25" si="112">SUM(CY22:CY24)</f>
        <v>1497</v>
      </c>
      <c r="CZ25" s="32">
        <f t="shared" ref="CZ25" si="113">SUM(CZ22:CZ24)</f>
        <v>1331</v>
      </c>
      <c r="DA25" s="32">
        <f t="shared" ref="DA25" si="114">SUM(DA22:DA24)</f>
        <v>1336</v>
      </c>
      <c r="DB25" s="32">
        <f t="shared" ref="DB25" si="115">SUM(DB22:DB24)</f>
        <v>1589</v>
      </c>
      <c r="DC25" s="32">
        <f t="shared" ref="DC25" si="116">SUM(DC22:DC24)</f>
        <v>1842</v>
      </c>
      <c r="DD25" s="32">
        <f t="shared" ref="DD25" si="117">SUM(DD22:DD24)</f>
        <v>1959</v>
      </c>
      <c r="DE25" s="32">
        <f t="shared" ref="DE25" si="118">SUM(DE22:DE24)</f>
        <v>2044</v>
      </c>
      <c r="DF25" s="32">
        <f t="shared" ref="DF25" si="119">SUM(DF22:DF24)</f>
        <v>2278</v>
      </c>
      <c r="DG25" s="32">
        <f t="shared" ref="DG25" si="120">SUM(DG22:DG24)</f>
        <v>1859</v>
      </c>
      <c r="DH25" s="32">
        <f t="shared" ref="DH25" si="121">SUM(DH22:DH24)</f>
        <v>1738</v>
      </c>
      <c r="DI25" s="38">
        <f t="shared" si="21"/>
        <v>20948</v>
      </c>
      <c r="DJ25" s="36">
        <f t="shared" si="22"/>
        <v>29476</v>
      </c>
      <c r="DK25" s="26"/>
      <c r="DL25" s="32">
        <f>SUM(DL22:DL24)</f>
        <v>815</v>
      </c>
      <c r="DM25" s="32">
        <f t="shared" ref="DM25:DW25" si="122">SUM(DM22:DM24)</f>
        <v>535</v>
      </c>
      <c r="DN25" s="32">
        <f t="shared" si="122"/>
        <v>665</v>
      </c>
      <c r="DO25" s="32">
        <f t="shared" si="122"/>
        <v>470</v>
      </c>
      <c r="DP25" s="32">
        <f t="shared" si="122"/>
        <v>446</v>
      </c>
      <c r="DQ25" s="32">
        <f t="shared" si="122"/>
        <v>655</v>
      </c>
      <c r="DR25" s="32">
        <f t="shared" si="122"/>
        <v>770</v>
      </c>
      <c r="DS25" s="32">
        <f t="shared" si="122"/>
        <v>747</v>
      </c>
      <c r="DT25" s="32">
        <f t="shared" si="122"/>
        <v>728</v>
      </c>
      <c r="DU25" s="32">
        <f t="shared" si="122"/>
        <v>827</v>
      </c>
      <c r="DV25" s="32">
        <f t="shared" si="122"/>
        <v>643</v>
      </c>
      <c r="DW25" s="32">
        <f t="shared" si="122"/>
        <v>602</v>
      </c>
      <c r="DX25" s="38">
        <f t="shared" si="0"/>
        <v>7903</v>
      </c>
      <c r="DY25" s="63">
        <f>SUM(DY22:DY24)</f>
        <v>1678</v>
      </c>
      <c r="DZ25" s="63">
        <f t="shared" ref="DZ25:EJ25" si="123">SUM(DZ22:DZ24)</f>
        <v>1381</v>
      </c>
      <c r="EA25" s="63">
        <f t="shared" si="123"/>
        <v>1347</v>
      </c>
      <c r="EB25" s="63">
        <f t="shared" si="123"/>
        <v>1325</v>
      </c>
      <c r="EC25" s="63">
        <f t="shared" si="123"/>
        <v>1387</v>
      </c>
      <c r="ED25" s="63">
        <f t="shared" si="123"/>
        <v>1632</v>
      </c>
      <c r="EE25" s="63">
        <f t="shared" si="123"/>
        <v>1885</v>
      </c>
      <c r="EF25" s="63">
        <f t="shared" si="123"/>
        <v>1015</v>
      </c>
      <c r="EG25" s="63">
        <f t="shared" si="123"/>
        <v>1811</v>
      </c>
      <c r="EH25" s="63">
        <f t="shared" si="123"/>
        <v>2110</v>
      </c>
      <c r="EI25" s="63">
        <f t="shared" si="123"/>
        <v>1567</v>
      </c>
      <c r="EJ25" s="63">
        <f t="shared" si="123"/>
        <v>1659</v>
      </c>
      <c r="EK25" s="38">
        <f t="shared" si="23"/>
        <v>18797</v>
      </c>
      <c r="EL25" s="36">
        <f t="shared" si="1"/>
        <v>26700</v>
      </c>
      <c r="EM25" s="26"/>
      <c r="EN25" s="32">
        <f>SUM(EN22:EN24)</f>
        <v>2360</v>
      </c>
      <c r="EO25" s="32">
        <f t="shared" ref="EO25:EY25" si="124">SUM(EO22:EO24)</f>
        <v>1870</v>
      </c>
      <c r="EP25" s="32">
        <f t="shared" si="124"/>
        <v>2352</v>
      </c>
      <c r="EQ25" s="32">
        <f t="shared" si="124"/>
        <v>1926</v>
      </c>
      <c r="ER25" s="32">
        <f t="shared" si="124"/>
        <v>1822</v>
      </c>
      <c r="ES25" s="32">
        <f t="shared" si="124"/>
        <v>2504</v>
      </c>
      <c r="ET25" s="32">
        <f t="shared" si="124"/>
        <v>2678</v>
      </c>
      <c r="EU25" s="32">
        <f t="shared" si="124"/>
        <v>2162</v>
      </c>
      <c r="EV25" s="32">
        <f t="shared" si="124"/>
        <v>2586</v>
      </c>
      <c r="EW25" s="32">
        <f t="shared" si="124"/>
        <v>3102</v>
      </c>
      <c r="EX25" s="32">
        <f t="shared" si="124"/>
        <v>2752</v>
      </c>
      <c r="EY25" s="32">
        <f t="shared" si="124"/>
        <v>2132</v>
      </c>
      <c r="EZ25" s="38">
        <f t="shared" si="24"/>
        <v>28246</v>
      </c>
      <c r="FA25" s="26"/>
      <c r="FB25" s="104">
        <f>SUM(FB22:FB24)</f>
        <v>6356</v>
      </c>
      <c r="FC25" s="104">
        <f t="shared" ref="FC25:FM25" si="125">SUM(FC22:FC24)</f>
        <v>5212</v>
      </c>
      <c r="FD25" s="104">
        <f t="shared" si="125"/>
        <v>5002</v>
      </c>
      <c r="FE25" s="104">
        <f t="shared" si="125"/>
        <v>3809</v>
      </c>
      <c r="FF25" s="104">
        <f t="shared" si="125"/>
        <v>4633</v>
      </c>
      <c r="FG25" s="104">
        <f t="shared" si="125"/>
        <v>5114</v>
      </c>
      <c r="FH25" s="104">
        <f t="shared" si="125"/>
        <v>6191</v>
      </c>
      <c r="FI25" s="104">
        <f t="shared" si="125"/>
        <v>7101</v>
      </c>
      <c r="FJ25" s="104">
        <f t="shared" si="125"/>
        <v>6941</v>
      </c>
      <c r="FK25" s="104">
        <f t="shared" si="125"/>
        <v>7608</v>
      </c>
      <c r="FL25" s="104">
        <f t="shared" si="125"/>
        <v>6512</v>
      </c>
      <c r="FM25" s="104">
        <f t="shared" si="125"/>
        <v>6410</v>
      </c>
      <c r="FN25" s="38">
        <f t="shared" si="25"/>
        <v>70889</v>
      </c>
      <c r="FO25" s="26"/>
      <c r="FP25" s="32">
        <f>SUM(FP22:FP24)</f>
        <v>1094</v>
      </c>
      <c r="FQ25" s="32">
        <f t="shared" ref="FQ25:GA25" si="126">SUM(FQ22:FQ24)</f>
        <v>986</v>
      </c>
      <c r="FR25" s="32">
        <f t="shared" si="126"/>
        <v>789</v>
      </c>
      <c r="FS25" s="32">
        <f t="shared" si="126"/>
        <v>794</v>
      </c>
      <c r="FT25" s="32">
        <f t="shared" si="126"/>
        <v>668</v>
      </c>
      <c r="FU25" s="32">
        <f t="shared" si="126"/>
        <v>935</v>
      </c>
      <c r="FV25" s="32">
        <f t="shared" si="126"/>
        <v>922</v>
      </c>
      <c r="FW25" s="32">
        <f t="shared" si="126"/>
        <v>722</v>
      </c>
      <c r="FX25" s="32">
        <f t="shared" si="126"/>
        <v>821</v>
      </c>
      <c r="FY25" s="32">
        <f t="shared" si="126"/>
        <v>962</v>
      </c>
      <c r="FZ25" s="32">
        <f t="shared" si="126"/>
        <v>1194</v>
      </c>
      <c r="GA25" s="32">
        <f t="shared" si="126"/>
        <v>906</v>
      </c>
      <c r="GB25" s="38">
        <f t="shared" si="26"/>
        <v>10793</v>
      </c>
      <c r="GC25" s="26"/>
      <c r="GD25" s="32">
        <f>SUM(GD22:GD24)</f>
        <v>2356</v>
      </c>
      <c r="GE25" s="32">
        <f t="shared" ref="GE25:GO25" si="127">SUM(GE22:GE24)</f>
        <v>2475</v>
      </c>
      <c r="GF25" s="32">
        <f t="shared" si="127"/>
        <v>2302</v>
      </c>
      <c r="GG25" s="32">
        <f t="shared" si="127"/>
        <v>1904</v>
      </c>
      <c r="GH25" s="32">
        <f t="shared" si="127"/>
        <v>2390</v>
      </c>
      <c r="GI25" s="32">
        <f t="shared" si="127"/>
        <v>1822</v>
      </c>
      <c r="GJ25" s="32">
        <f t="shared" si="127"/>
        <v>2251</v>
      </c>
      <c r="GK25" s="32">
        <f t="shared" si="127"/>
        <v>2328</v>
      </c>
      <c r="GL25" s="32">
        <f t="shared" si="127"/>
        <v>2342</v>
      </c>
      <c r="GM25" s="32">
        <f t="shared" si="127"/>
        <v>2504</v>
      </c>
      <c r="GN25" s="32">
        <f t="shared" si="127"/>
        <v>2365</v>
      </c>
      <c r="GO25" s="32">
        <f t="shared" si="127"/>
        <v>2292</v>
      </c>
      <c r="GP25" s="38">
        <f t="shared" si="27"/>
        <v>27331</v>
      </c>
      <c r="GQ25" s="26"/>
      <c r="GR25" s="32">
        <f>SUM(GR22:GR24)</f>
        <v>1004</v>
      </c>
      <c r="GS25" s="32">
        <f t="shared" ref="GS25:HC25" si="128">SUM(GS22:GS24)</f>
        <v>722</v>
      </c>
      <c r="GT25" s="32">
        <f t="shared" si="128"/>
        <v>838</v>
      </c>
      <c r="GU25" s="32">
        <f t="shared" si="128"/>
        <v>825</v>
      </c>
      <c r="GV25" s="32">
        <f t="shared" si="128"/>
        <v>760</v>
      </c>
      <c r="GW25" s="32">
        <f t="shared" si="128"/>
        <v>671</v>
      </c>
      <c r="GX25" s="32">
        <f t="shared" si="128"/>
        <v>833</v>
      </c>
      <c r="GY25" s="32">
        <f t="shared" si="128"/>
        <v>891</v>
      </c>
      <c r="GZ25" s="32">
        <f t="shared" si="128"/>
        <v>718</v>
      </c>
      <c r="HA25" s="32">
        <f t="shared" si="128"/>
        <v>1076</v>
      </c>
      <c r="HB25" s="32">
        <f t="shared" si="128"/>
        <v>983</v>
      </c>
      <c r="HC25" s="32">
        <f t="shared" si="128"/>
        <v>1029</v>
      </c>
      <c r="HD25" s="38">
        <f t="shared" si="28"/>
        <v>10350</v>
      </c>
      <c r="HE25" s="26"/>
      <c r="HF25" s="54">
        <f>SUM(HF22:HF24)</f>
        <v>3861</v>
      </c>
      <c r="HG25" s="54">
        <f t="shared" ref="HG25:HQ25" si="129">SUM(HG22:HG24)</f>
        <v>3763</v>
      </c>
      <c r="HH25" s="54">
        <f t="shared" si="129"/>
        <v>2803</v>
      </c>
      <c r="HI25" s="54">
        <f t="shared" si="129"/>
        <v>2536</v>
      </c>
      <c r="HJ25" s="54">
        <f t="shared" si="129"/>
        <v>2451</v>
      </c>
      <c r="HK25" s="54">
        <f t="shared" si="129"/>
        <v>3085</v>
      </c>
      <c r="HL25" s="54">
        <f t="shared" si="129"/>
        <v>4179</v>
      </c>
      <c r="HM25" s="54">
        <f t="shared" si="129"/>
        <v>3774</v>
      </c>
      <c r="HN25" s="54">
        <f t="shared" si="129"/>
        <v>4427</v>
      </c>
      <c r="HO25" s="54">
        <f t="shared" si="129"/>
        <v>4471</v>
      </c>
      <c r="HP25" s="54">
        <f t="shared" si="129"/>
        <v>3833</v>
      </c>
      <c r="HQ25" s="54">
        <f t="shared" si="129"/>
        <v>3594</v>
      </c>
      <c r="HR25" s="38">
        <f t="shared" si="29"/>
        <v>42777</v>
      </c>
      <c r="HS25" s="26"/>
      <c r="HT25" s="32">
        <f>SUM(HT22:HT24)</f>
        <v>303</v>
      </c>
      <c r="HU25" s="32">
        <f t="shared" ref="HU25:IE25" si="130">SUM(HU22:HU24)</f>
        <v>300</v>
      </c>
      <c r="HV25" s="32">
        <f t="shared" si="130"/>
        <v>285</v>
      </c>
      <c r="HW25" s="32">
        <f t="shared" si="130"/>
        <v>304</v>
      </c>
      <c r="HX25" s="32">
        <f t="shared" si="130"/>
        <v>340</v>
      </c>
      <c r="HY25" s="32">
        <f t="shared" si="130"/>
        <v>262</v>
      </c>
      <c r="HZ25" s="32">
        <f t="shared" si="130"/>
        <v>327</v>
      </c>
      <c r="IA25" s="32">
        <f t="shared" si="130"/>
        <v>283</v>
      </c>
      <c r="IB25" s="32">
        <f t="shared" si="130"/>
        <v>358</v>
      </c>
      <c r="IC25" s="32">
        <f t="shared" si="130"/>
        <v>431</v>
      </c>
      <c r="ID25" s="32">
        <f t="shared" si="130"/>
        <v>402</v>
      </c>
      <c r="IE25" s="69">
        <f t="shared" si="130"/>
        <v>297</v>
      </c>
      <c r="IF25" s="38">
        <f t="shared" si="2"/>
        <v>3892</v>
      </c>
      <c r="IG25" s="104">
        <f>SUM(IG22:IG24)</f>
        <v>1446</v>
      </c>
      <c r="IH25" s="104">
        <f t="shared" ref="IH25:IR25" si="131">SUM(IH22:IH24)</f>
        <v>1378</v>
      </c>
      <c r="II25" s="104">
        <f t="shared" si="131"/>
        <v>1195</v>
      </c>
      <c r="IJ25" s="104">
        <f t="shared" si="131"/>
        <v>1227</v>
      </c>
      <c r="IK25" s="104">
        <f t="shared" si="131"/>
        <v>1168</v>
      </c>
      <c r="IL25" s="104">
        <f t="shared" si="131"/>
        <v>1394</v>
      </c>
      <c r="IM25" s="104">
        <f t="shared" si="131"/>
        <v>1550</v>
      </c>
      <c r="IN25" s="104">
        <f t="shared" si="131"/>
        <v>1593</v>
      </c>
      <c r="IO25" s="104">
        <f t="shared" si="131"/>
        <v>1407</v>
      </c>
      <c r="IP25" s="104">
        <f t="shared" si="131"/>
        <v>1592</v>
      </c>
      <c r="IQ25" s="104">
        <f t="shared" si="131"/>
        <v>1593</v>
      </c>
      <c r="IR25" s="107">
        <f t="shared" si="131"/>
        <v>1052</v>
      </c>
      <c r="IS25" s="38">
        <f t="shared" si="3"/>
        <v>16595</v>
      </c>
      <c r="IT25" s="36">
        <f t="shared" si="39"/>
        <v>20487</v>
      </c>
      <c r="IU25" s="26"/>
      <c r="IV25" s="32">
        <f>SUM(IV22:IV24)</f>
        <v>395</v>
      </c>
      <c r="IW25" s="32">
        <f t="shared" ref="IW25:JG25" si="132">SUM(IW22:IW24)</f>
        <v>406</v>
      </c>
      <c r="IX25" s="32">
        <f t="shared" si="132"/>
        <v>405</v>
      </c>
      <c r="IY25" s="32">
        <f t="shared" si="132"/>
        <v>381</v>
      </c>
      <c r="IZ25" s="32">
        <f t="shared" si="132"/>
        <v>377</v>
      </c>
      <c r="JA25" s="32">
        <f t="shared" si="132"/>
        <v>412</v>
      </c>
      <c r="JB25" s="32">
        <f t="shared" si="132"/>
        <v>407</v>
      </c>
      <c r="JC25" s="32">
        <f t="shared" si="132"/>
        <v>363</v>
      </c>
      <c r="JD25" s="32">
        <f t="shared" si="132"/>
        <v>422</v>
      </c>
      <c r="JE25" s="32">
        <f t="shared" si="132"/>
        <v>377</v>
      </c>
      <c r="JF25" s="32">
        <f t="shared" si="132"/>
        <v>423</v>
      </c>
      <c r="JG25" s="32">
        <f t="shared" si="132"/>
        <v>435</v>
      </c>
      <c r="JH25" s="38">
        <f t="shared" si="4"/>
        <v>4803</v>
      </c>
      <c r="JI25" s="110">
        <f>SUM(JI22:JI24)</f>
        <v>4758.4000000000005</v>
      </c>
      <c r="JJ25" s="32">
        <f t="shared" ref="JJ25:JT25" si="133">SUM(JJ22:JJ24)</f>
        <v>5314.4000000000005</v>
      </c>
      <c r="JK25" s="32">
        <f t="shared" si="133"/>
        <v>4106.3999999999996</v>
      </c>
      <c r="JL25" s="32">
        <f t="shared" si="133"/>
        <v>3204.8</v>
      </c>
      <c r="JM25" s="32">
        <f t="shared" si="133"/>
        <v>4163.2</v>
      </c>
      <c r="JN25" s="32">
        <f t="shared" si="133"/>
        <v>4155.2</v>
      </c>
      <c r="JO25" s="32">
        <f t="shared" si="133"/>
        <v>4298.3999999999996</v>
      </c>
      <c r="JP25" s="32">
        <f t="shared" si="133"/>
        <v>4397.6000000000004</v>
      </c>
      <c r="JQ25" s="32">
        <f t="shared" si="133"/>
        <v>4482.3999999999996</v>
      </c>
      <c r="JR25" s="32">
        <f t="shared" si="133"/>
        <v>3879.2000000000003</v>
      </c>
      <c r="JS25" s="32">
        <f t="shared" si="133"/>
        <v>4380</v>
      </c>
      <c r="JT25" s="32">
        <f t="shared" si="133"/>
        <v>4061.6000000000004</v>
      </c>
      <c r="JU25" s="35">
        <f t="shared" si="5"/>
        <v>51201.599999999999</v>
      </c>
      <c r="JV25" s="40">
        <f t="shared" si="30"/>
        <v>56004.6</v>
      </c>
      <c r="JW25" s="26"/>
      <c r="JX25" s="32">
        <f>SUM(JX22:JX24)</f>
        <v>447</v>
      </c>
      <c r="JY25" s="32">
        <f t="shared" ref="JY25:KI25" si="134">SUM(JY22:JY24)</f>
        <v>385</v>
      </c>
      <c r="JZ25" s="32">
        <f t="shared" si="134"/>
        <v>405</v>
      </c>
      <c r="KA25" s="32">
        <f t="shared" si="134"/>
        <v>481</v>
      </c>
      <c r="KB25" s="32">
        <f t="shared" si="134"/>
        <v>463</v>
      </c>
      <c r="KC25" s="32">
        <f t="shared" si="134"/>
        <v>455</v>
      </c>
      <c r="KD25" s="32">
        <f t="shared" si="134"/>
        <v>452</v>
      </c>
      <c r="KE25" s="32">
        <f t="shared" si="134"/>
        <v>465</v>
      </c>
      <c r="KF25" s="32">
        <f t="shared" si="134"/>
        <v>470</v>
      </c>
      <c r="KG25" s="32">
        <f t="shared" si="134"/>
        <v>561</v>
      </c>
      <c r="KH25" s="32">
        <f t="shared" si="134"/>
        <v>471</v>
      </c>
      <c r="KI25" s="32">
        <f t="shared" si="134"/>
        <v>584</v>
      </c>
      <c r="KJ25" s="38">
        <f t="shared" si="6"/>
        <v>5639</v>
      </c>
      <c r="KK25" s="32">
        <f>SUM(KK22:KK24)</f>
        <v>1285</v>
      </c>
      <c r="KL25" s="32">
        <f t="shared" ref="KL25:KV25" si="135">SUM(KL22:KL24)</f>
        <v>1225</v>
      </c>
      <c r="KM25" s="32">
        <f t="shared" si="135"/>
        <v>1995</v>
      </c>
      <c r="KN25" s="32">
        <f t="shared" si="135"/>
        <v>1723</v>
      </c>
      <c r="KO25" s="32">
        <f t="shared" si="135"/>
        <v>2012</v>
      </c>
      <c r="KP25" s="32">
        <f t="shared" si="135"/>
        <v>1332</v>
      </c>
      <c r="KQ25" s="32">
        <f t="shared" si="135"/>
        <v>1307</v>
      </c>
      <c r="KR25" s="32">
        <f t="shared" si="135"/>
        <v>1489</v>
      </c>
      <c r="KS25" s="32">
        <f t="shared" si="135"/>
        <v>1695</v>
      </c>
      <c r="KT25" s="32">
        <f t="shared" si="135"/>
        <v>1558</v>
      </c>
      <c r="KU25" s="32">
        <f t="shared" si="135"/>
        <v>1480</v>
      </c>
      <c r="KV25" s="32">
        <f t="shared" si="135"/>
        <v>971</v>
      </c>
      <c r="KW25" s="38">
        <f t="shared" si="7"/>
        <v>18072</v>
      </c>
      <c r="KX25" s="36">
        <f t="shared" si="31"/>
        <v>23711</v>
      </c>
      <c r="KY25" s="26"/>
      <c r="KZ25" s="32">
        <f>SUM(KZ22:KZ24)</f>
        <v>0</v>
      </c>
      <c r="LA25" s="32">
        <f t="shared" ref="LA25:LK25" si="136">SUM(LA22:LA24)</f>
        <v>0</v>
      </c>
      <c r="LB25" s="32">
        <f t="shared" si="136"/>
        <v>0</v>
      </c>
      <c r="LC25" s="32">
        <f t="shared" si="136"/>
        <v>0</v>
      </c>
      <c r="LD25" s="32">
        <f t="shared" si="136"/>
        <v>0</v>
      </c>
      <c r="LE25" s="32">
        <f t="shared" si="136"/>
        <v>0</v>
      </c>
      <c r="LF25" s="32">
        <f t="shared" si="136"/>
        <v>0</v>
      </c>
      <c r="LG25" s="32">
        <f t="shared" si="136"/>
        <v>0</v>
      </c>
      <c r="LH25" s="32">
        <f t="shared" si="136"/>
        <v>0</v>
      </c>
      <c r="LI25" s="32">
        <f t="shared" si="136"/>
        <v>0</v>
      </c>
      <c r="LJ25" s="32">
        <f t="shared" si="136"/>
        <v>0</v>
      </c>
      <c r="LK25" s="69">
        <f t="shared" si="136"/>
        <v>0</v>
      </c>
      <c r="LL25" s="38">
        <f t="shared" si="32"/>
        <v>0</v>
      </c>
      <c r="LM25" s="26"/>
      <c r="LN25" s="71">
        <f>SUM(LN22:LN24)</f>
        <v>6297</v>
      </c>
      <c r="LO25" s="71">
        <f t="shared" ref="LO25:LY25" si="137">SUM(LO22:LO24)</f>
        <v>6325</v>
      </c>
      <c r="LP25" s="71">
        <f t="shared" si="137"/>
        <v>5448</v>
      </c>
      <c r="LQ25" s="71">
        <f t="shared" si="137"/>
        <v>3679</v>
      </c>
      <c r="LR25" s="71">
        <f t="shared" si="137"/>
        <v>3473</v>
      </c>
      <c r="LS25" s="71">
        <f t="shared" si="137"/>
        <v>5598</v>
      </c>
      <c r="LT25" s="71">
        <f t="shared" si="137"/>
        <v>5266</v>
      </c>
      <c r="LU25" s="71">
        <f t="shared" si="137"/>
        <v>6406</v>
      </c>
      <c r="LV25" s="71">
        <f t="shared" si="137"/>
        <v>4852</v>
      </c>
      <c r="LW25" s="71">
        <f t="shared" si="137"/>
        <v>7612</v>
      </c>
      <c r="LX25" s="71">
        <f t="shared" si="137"/>
        <v>6035</v>
      </c>
      <c r="LY25" s="71">
        <f t="shared" si="137"/>
        <v>5433</v>
      </c>
      <c r="LZ25" s="38">
        <f t="shared" si="8"/>
        <v>66424</v>
      </c>
      <c r="MA25" s="26"/>
      <c r="MB25" s="45">
        <f>SUM(MB22:MB24)</f>
        <v>5730</v>
      </c>
      <c r="MC25" s="45">
        <f t="shared" ref="MC25:MM25" si="138">SUM(MC22:MC24)</f>
        <v>4285</v>
      </c>
      <c r="MD25" s="45">
        <f t="shared" si="138"/>
        <v>5732</v>
      </c>
      <c r="ME25" s="45">
        <f t="shared" si="138"/>
        <v>5737</v>
      </c>
      <c r="MF25" s="45">
        <f t="shared" si="138"/>
        <v>6467</v>
      </c>
      <c r="MG25" s="45">
        <f t="shared" si="138"/>
        <v>6070</v>
      </c>
      <c r="MH25" s="45">
        <f t="shared" si="138"/>
        <v>6253</v>
      </c>
      <c r="MI25" s="45">
        <f t="shared" si="138"/>
        <v>6484</v>
      </c>
      <c r="MJ25" s="45">
        <f t="shared" si="138"/>
        <v>5996</v>
      </c>
      <c r="MK25" s="45">
        <f t="shared" si="138"/>
        <v>6853</v>
      </c>
      <c r="ML25" s="45">
        <f t="shared" si="138"/>
        <v>4626</v>
      </c>
      <c r="MM25" s="45">
        <f t="shared" si="138"/>
        <v>5035</v>
      </c>
      <c r="MN25" s="38">
        <f t="shared" si="9"/>
        <v>69268</v>
      </c>
      <c r="MO25" s="32">
        <f>SUM(MO22:MO24)</f>
        <v>9423</v>
      </c>
      <c r="MP25" s="32">
        <f t="shared" ref="MP25:MZ25" si="139">SUM(MP22:MP24)</f>
        <v>6560</v>
      </c>
      <c r="MQ25" s="32">
        <f t="shared" si="139"/>
        <v>5476</v>
      </c>
      <c r="MR25" s="32">
        <f t="shared" si="139"/>
        <v>5358</v>
      </c>
      <c r="MS25" s="32">
        <f t="shared" si="139"/>
        <v>6907</v>
      </c>
      <c r="MT25" s="32">
        <f t="shared" si="139"/>
        <v>7839</v>
      </c>
      <c r="MU25" s="32">
        <f t="shared" si="139"/>
        <v>9825</v>
      </c>
      <c r="MV25" s="32">
        <f t="shared" si="139"/>
        <v>9027</v>
      </c>
      <c r="MW25" s="32">
        <f t="shared" si="139"/>
        <v>8545</v>
      </c>
      <c r="MX25" s="32">
        <f t="shared" si="139"/>
        <v>10167</v>
      </c>
      <c r="MY25" s="32">
        <f t="shared" si="139"/>
        <v>7035</v>
      </c>
      <c r="MZ25" s="32">
        <f t="shared" si="139"/>
        <v>6904</v>
      </c>
      <c r="NA25" s="38">
        <f t="shared" si="10"/>
        <v>93066</v>
      </c>
      <c r="NB25" s="36">
        <f t="shared" si="33"/>
        <v>162334</v>
      </c>
      <c r="NC25" s="26"/>
      <c r="ND25" s="32">
        <f>SUM(ND22:ND24)</f>
        <v>1131</v>
      </c>
      <c r="NE25" s="32">
        <f t="shared" ref="NE25:NO25" si="140">SUM(NE22:NE24)</f>
        <v>1067</v>
      </c>
      <c r="NF25" s="32">
        <f t="shared" si="140"/>
        <v>981</v>
      </c>
      <c r="NG25" s="32">
        <f t="shared" si="140"/>
        <v>1007</v>
      </c>
      <c r="NH25" s="32">
        <f t="shared" si="140"/>
        <v>948</v>
      </c>
      <c r="NI25" s="32">
        <f t="shared" si="140"/>
        <v>1183</v>
      </c>
      <c r="NJ25" s="32">
        <f t="shared" si="140"/>
        <v>1373</v>
      </c>
      <c r="NK25" s="32">
        <f t="shared" si="140"/>
        <v>1005</v>
      </c>
      <c r="NL25" s="32">
        <f t="shared" si="140"/>
        <v>1171</v>
      </c>
      <c r="NM25" s="32">
        <f t="shared" si="140"/>
        <v>1539</v>
      </c>
      <c r="NN25" s="32">
        <f t="shared" si="140"/>
        <v>1132</v>
      </c>
      <c r="NO25" s="32">
        <f t="shared" si="140"/>
        <v>1101</v>
      </c>
      <c r="NP25" s="118">
        <f t="shared" si="11"/>
        <v>13638</v>
      </c>
      <c r="NQ25" s="36">
        <f t="shared" si="34"/>
        <v>84040</v>
      </c>
      <c r="NR25" s="36">
        <f t="shared" si="35"/>
        <v>418122</v>
      </c>
      <c r="NS25" s="36">
        <f t="shared" si="36"/>
        <v>144267.6</v>
      </c>
      <c r="NT25" s="36">
        <f t="shared" si="37"/>
        <v>646429.6</v>
      </c>
      <c r="NU25" s="18"/>
      <c r="NV25" s="18"/>
      <c r="NW25" s="18"/>
      <c r="NX25" s="19"/>
      <c r="NY25" s="19"/>
      <c r="NZ25" s="19"/>
      <c r="OA25" s="19"/>
      <c r="OB25" s="19"/>
      <c r="OC25" s="19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8"/>
      <c r="OR25" s="18"/>
      <c r="OS25" s="18"/>
      <c r="OT25" s="18"/>
      <c r="OU25" s="18"/>
      <c r="OV25" s="18"/>
      <c r="OW25" s="18"/>
      <c r="OX25" s="19"/>
      <c r="OY25" s="19"/>
      <c r="OZ25" s="19"/>
      <c r="PA25" s="19"/>
      <c r="PB25" s="19"/>
      <c r="PC25" s="19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8"/>
      <c r="PR25" s="18"/>
      <c r="PS25" s="18"/>
      <c r="PT25" s="18"/>
      <c r="PU25" s="18"/>
      <c r="PV25" s="18"/>
      <c r="PW25" s="18"/>
      <c r="PX25" s="19"/>
      <c r="PY25" s="19"/>
      <c r="PZ25" s="19"/>
      <c r="QA25" s="19"/>
      <c r="QB25" s="19"/>
      <c r="QC25" s="19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</row>
    <row r="26" spans="1:458" s="1" customFormat="1" ht="50.1" customHeight="1" x14ac:dyDescent="0.25">
      <c r="A26" s="120"/>
      <c r="B26" s="6" t="s">
        <v>21</v>
      </c>
      <c r="C26" s="23"/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38">
        <f t="shared" si="12"/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38">
        <f t="shared" si="38"/>
        <v>0</v>
      </c>
      <c r="AD26" s="36">
        <f t="shared" si="13"/>
        <v>0</v>
      </c>
      <c r="AE26" s="26"/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8">
        <f t="shared" si="14"/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8">
        <f t="shared" si="15"/>
        <v>0</v>
      </c>
      <c r="BF26" s="36">
        <f t="shared" si="16"/>
        <v>0</v>
      </c>
      <c r="BG26" s="26"/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  <c r="BQ26" s="41">
        <v>0</v>
      </c>
      <c r="BR26" s="41">
        <v>0</v>
      </c>
      <c r="BS26" s="41">
        <v>0</v>
      </c>
      <c r="BT26" s="38">
        <f t="shared" si="17"/>
        <v>0</v>
      </c>
      <c r="BU26" s="54">
        <v>3</v>
      </c>
      <c r="BV26" s="54">
        <v>3</v>
      </c>
      <c r="BW26" s="54">
        <v>4</v>
      </c>
      <c r="BX26" s="54">
        <v>5</v>
      </c>
      <c r="BY26" s="54">
        <v>5</v>
      </c>
      <c r="BZ26" s="54">
        <v>5</v>
      </c>
      <c r="CA26" s="54">
        <v>5</v>
      </c>
      <c r="CB26" s="54">
        <v>4</v>
      </c>
      <c r="CC26" s="54">
        <v>2</v>
      </c>
      <c r="CD26" s="54">
        <v>3</v>
      </c>
      <c r="CE26" s="54">
        <v>1</v>
      </c>
      <c r="CF26" s="54">
        <v>5</v>
      </c>
      <c r="CG26" s="38">
        <f t="shared" si="18"/>
        <v>45</v>
      </c>
      <c r="CH26" s="36">
        <f t="shared" si="19"/>
        <v>45</v>
      </c>
      <c r="CI26" s="26"/>
      <c r="CJ26" s="32">
        <v>18</v>
      </c>
      <c r="CK26" s="32">
        <v>13</v>
      </c>
      <c r="CL26" s="32">
        <v>71</v>
      </c>
      <c r="CM26" s="32">
        <v>64</v>
      </c>
      <c r="CN26" s="32">
        <v>9</v>
      </c>
      <c r="CO26" s="32">
        <v>13</v>
      </c>
      <c r="CP26" s="32">
        <v>13</v>
      </c>
      <c r="CQ26" s="32">
        <v>22</v>
      </c>
      <c r="CR26" s="32">
        <v>29</v>
      </c>
      <c r="CS26" s="32">
        <v>59</v>
      </c>
      <c r="CT26" s="32">
        <v>189</v>
      </c>
      <c r="CU26" s="32">
        <v>19</v>
      </c>
      <c r="CV26" s="38">
        <f t="shared" si="20"/>
        <v>519</v>
      </c>
      <c r="CW26" s="54">
        <v>26</v>
      </c>
      <c r="CX26" s="54">
        <v>26</v>
      </c>
      <c r="CY26" s="54">
        <v>28</v>
      </c>
      <c r="CZ26" s="54">
        <v>34</v>
      </c>
      <c r="DA26" s="54">
        <v>26</v>
      </c>
      <c r="DB26" s="54">
        <v>19</v>
      </c>
      <c r="DC26" s="54">
        <v>20</v>
      </c>
      <c r="DD26" s="54">
        <v>8</v>
      </c>
      <c r="DE26" s="54">
        <v>15</v>
      </c>
      <c r="DF26" s="54">
        <v>27</v>
      </c>
      <c r="DG26" s="54">
        <v>17</v>
      </c>
      <c r="DH26" s="54">
        <v>12</v>
      </c>
      <c r="DI26" s="38">
        <f t="shared" si="21"/>
        <v>258</v>
      </c>
      <c r="DJ26" s="36">
        <f t="shared" si="22"/>
        <v>777</v>
      </c>
      <c r="DK26" s="26"/>
      <c r="DL26" s="75">
        <v>0</v>
      </c>
      <c r="DM26" s="75">
        <v>0</v>
      </c>
      <c r="DN26" s="75">
        <v>0</v>
      </c>
      <c r="DO26" s="75">
        <v>0</v>
      </c>
      <c r="DP26" s="75">
        <v>0</v>
      </c>
      <c r="DQ26" s="75">
        <v>0</v>
      </c>
      <c r="DR26" s="75">
        <v>0</v>
      </c>
      <c r="DS26" s="75">
        <v>0</v>
      </c>
      <c r="DT26" s="75">
        <v>0</v>
      </c>
      <c r="DU26" s="75">
        <v>0</v>
      </c>
      <c r="DV26" s="75">
        <v>0</v>
      </c>
      <c r="DW26" s="75">
        <v>0</v>
      </c>
      <c r="DX26" s="38">
        <f t="shared" si="0"/>
        <v>0</v>
      </c>
      <c r="DY26" s="64">
        <v>10</v>
      </c>
      <c r="DZ26" s="64">
        <v>7</v>
      </c>
      <c r="EA26" s="64">
        <v>6</v>
      </c>
      <c r="EB26" s="51">
        <v>6</v>
      </c>
      <c r="EC26" s="64">
        <v>10</v>
      </c>
      <c r="ED26" s="64">
        <v>8</v>
      </c>
      <c r="EE26" s="64">
        <v>10</v>
      </c>
      <c r="EF26" s="64">
        <v>3</v>
      </c>
      <c r="EG26" s="64">
        <v>5</v>
      </c>
      <c r="EH26" s="64">
        <v>7</v>
      </c>
      <c r="EI26" s="64">
        <v>8</v>
      </c>
      <c r="EJ26" s="64">
        <v>10</v>
      </c>
      <c r="EK26" s="38">
        <f t="shared" si="23"/>
        <v>90</v>
      </c>
      <c r="EL26" s="36">
        <f t="shared" si="1"/>
        <v>90</v>
      </c>
      <c r="EM26" s="26"/>
      <c r="EN26" s="32">
        <v>0</v>
      </c>
      <c r="EO26" s="32">
        <v>0</v>
      </c>
      <c r="EP26" s="32">
        <v>0</v>
      </c>
      <c r="EQ26" s="32">
        <v>0</v>
      </c>
      <c r="ER26" s="32">
        <v>0</v>
      </c>
      <c r="ES26" s="32">
        <v>0</v>
      </c>
      <c r="ET26" s="32">
        <v>0</v>
      </c>
      <c r="EU26" s="32">
        <v>0</v>
      </c>
      <c r="EV26" s="32">
        <v>0</v>
      </c>
      <c r="EW26" s="32">
        <v>0</v>
      </c>
      <c r="EX26" s="32">
        <v>0</v>
      </c>
      <c r="EY26" s="32">
        <v>0</v>
      </c>
      <c r="EZ26" s="38">
        <f t="shared" si="24"/>
        <v>0</v>
      </c>
      <c r="FA26" s="26"/>
      <c r="FB26" s="104">
        <v>0</v>
      </c>
      <c r="FC26" s="104">
        <v>0</v>
      </c>
      <c r="FD26" s="104">
        <v>0</v>
      </c>
      <c r="FE26" s="104">
        <v>0</v>
      </c>
      <c r="FF26" s="104">
        <v>0</v>
      </c>
      <c r="FG26" s="104">
        <v>0</v>
      </c>
      <c r="FH26" s="104">
        <v>0</v>
      </c>
      <c r="FI26" s="104">
        <v>0</v>
      </c>
      <c r="FJ26" s="104">
        <v>0</v>
      </c>
      <c r="FK26" s="104">
        <v>0</v>
      </c>
      <c r="FL26" s="104">
        <v>0</v>
      </c>
      <c r="FM26" s="104">
        <v>0</v>
      </c>
      <c r="FN26" s="38">
        <f t="shared" si="25"/>
        <v>0</v>
      </c>
      <c r="FO26" s="26"/>
      <c r="FP26" s="32">
        <v>21</v>
      </c>
      <c r="FQ26" s="32">
        <v>15</v>
      </c>
      <c r="FR26" s="32">
        <v>18</v>
      </c>
      <c r="FS26" s="32">
        <v>13</v>
      </c>
      <c r="FT26" s="32">
        <v>17</v>
      </c>
      <c r="FU26" s="32">
        <v>11</v>
      </c>
      <c r="FV26" s="32">
        <v>9</v>
      </c>
      <c r="FW26" s="32">
        <v>22</v>
      </c>
      <c r="FX26" s="32">
        <v>15</v>
      </c>
      <c r="FY26" s="32">
        <v>11</v>
      </c>
      <c r="FZ26" s="32">
        <v>12</v>
      </c>
      <c r="GA26" s="32">
        <v>14</v>
      </c>
      <c r="GB26" s="38">
        <f t="shared" si="26"/>
        <v>178</v>
      </c>
      <c r="GC26" s="26"/>
      <c r="GD26" s="101">
        <v>14</v>
      </c>
      <c r="GE26" s="101">
        <v>18</v>
      </c>
      <c r="GF26" s="101">
        <v>22</v>
      </c>
      <c r="GG26" s="101">
        <v>24</v>
      </c>
      <c r="GH26" s="101">
        <v>29</v>
      </c>
      <c r="GI26" s="101">
        <v>7</v>
      </c>
      <c r="GJ26" s="101">
        <v>29</v>
      </c>
      <c r="GK26" s="101">
        <v>10</v>
      </c>
      <c r="GL26" s="101">
        <v>8</v>
      </c>
      <c r="GM26" s="101">
        <v>16</v>
      </c>
      <c r="GN26" s="101">
        <v>19</v>
      </c>
      <c r="GO26" s="101">
        <v>30</v>
      </c>
      <c r="GP26" s="38">
        <f t="shared" si="27"/>
        <v>226</v>
      </c>
      <c r="GQ26" s="26"/>
      <c r="GR26" s="32">
        <v>0</v>
      </c>
      <c r="GS26" s="32">
        <v>0</v>
      </c>
      <c r="GT26" s="32">
        <v>0</v>
      </c>
      <c r="GU26" s="32">
        <v>0</v>
      </c>
      <c r="GV26" s="32">
        <v>0</v>
      </c>
      <c r="GW26" s="32">
        <v>0</v>
      </c>
      <c r="GX26" s="32">
        <v>0</v>
      </c>
      <c r="GY26" s="32">
        <v>0</v>
      </c>
      <c r="GZ26" s="32">
        <v>0</v>
      </c>
      <c r="HA26" s="32">
        <v>0</v>
      </c>
      <c r="HB26" s="32">
        <v>0</v>
      </c>
      <c r="HC26" s="32">
        <v>0</v>
      </c>
      <c r="HD26" s="38">
        <f t="shared" si="28"/>
        <v>0</v>
      </c>
      <c r="HE26" s="26"/>
      <c r="HF26" s="54">
        <v>0</v>
      </c>
      <c r="HG26" s="54">
        <v>0</v>
      </c>
      <c r="HH26" s="54">
        <v>0</v>
      </c>
      <c r="HI26" s="54">
        <v>0</v>
      </c>
      <c r="HJ26" s="54">
        <v>0</v>
      </c>
      <c r="HK26" s="54">
        <v>0</v>
      </c>
      <c r="HL26" s="54">
        <v>0</v>
      </c>
      <c r="HM26" s="54">
        <v>0</v>
      </c>
      <c r="HN26" s="54">
        <v>0</v>
      </c>
      <c r="HO26" s="54">
        <v>0</v>
      </c>
      <c r="HP26" s="54">
        <v>0</v>
      </c>
      <c r="HQ26" s="54">
        <v>0</v>
      </c>
      <c r="HR26" s="38">
        <f t="shared" si="29"/>
        <v>0</v>
      </c>
      <c r="HS26" s="26"/>
      <c r="HT26" s="32">
        <v>2</v>
      </c>
      <c r="HU26" s="32">
        <v>3</v>
      </c>
      <c r="HV26" s="32">
        <v>2</v>
      </c>
      <c r="HW26" s="32">
        <v>2</v>
      </c>
      <c r="HX26" s="32">
        <v>2</v>
      </c>
      <c r="HY26" s="32">
        <v>4</v>
      </c>
      <c r="HZ26" s="32">
        <v>3</v>
      </c>
      <c r="IA26" s="32">
        <v>1</v>
      </c>
      <c r="IB26" s="32">
        <v>2</v>
      </c>
      <c r="IC26" s="32">
        <v>3</v>
      </c>
      <c r="ID26" s="32">
        <v>3</v>
      </c>
      <c r="IE26" s="69">
        <v>4</v>
      </c>
      <c r="IF26" s="38">
        <f t="shared" si="2"/>
        <v>31</v>
      </c>
      <c r="IG26" s="104">
        <v>18</v>
      </c>
      <c r="IH26" s="104">
        <v>18</v>
      </c>
      <c r="II26" s="104">
        <v>25</v>
      </c>
      <c r="IJ26" s="104">
        <v>26</v>
      </c>
      <c r="IK26" s="104">
        <v>13</v>
      </c>
      <c r="IL26" s="104">
        <v>11</v>
      </c>
      <c r="IM26" s="104">
        <v>10</v>
      </c>
      <c r="IN26" s="104">
        <v>17</v>
      </c>
      <c r="IO26" s="104">
        <v>13</v>
      </c>
      <c r="IP26" s="104">
        <v>11</v>
      </c>
      <c r="IQ26" s="104">
        <v>12</v>
      </c>
      <c r="IR26" s="107">
        <v>14</v>
      </c>
      <c r="IS26" s="38">
        <f t="shared" si="3"/>
        <v>188</v>
      </c>
      <c r="IT26" s="36">
        <f t="shared" si="39"/>
        <v>219</v>
      </c>
      <c r="IU26" s="26"/>
      <c r="IV26" s="32">
        <v>6</v>
      </c>
      <c r="IW26" s="32">
        <v>5</v>
      </c>
      <c r="IX26" s="32">
        <v>4</v>
      </c>
      <c r="IY26" s="32">
        <v>7</v>
      </c>
      <c r="IZ26" s="32">
        <v>4</v>
      </c>
      <c r="JA26" s="32">
        <v>6</v>
      </c>
      <c r="JB26" s="32">
        <v>5</v>
      </c>
      <c r="JC26" s="32">
        <v>6</v>
      </c>
      <c r="JD26" s="32">
        <v>4</v>
      </c>
      <c r="JE26" s="32">
        <v>6</v>
      </c>
      <c r="JF26" s="32">
        <v>7</v>
      </c>
      <c r="JG26" s="32">
        <v>5</v>
      </c>
      <c r="JH26" s="38">
        <f t="shared" si="4"/>
        <v>65</v>
      </c>
      <c r="JI26" s="110">
        <v>8</v>
      </c>
      <c r="JJ26" s="32">
        <v>3</v>
      </c>
      <c r="JK26" s="32">
        <v>5</v>
      </c>
      <c r="JL26" s="32">
        <v>6</v>
      </c>
      <c r="JM26" s="32">
        <v>9</v>
      </c>
      <c r="JN26" s="32">
        <v>5</v>
      </c>
      <c r="JO26" s="32">
        <v>6</v>
      </c>
      <c r="JP26" s="32">
        <v>4</v>
      </c>
      <c r="JQ26" s="32">
        <v>7</v>
      </c>
      <c r="JR26" s="32">
        <v>8</v>
      </c>
      <c r="JS26" s="32">
        <v>5</v>
      </c>
      <c r="JT26" s="32">
        <v>3</v>
      </c>
      <c r="JU26" s="35">
        <f t="shared" si="5"/>
        <v>69</v>
      </c>
      <c r="JV26" s="40">
        <f t="shared" si="30"/>
        <v>134</v>
      </c>
      <c r="JW26" s="26"/>
      <c r="JX26" s="32">
        <v>0</v>
      </c>
      <c r="JY26" s="32">
        <v>0</v>
      </c>
      <c r="JZ26" s="32">
        <v>0</v>
      </c>
      <c r="KA26" s="32">
        <v>0</v>
      </c>
      <c r="KB26" s="32">
        <v>0</v>
      </c>
      <c r="KC26" s="32">
        <v>0</v>
      </c>
      <c r="KD26" s="32">
        <v>0</v>
      </c>
      <c r="KE26" s="32">
        <v>0</v>
      </c>
      <c r="KF26" s="32">
        <v>0</v>
      </c>
      <c r="KG26" s="32">
        <v>0</v>
      </c>
      <c r="KH26" s="32">
        <v>0</v>
      </c>
      <c r="KI26" s="32">
        <v>0</v>
      </c>
      <c r="KJ26" s="38">
        <f t="shared" si="6"/>
        <v>0</v>
      </c>
      <c r="KK26" s="32">
        <v>34</v>
      </c>
      <c r="KL26" s="32">
        <v>15</v>
      </c>
      <c r="KM26" s="32">
        <v>37</v>
      </c>
      <c r="KN26" s="32">
        <v>42</v>
      </c>
      <c r="KO26" s="32">
        <v>37</v>
      </c>
      <c r="KP26" s="32">
        <v>11</v>
      </c>
      <c r="KQ26" s="32">
        <v>37</v>
      </c>
      <c r="KR26" s="32">
        <v>9</v>
      </c>
      <c r="KS26" s="32">
        <v>142</v>
      </c>
      <c r="KT26" s="32">
        <v>103</v>
      </c>
      <c r="KU26" s="32">
        <v>72</v>
      </c>
      <c r="KV26" s="32">
        <v>43</v>
      </c>
      <c r="KW26" s="38">
        <f t="shared" si="7"/>
        <v>582</v>
      </c>
      <c r="KX26" s="36">
        <f t="shared" si="31"/>
        <v>582</v>
      </c>
      <c r="KY26" s="26"/>
      <c r="KZ26" s="32">
        <v>0</v>
      </c>
      <c r="LA26" s="32">
        <v>0</v>
      </c>
      <c r="LB26" s="32">
        <v>0</v>
      </c>
      <c r="LC26" s="32">
        <v>0</v>
      </c>
      <c r="LD26" s="32">
        <v>0</v>
      </c>
      <c r="LE26" s="32">
        <v>0</v>
      </c>
      <c r="LF26" s="32">
        <v>0</v>
      </c>
      <c r="LG26" s="32">
        <v>0</v>
      </c>
      <c r="LH26" s="32">
        <v>0</v>
      </c>
      <c r="LI26" s="32">
        <v>0</v>
      </c>
      <c r="LJ26" s="32">
        <v>0</v>
      </c>
      <c r="LK26" s="69">
        <v>0</v>
      </c>
      <c r="LL26" s="38">
        <f t="shared" si="32"/>
        <v>0</v>
      </c>
      <c r="LM26" s="26"/>
      <c r="LN26" s="71">
        <v>30</v>
      </c>
      <c r="LO26" s="71">
        <v>36</v>
      </c>
      <c r="LP26" s="71">
        <v>40</v>
      </c>
      <c r="LQ26" s="71">
        <v>49</v>
      </c>
      <c r="LR26" s="71">
        <v>51</v>
      </c>
      <c r="LS26" s="71">
        <v>45</v>
      </c>
      <c r="LT26" s="71">
        <v>43</v>
      </c>
      <c r="LU26" s="45">
        <v>53</v>
      </c>
      <c r="LV26" s="45">
        <v>5</v>
      </c>
      <c r="LW26" s="45">
        <v>12</v>
      </c>
      <c r="LX26" s="45">
        <v>3</v>
      </c>
      <c r="LY26" s="45">
        <v>9</v>
      </c>
      <c r="LZ26" s="38">
        <f t="shared" si="8"/>
        <v>376</v>
      </c>
      <c r="MA26" s="26"/>
      <c r="MB26" s="45">
        <v>0</v>
      </c>
      <c r="MC26" s="45">
        <v>0</v>
      </c>
      <c r="MD26" s="45">
        <v>0</v>
      </c>
      <c r="ME26" s="45">
        <v>0</v>
      </c>
      <c r="MF26" s="45">
        <v>0</v>
      </c>
      <c r="MG26" s="45">
        <v>0</v>
      </c>
      <c r="MH26" s="45">
        <v>0</v>
      </c>
      <c r="MI26" s="45">
        <v>0</v>
      </c>
      <c r="MJ26" s="45">
        <v>0</v>
      </c>
      <c r="MK26" s="45">
        <v>0</v>
      </c>
      <c r="ML26" s="45">
        <v>0</v>
      </c>
      <c r="MM26" s="45">
        <v>0</v>
      </c>
      <c r="MN26" s="38">
        <f t="shared" si="9"/>
        <v>0</v>
      </c>
      <c r="MO26" s="32">
        <v>190</v>
      </c>
      <c r="MP26" s="32">
        <v>282</v>
      </c>
      <c r="MQ26" s="32">
        <v>366</v>
      </c>
      <c r="MR26" s="32">
        <v>390</v>
      </c>
      <c r="MS26" s="32">
        <v>88</v>
      </c>
      <c r="MT26" s="32">
        <v>53</v>
      </c>
      <c r="MU26" s="32">
        <v>60</v>
      </c>
      <c r="MV26" s="32">
        <v>30</v>
      </c>
      <c r="MW26" s="32">
        <v>34</v>
      </c>
      <c r="MX26" s="32">
        <v>63</v>
      </c>
      <c r="MY26" s="32">
        <v>14</v>
      </c>
      <c r="MZ26" s="32">
        <v>61</v>
      </c>
      <c r="NA26" s="38">
        <f t="shared" si="10"/>
        <v>1631</v>
      </c>
      <c r="NB26" s="36">
        <f t="shared" si="33"/>
        <v>1631</v>
      </c>
      <c r="NC26" s="26"/>
      <c r="ND26" s="32">
        <v>0</v>
      </c>
      <c r="NE26" s="32">
        <v>0</v>
      </c>
      <c r="NF26" s="32">
        <v>0</v>
      </c>
      <c r="NG26" s="32">
        <v>0</v>
      </c>
      <c r="NH26" s="32">
        <v>0</v>
      </c>
      <c r="NI26" s="32">
        <v>0</v>
      </c>
      <c r="NJ26" s="32">
        <v>0</v>
      </c>
      <c r="NK26" s="32">
        <v>0</v>
      </c>
      <c r="NL26" s="32">
        <v>0</v>
      </c>
      <c r="NM26" s="32">
        <v>0</v>
      </c>
      <c r="NN26" s="32">
        <v>0</v>
      </c>
      <c r="NO26" s="32">
        <v>0</v>
      </c>
      <c r="NP26" s="118">
        <f t="shared" si="11"/>
        <v>0</v>
      </c>
      <c r="NQ26" s="36">
        <f t="shared" si="34"/>
        <v>550</v>
      </c>
      <c r="NR26" s="36">
        <f t="shared" si="35"/>
        <v>2008</v>
      </c>
      <c r="NS26" s="36">
        <f t="shared" si="36"/>
        <v>1700</v>
      </c>
      <c r="NT26" s="36">
        <f t="shared" si="37"/>
        <v>4258</v>
      </c>
      <c r="NU26" s="18"/>
      <c r="NV26" s="18"/>
      <c r="NW26" s="18"/>
      <c r="NX26" s="19"/>
      <c r="NY26" s="19"/>
      <c r="NZ26" s="19"/>
      <c r="OA26" s="19"/>
      <c r="OB26" s="19"/>
      <c r="OC26" s="19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8"/>
      <c r="OR26" s="18"/>
      <c r="OS26" s="18"/>
      <c r="OT26" s="18"/>
      <c r="OU26" s="18"/>
      <c r="OV26" s="18"/>
      <c r="OW26" s="18"/>
      <c r="OX26" s="19"/>
      <c r="OY26" s="19"/>
      <c r="OZ26" s="19"/>
      <c r="PA26" s="19"/>
      <c r="PB26" s="19"/>
      <c r="PC26" s="19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8"/>
      <c r="PR26" s="18"/>
      <c r="PS26" s="18"/>
      <c r="PT26" s="18"/>
      <c r="PU26" s="18"/>
      <c r="PV26" s="18"/>
      <c r="PW26" s="18"/>
      <c r="PX26" s="19"/>
      <c r="PY26" s="19"/>
      <c r="PZ26" s="19"/>
      <c r="QA26" s="19"/>
      <c r="QB26" s="19"/>
      <c r="QC26" s="19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</row>
    <row r="27" spans="1:458" s="1" customFormat="1" ht="50.1" customHeight="1" x14ac:dyDescent="0.25">
      <c r="A27" s="120"/>
      <c r="B27" s="6" t="s">
        <v>22</v>
      </c>
      <c r="C27" s="23"/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38">
        <f t="shared" si="12"/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38">
        <f t="shared" si="38"/>
        <v>0</v>
      </c>
      <c r="AD27" s="36">
        <f t="shared" si="13"/>
        <v>0</v>
      </c>
      <c r="AE27" s="26"/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8">
        <f t="shared" si="14"/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8">
        <f t="shared" si="15"/>
        <v>0</v>
      </c>
      <c r="BF27" s="36">
        <f t="shared" si="16"/>
        <v>0</v>
      </c>
      <c r="BG27" s="26"/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  <c r="BQ27" s="41">
        <v>0</v>
      </c>
      <c r="BR27" s="41">
        <v>0</v>
      </c>
      <c r="BS27" s="41">
        <v>0</v>
      </c>
      <c r="BT27" s="38">
        <f t="shared" si="17"/>
        <v>0</v>
      </c>
      <c r="BU27" s="54">
        <v>0</v>
      </c>
      <c r="BV27" s="54">
        <v>0</v>
      </c>
      <c r="BW27" s="54">
        <v>0</v>
      </c>
      <c r="BX27" s="54">
        <v>0</v>
      </c>
      <c r="BY27" s="54">
        <v>0</v>
      </c>
      <c r="BZ27" s="54">
        <v>0</v>
      </c>
      <c r="CA27" s="54">
        <v>0</v>
      </c>
      <c r="CB27" s="54">
        <v>0</v>
      </c>
      <c r="CC27" s="54">
        <v>0</v>
      </c>
      <c r="CD27" s="54">
        <v>0</v>
      </c>
      <c r="CE27" s="54">
        <v>0</v>
      </c>
      <c r="CF27" s="54">
        <v>0</v>
      </c>
      <c r="CG27" s="38">
        <f t="shared" si="18"/>
        <v>0</v>
      </c>
      <c r="CH27" s="36">
        <f t="shared" si="19"/>
        <v>0</v>
      </c>
      <c r="CI27" s="26"/>
      <c r="CJ27" s="32">
        <v>0</v>
      </c>
      <c r="CK27" s="32">
        <v>0</v>
      </c>
      <c r="CL27" s="32">
        <v>0</v>
      </c>
      <c r="CM27" s="32">
        <v>0</v>
      </c>
      <c r="CN27" s="32">
        <v>0</v>
      </c>
      <c r="CO27" s="32">
        <v>0</v>
      </c>
      <c r="CP27" s="32">
        <v>0</v>
      </c>
      <c r="CQ27" s="32">
        <v>0</v>
      </c>
      <c r="CR27" s="32">
        <v>0</v>
      </c>
      <c r="CS27" s="32">
        <v>0</v>
      </c>
      <c r="CT27" s="32">
        <v>0</v>
      </c>
      <c r="CU27" s="32">
        <v>0</v>
      </c>
      <c r="CV27" s="38">
        <f t="shared" si="20"/>
        <v>0</v>
      </c>
      <c r="CW27" s="54">
        <v>0</v>
      </c>
      <c r="CX27" s="54">
        <v>0</v>
      </c>
      <c r="CY27" s="54">
        <v>0</v>
      </c>
      <c r="CZ27" s="54">
        <v>0</v>
      </c>
      <c r="DA27" s="54">
        <v>0</v>
      </c>
      <c r="DB27" s="54">
        <v>0</v>
      </c>
      <c r="DC27" s="54">
        <v>0</v>
      </c>
      <c r="DD27" s="54">
        <v>0</v>
      </c>
      <c r="DE27" s="54">
        <v>0</v>
      </c>
      <c r="DF27" s="54">
        <v>0</v>
      </c>
      <c r="DG27" s="54">
        <v>0</v>
      </c>
      <c r="DH27" s="54">
        <v>0</v>
      </c>
      <c r="DI27" s="38">
        <f t="shared" si="21"/>
        <v>0</v>
      </c>
      <c r="DJ27" s="36">
        <f t="shared" si="22"/>
        <v>0</v>
      </c>
      <c r="DK27" s="26"/>
      <c r="DL27" s="75">
        <v>0</v>
      </c>
      <c r="DM27" s="75">
        <v>0</v>
      </c>
      <c r="DN27" s="75">
        <v>0</v>
      </c>
      <c r="DO27" s="75">
        <v>0</v>
      </c>
      <c r="DP27" s="75">
        <v>0</v>
      </c>
      <c r="DQ27" s="75">
        <v>0</v>
      </c>
      <c r="DR27" s="75">
        <v>0</v>
      </c>
      <c r="DS27" s="75">
        <v>0</v>
      </c>
      <c r="DT27" s="75">
        <v>0</v>
      </c>
      <c r="DU27" s="75">
        <v>0</v>
      </c>
      <c r="DV27" s="75">
        <v>0</v>
      </c>
      <c r="DW27" s="75">
        <v>0</v>
      </c>
      <c r="DX27" s="38">
        <f t="shared" si="0"/>
        <v>0</v>
      </c>
      <c r="DY27" s="63">
        <v>0</v>
      </c>
      <c r="DZ27" s="63">
        <v>0</v>
      </c>
      <c r="EA27" s="63">
        <v>0</v>
      </c>
      <c r="EB27" s="63">
        <v>0</v>
      </c>
      <c r="EC27" s="63">
        <v>0</v>
      </c>
      <c r="ED27" s="63">
        <v>0</v>
      </c>
      <c r="EE27" s="63">
        <v>0</v>
      </c>
      <c r="EF27" s="63">
        <v>0</v>
      </c>
      <c r="EG27" s="63">
        <v>0</v>
      </c>
      <c r="EH27" s="63">
        <v>0</v>
      </c>
      <c r="EI27" s="63">
        <v>0</v>
      </c>
      <c r="EJ27" s="63">
        <v>0</v>
      </c>
      <c r="EK27" s="38">
        <f t="shared" si="23"/>
        <v>0</v>
      </c>
      <c r="EL27" s="36">
        <f t="shared" si="1"/>
        <v>0</v>
      </c>
      <c r="EM27" s="26"/>
      <c r="EN27" s="32">
        <v>0</v>
      </c>
      <c r="EO27" s="32">
        <v>0</v>
      </c>
      <c r="EP27" s="32">
        <v>0</v>
      </c>
      <c r="EQ27" s="32">
        <v>0</v>
      </c>
      <c r="ER27" s="32">
        <v>0</v>
      </c>
      <c r="ES27" s="32">
        <v>0</v>
      </c>
      <c r="ET27" s="32">
        <v>0</v>
      </c>
      <c r="EU27" s="32">
        <v>0</v>
      </c>
      <c r="EV27" s="32">
        <v>0</v>
      </c>
      <c r="EW27" s="32">
        <v>0</v>
      </c>
      <c r="EX27" s="32">
        <v>0</v>
      </c>
      <c r="EY27" s="32">
        <v>0</v>
      </c>
      <c r="EZ27" s="38">
        <f t="shared" si="24"/>
        <v>0</v>
      </c>
      <c r="FA27" s="26"/>
      <c r="FB27" s="104">
        <v>0</v>
      </c>
      <c r="FC27" s="104">
        <v>0</v>
      </c>
      <c r="FD27" s="104">
        <v>0</v>
      </c>
      <c r="FE27" s="104">
        <v>0</v>
      </c>
      <c r="FF27" s="104">
        <v>0</v>
      </c>
      <c r="FG27" s="104">
        <v>0</v>
      </c>
      <c r="FH27" s="104">
        <v>0</v>
      </c>
      <c r="FI27" s="104">
        <v>0</v>
      </c>
      <c r="FJ27" s="104">
        <v>0</v>
      </c>
      <c r="FK27" s="104">
        <v>0</v>
      </c>
      <c r="FL27" s="104">
        <v>0</v>
      </c>
      <c r="FM27" s="104">
        <v>0</v>
      </c>
      <c r="FN27" s="38">
        <f t="shared" si="25"/>
        <v>0</v>
      </c>
      <c r="FO27" s="26"/>
      <c r="FP27" s="32">
        <v>0</v>
      </c>
      <c r="FQ27" s="32">
        <v>0</v>
      </c>
      <c r="FR27" s="32">
        <v>0</v>
      </c>
      <c r="FS27" s="32">
        <v>0</v>
      </c>
      <c r="FT27" s="32">
        <v>0</v>
      </c>
      <c r="FU27" s="32">
        <v>0</v>
      </c>
      <c r="FV27" s="32">
        <v>0</v>
      </c>
      <c r="FW27" s="32">
        <v>0</v>
      </c>
      <c r="FX27" s="32">
        <v>0</v>
      </c>
      <c r="FY27" s="32">
        <v>0</v>
      </c>
      <c r="FZ27" s="32">
        <v>0</v>
      </c>
      <c r="GA27" s="32">
        <v>0</v>
      </c>
      <c r="GB27" s="38">
        <f t="shared" si="26"/>
        <v>0</v>
      </c>
      <c r="GC27" s="26"/>
      <c r="GD27" s="32">
        <v>0</v>
      </c>
      <c r="GE27" s="32">
        <v>0</v>
      </c>
      <c r="GF27" s="32">
        <v>0</v>
      </c>
      <c r="GG27" s="32">
        <v>0</v>
      </c>
      <c r="GH27" s="32">
        <v>0</v>
      </c>
      <c r="GI27" s="32">
        <v>0</v>
      </c>
      <c r="GJ27" s="32">
        <v>0</v>
      </c>
      <c r="GK27" s="32">
        <v>0</v>
      </c>
      <c r="GL27" s="32">
        <v>0</v>
      </c>
      <c r="GM27" s="32">
        <v>0</v>
      </c>
      <c r="GN27" s="32">
        <v>0</v>
      </c>
      <c r="GO27" s="32">
        <v>0</v>
      </c>
      <c r="GP27" s="38">
        <f t="shared" si="27"/>
        <v>0</v>
      </c>
      <c r="GQ27" s="26"/>
      <c r="GR27" s="32">
        <v>0</v>
      </c>
      <c r="GS27" s="32">
        <v>0</v>
      </c>
      <c r="GT27" s="32">
        <v>0</v>
      </c>
      <c r="GU27" s="32">
        <v>0</v>
      </c>
      <c r="GV27" s="32">
        <v>0</v>
      </c>
      <c r="GW27" s="32">
        <v>0</v>
      </c>
      <c r="GX27" s="32">
        <v>0</v>
      </c>
      <c r="GY27" s="32">
        <v>0</v>
      </c>
      <c r="GZ27" s="32">
        <v>0</v>
      </c>
      <c r="HA27" s="32">
        <v>0</v>
      </c>
      <c r="HB27" s="32">
        <v>0</v>
      </c>
      <c r="HC27" s="32">
        <v>0</v>
      </c>
      <c r="HD27" s="38">
        <f t="shared" si="28"/>
        <v>0</v>
      </c>
      <c r="HE27" s="26"/>
      <c r="HF27" s="54">
        <v>0</v>
      </c>
      <c r="HG27" s="54">
        <v>0</v>
      </c>
      <c r="HH27" s="54">
        <v>0</v>
      </c>
      <c r="HI27" s="54">
        <v>0</v>
      </c>
      <c r="HJ27" s="54">
        <v>0</v>
      </c>
      <c r="HK27" s="54">
        <v>0</v>
      </c>
      <c r="HL27" s="54">
        <v>0</v>
      </c>
      <c r="HM27" s="54">
        <v>0</v>
      </c>
      <c r="HN27" s="54">
        <v>0</v>
      </c>
      <c r="HO27" s="54">
        <v>0</v>
      </c>
      <c r="HP27" s="54">
        <v>0</v>
      </c>
      <c r="HQ27" s="54">
        <v>0</v>
      </c>
      <c r="HR27" s="38">
        <f t="shared" si="29"/>
        <v>0</v>
      </c>
      <c r="HS27" s="26"/>
      <c r="HT27" s="32">
        <v>0</v>
      </c>
      <c r="HU27" s="32">
        <v>0</v>
      </c>
      <c r="HV27" s="32">
        <v>0</v>
      </c>
      <c r="HW27" s="32">
        <v>0</v>
      </c>
      <c r="HX27" s="32">
        <v>0</v>
      </c>
      <c r="HY27" s="32">
        <v>0</v>
      </c>
      <c r="HZ27" s="32">
        <v>0</v>
      </c>
      <c r="IA27" s="32">
        <v>0</v>
      </c>
      <c r="IB27" s="32">
        <v>0</v>
      </c>
      <c r="IC27" s="32">
        <v>0</v>
      </c>
      <c r="ID27" s="32">
        <v>0</v>
      </c>
      <c r="IE27" s="69">
        <v>0</v>
      </c>
      <c r="IF27" s="38">
        <f t="shared" si="2"/>
        <v>0</v>
      </c>
      <c r="IG27" s="104">
        <v>0</v>
      </c>
      <c r="IH27" s="104">
        <v>0</v>
      </c>
      <c r="II27" s="104">
        <v>0</v>
      </c>
      <c r="IJ27" s="104">
        <v>0</v>
      </c>
      <c r="IK27" s="104">
        <v>0</v>
      </c>
      <c r="IL27" s="104">
        <v>0</v>
      </c>
      <c r="IM27" s="104">
        <v>0</v>
      </c>
      <c r="IN27" s="104">
        <v>0</v>
      </c>
      <c r="IO27" s="104">
        <v>0</v>
      </c>
      <c r="IP27" s="104">
        <v>0</v>
      </c>
      <c r="IQ27" s="104">
        <v>0</v>
      </c>
      <c r="IR27" s="107">
        <v>0</v>
      </c>
      <c r="IS27" s="38">
        <f t="shared" si="3"/>
        <v>0</v>
      </c>
      <c r="IT27" s="36">
        <f t="shared" si="39"/>
        <v>0</v>
      </c>
      <c r="IU27" s="26"/>
      <c r="IV27" s="32">
        <v>0</v>
      </c>
      <c r="IW27" s="32">
        <v>0</v>
      </c>
      <c r="IX27" s="32">
        <v>0</v>
      </c>
      <c r="IY27" s="32">
        <v>0</v>
      </c>
      <c r="IZ27" s="32">
        <v>0</v>
      </c>
      <c r="JA27" s="32">
        <v>0</v>
      </c>
      <c r="JB27" s="32">
        <v>0</v>
      </c>
      <c r="JC27" s="32">
        <v>0</v>
      </c>
      <c r="JD27" s="32">
        <v>0</v>
      </c>
      <c r="JE27" s="32">
        <v>0</v>
      </c>
      <c r="JF27" s="32">
        <v>0</v>
      </c>
      <c r="JG27" s="32">
        <v>0</v>
      </c>
      <c r="JH27" s="38">
        <f t="shared" si="4"/>
        <v>0</v>
      </c>
      <c r="JI27" s="110">
        <v>0</v>
      </c>
      <c r="JJ27" s="32">
        <v>0</v>
      </c>
      <c r="JK27" s="32">
        <v>0</v>
      </c>
      <c r="JL27" s="32">
        <v>0</v>
      </c>
      <c r="JM27" s="32">
        <v>0</v>
      </c>
      <c r="JN27" s="32">
        <v>0</v>
      </c>
      <c r="JO27" s="32">
        <v>0</v>
      </c>
      <c r="JP27" s="32">
        <v>0</v>
      </c>
      <c r="JQ27" s="32">
        <v>0</v>
      </c>
      <c r="JR27" s="32">
        <v>0</v>
      </c>
      <c r="JS27" s="32">
        <v>0</v>
      </c>
      <c r="JT27" s="32">
        <v>0</v>
      </c>
      <c r="JU27" s="35">
        <f t="shared" si="5"/>
        <v>0</v>
      </c>
      <c r="JV27" s="40">
        <f t="shared" si="30"/>
        <v>0</v>
      </c>
      <c r="JW27" s="26"/>
      <c r="JX27" s="32">
        <v>0</v>
      </c>
      <c r="JY27" s="32">
        <v>0</v>
      </c>
      <c r="JZ27" s="32">
        <v>0</v>
      </c>
      <c r="KA27" s="32">
        <v>0</v>
      </c>
      <c r="KB27" s="32">
        <v>0</v>
      </c>
      <c r="KC27" s="32">
        <v>0</v>
      </c>
      <c r="KD27" s="32">
        <v>0</v>
      </c>
      <c r="KE27" s="32">
        <v>0</v>
      </c>
      <c r="KF27" s="32">
        <v>0</v>
      </c>
      <c r="KG27" s="32">
        <v>0</v>
      </c>
      <c r="KH27" s="32">
        <v>0</v>
      </c>
      <c r="KI27" s="32">
        <v>0</v>
      </c>
      <c r="KJ27" s="38">
        <f t="shared" si="6"/>
        <v>0</v>
      </c>
      <c r="KK27" s="32">
        <v>0</v>
      </c>
      <c r="KL27" s="32">
        <v>0</v>
      </c>
      <c r="KM27" s="32">
        <v>0</v>
      </c>
      <c r="KN27" s="32">
        <v>0</v>
      </c>
      <c r="KO27" s="32">
        <v>0</v>
      </c>
      <c r="KP27" s="32">
        <v>0</v>
      </c>
      <c r="KQ27" s="32">
        <v>0</v>
      </c>
      <c r="KR27" s="32">
        <v>0</v>
      </c>
      <c r="KS27" s="32">
        <v>0</v>
      </c>
      <c r="KT27" s="32">
        <v>0</v>
      </c>
      <c r="KU27" s="32">
        <v>0</v>
      </c>
      <c r="KV27" s="32">
        <v>0</v>
      </c>
      <c r="KW27" s="38">
        <f t="shared" si="7"/>
        <v>0</v>
      </c>
      <c r="KX27" s="36">
        <f t="shared" si="31"/>
        <v>0</v>
      </c>
      <c r="KY27" s="26"/>
      <c r="KZ27" s="32">
        <v>0</v>
      </c>
      <c r="LA27" s="32">
        <v>0</v>
      </c>
      <c r="LB27" s="32">
        <v>0</v>
      </c>
      <c r="LC27" s="32">
        <v>0</v>
      </c>
      <c r="LD27" s="32">
        <v>0</v>
      </c>
      <c r="LE27" s="32">
        <v>0</v>
      </c>
      <c r="LF27" s="32">
        <v>0</v>
      </c>
      <c r="LG27" s="32">
        <v>0</v>
      </c>
      <c r="LH27" s="32">
        <v>0</v>
      </c>
      <c r="LI27" s="32">
        <v>0</v>
      </c>
      <c r="LJ27" s="32">
        <v>0</v>
      </c>
      <c r="LK27" s="69">
        <v>0</v>
      </c>
      <c r="LL27" s="38">
        <f t="shared" si="32"/>
        <v>0</v>
      </c>
      <c r="LM27" s="26"/>
      <c r="LN27" s="71">
        <v>0</v>
      </c>
      <c r="LO27" s="71">
        <v>0</v>
      </c>
      <c r="LP27" s="71">
        <v>0</v>
      </c>
      <c r="LQ27" s="71">
        <v>0</v>
      </c>
      <c r="LR27" s="71">
        <v>0</v>
      </c>
      <c r="LS27" s="71">
        <v>0</v>
      </c>
      <c r="LT27" s="71">
        <v>0</v>
      </c>
      <c r="LU27" s="45">
        <v>0</v>
      </c>
      <c r="LV27" s="45">
        <v>0</v>
      </c>
      <c r="LW27" s="45">
        <v>0</v>
      </c>
      <c r="LX27" s="45">
        <v>0</v>
      </c>
      <c r="LY27" s="45">
        <v>0</v>
      </c>
      <c r="LZ27" s="38">
        <f t="shared" si="8"/>
        <v>0</v>
      </c>
      <c r="MA27" s="26"/>
      <c r="MB27" s="45">
        <v>0</v>
      </c>
      <c r="MC27" s="45">
        <v>0</v>
      </c>
      <c r="MD27" s="45">
        <v>0</v>
      </c>
      <c r="ME27" s="45">
        <v>0</v>
      </c>
      <c r="MF27" s="45">
        <v>0</v>
      </c>
      <c r="MG27" s="45">
        <v>0</v>
      </c>
      <c r="MH27" s="45">
        <v>0</v>
      </c>
      <c r="MI27" s="45">
        <v>0</v>
      </c>
      <c r="MJ27" s="45">
        <v>0</v>
      </c>
      <c r="MK27" s="45">
        <v>0</v>
      </c>
      <c r="ML27" s="45">
        <v>0</v>
      </c>
      <c r="MM27" s="45">
        <v>0</v>
      </c>
      <c r="MN27" s="38">
        <f t="shared" si="9"/>
        <v>0</v>
      </c>
      <c r="MO27" s="32">
        <v>0</v>
      </c>
      <c r="MP27" s="32">
        <v>0</v>
      </c>
      <c r="MQ27" s="32">
        <v>0</v>
      </c>
      <c r="MR27" s="32">
        <v>0</v>
      </c>
      <c r="MS27" s="32">
        <v>0</v>
      </c>
      <c r="MT27" s="32">
        <v>0</v>
      </c>
      <c r="MU27" s="32">
        <v>0</v>
      </c>
      <c r="MV27" s="32">
        <v>0</v>
      </c>
      <c r="MW27" s="32">
        <v>0</v>
      </c>
      <c r="MX27" s="32">
        <v>0</v>
      </c>
      <c r="MY27" s="32">
        <v>0</v>
      </c>
      <c r="MZ27" s="32">
        <v>0</v>
      </c>
      <c r="NA27" s="38">
        <f t="shared" si="10"/>
        <v>0</v>
      </c>
      <c r="NB27" s="36">
        <f t="shared" si="33"/>
        <v>0</v>
      </c>
      <c r="NC27" s="26"/>
      <c r="ND27" s="32">
        <v>0</v>
      </c>
      <c r="NE27" s="32">
        <v>0</v>
      </c>
      <c r="NF27" s="32">
        <v>0</v>
      </c>
      <c r="NG27" s="32">
        <v>0</v>
      </c>
      <c r="NH27" s="32">
        <v>0</v>
      </c>
      <c r="NI27" s="32">
        <v>0</v>
      </c>
      <c r="NJ27" s="32">
        <v>0</v>
      </c>
      <c r="NK27" s="32">
        <v>0</v>
      </c>
      <c r="NL27" s="32">
        <v>0</v>
      </c>
      <c r="NM27" s="32">
        <v>0</v>
      </c>
      <c r="NN27" s="32">
        <v>0</v>
      </c>
      <c r="NO27" s="32">
        <v>0</v>
      </c>
      <c r="NP27" s="118">
        <f t="shared" si="11"/>
        <v>0</v>
      </c>
      <c r="NQ27" s="36">
        <f t="shared" si="34"/>
        <v>0</v>
      </c>
      <c r="NR27" s="36">
        <f t="shared" si="35"/>
        <v>0</v>
      </c>
      <c r="NS27" s="36">
        <f t="shared" si="36"/>
        <v>0</v>
      </c>
      <c r="NT27" s="36">
        <f t="shared" si="37"/>
        <v>0</v>
      </c>
      <c r="NU27" s="18"/>
      <c r="NV27" s="18"/>
      <c r="NW27" s="18"/>
      <c r="NX27" s="19"/>
      <c r="NY27" s="19"/>
      <c r="NZ27" s="19"/>
      <c r="OA27" s="19"/>
      <c r="OB27" s="19"/>
      <c r="OC27" s="19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8"/>
      <c r="OR27" s="18"/>
      <c r="OS27" s="18"/>
      <c r="OT27" s="18"/>
      <c r="OU27" s="18"/>
      <c r="OV27" s="18"/>
      <c r="OW27" s="18"/>
      <c r="OX27" s="19"/>
      <c r="OY27" s="19"/>
      <c r="OZ27" s="19"/>
      <c r="PA27" s="19"/>
      <c r="PB27" s="19"/>
      <c r="PC27" s="19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8"/>
      <c r="PR27" s="18"/>
      <c r="PS27" s="18"/>
      <c r="PT27" s="18"/>
      <c r="PU27" s="18"/>
      <c r="PV27" s="18"/>
      <c r="PW27" s="18"/>
      <c r="PX27" s="19"/>
      <c r="PY27" s="19"/>
      <c r="PZ27" s="19"/>
      <c r="QA27" s="19"/>
      <c r="QB27" s="19"/>
      <c r="QC27" s="19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</row>
    <row r="28" spans="1:458" s="1" customFormat="1" ht="50.1" customHeight="1" x14ac:dyDescent="0.25">
      <c r="A28" s="120">
        <v>2020</v>
      </c>
      <c r="B28" s="6" t="s">
        <v>17</v>
      </c>
      <c r="C28" s="23"/>
      <c r="D28" s="41">
        <v>3987</v>
      </c>
      <c r="E28" s="41">
        <v>3653</v>
      </c>
      <c r="F28" s="41">
        <v>2816</v>
      </c>
      <c r="G28" s="41">
        <v>989</v>
      </c>
      <c r="H28" s="41">
        <v>816</v>
      </c>
      <c r="I28" s="41">
        <v>624</v>
      </c>
      <c r="J28" s="41">
        <v>962</v>
      </c>
      <c r="K28" s="41">
        <v>1235</v>
      </c>
      <c r="L28" s="41">
        <v>1223</v>
      </c>
      <c r="M28" s="41">
        <v>1638</v>
      </c>
      <c r="N28" s="41">
        <v>1514</v>
      </c>
      <c r="O28" s="41">
        <v>1423</v>
      </c>
      <c r="P28" s="38">
        <f t="shared" si="12"/>
        <v>20880</v>
      </c>
      <c r="Q28" s="49">
        <v>5418</v>
      </c>
      <c r="R28" s="49">
        <v>5520</v>
      </c>
      <c r="S28" s="49">
        <v>7301</v>
      </c>
      <c r="T28" s="49">
        <v>6779</v>
      </c>
      <c r="U28" s="49">
        <v>2344</v>
      </c>
      <c r="V28" s="49">
        <v>4102</v>
      </c>
      <c r="W28" s="49">
        <v>3655</v>
      </c>
      <c r="X28" s="49">
        <v>3161</v>
      </c>
      <c r="Y28" s="49">
        <v>3148</v>
      </c>
      <c r="Z28" s="49">
        <v>3148</v>
      </c>
      <c r="AA28" s="49">
        <v>4580</v>
      </c>
      <c r="AB28" s="49">
        <v>3333</v>
      </c>
      <c r="AC28" s="38">
        <f>SUM(Q28:AB28)</f>
        <v>52489</v>
      </c>
      <c r="AD28" s="36">
        <f>SUM(P28+AC28)</f>
        <v>73369</v>
      </c>
      <c r="AE28" s="26"/>
      <c r="AF28" s="32">
        <v>144</v>
      </c>
      <c r="AG28" s="32">
        <v>147</v>
      </c>
      <c r="AH28" s="32">
        <v>151</v>
      </c>
      <c r="AI28" s="32">
        <v>138</v>
      </c>
      <c r="AJ28" s="32">
        <v>160</v>
      </c>
      <c r="AK28" s="32">
        <v>154</v>
      </c>
      <c r="AL28" s="32">
        <v>164</v>
      </c>
      <c r="AM28" s="32">
        <v>141</v>
      </c>
      <c r="AN28" s="32">
        <v>153</v>
      </c>
      <c r="AO28" s="32">
        <v>147</v>
      </c>
      <c r="AP28" s="32">
        <v>139</v>
      </c>
      <c r="AQ28" s="32">
        <v>152</v>
      </c>
      <c r="AR28" s="38">
        <f t="shared" si="14"/>
        <v>1790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8">
        <f t="shared" si="15"/>
        <v>0</v>
      </c>
      <c r="BF28" s="36">
        <f t="shared" si="16"/>
        <v>1790</v>
      </c>
      <c r="BG28" s="26"/>
      <c r="BH28" s="41">
        <v>28</v>
      </c>
      <c r="BI28" s="41">
        <v>36</v>
      </c>
      <c r="BJ28" s="41">
        <v>34</v>
      </c>
      <c r="BK28" s="41">
        <v>28</v>
      </c>
      <c r="BL28" s="41">
        <v>36</v>
      </c>
      <c r="BM28" s="41">
        <v>27</v>
      </c>
      <c r="BN28" s="41">
        <v>34</v>
      </c>
      <c r="BO28" s="41">
        <v>37</v>
      </c>
      <c r="BP28" s="41">
        <v>29</v>
      </c>
      <c r="BQ28" s="41">
        <v>45</v>
      </c>
      <c r="BR28" s="41">
        <v>51</v>
      </c>
      <c r="BS28" s="41">
        <v>43</v>
      </c>
      <c r="BT28" s="38">
        <f t="shared" si="17"/>
        <v>428</v>
      </c>
      <c r="BU28" s="54">
        <v>678</v>
      </c>
      <c r="BV28" s="54">
        <v>714</v>
      </c>
      <c r="BW28" s="54">
        <v>699</v>
      </c>
      <c r="BX28" s="54">
        <v>296</v>
      </c>
      <c r="BY28" s="54">
        <v>273</v>
      </c>
      <c r="BZ28" s="54">
        <v>479</v>
      </c>
      <c r="CA28" s="54">
        <v>529</v>
      </c>
      <c r="CB28" s="54">
        <v>591</v>
      </c>
      <c r="CC28" s="54">
        <v>671</v>
      </c>
      <c r="CD28" s="54">
        <v>680</v>
      </c>
      <c r="CE28" s="54">
        <v>706</v>
      </c>
      <c r="CF28" s="54">
        <v>597</v>
      </c>
      <c r="CG28" s="38">
        <f t="shared" si="18"/>
        <v>6913</v>
      </c>
      <c r="CH28" s="36">
        <f t="shared" si="19"/>
        <v>7341</v>
      </c>
      <c r="CI28" s="26"/>
      <c r="CJ28" s="32">
        <v>470</v>
      </c>
      <c r="CK28" s="32">
        <v>1000</v>
      </c>
      <c r="CL28" s="32">
        <v>965</v>
      </c>
      <c r="CM28" s="32">
        <v>880</v>
      </c>
      <c r="CN28" s="32">
        <v>442</v>
      </c>
      <c r="CO28" s="32">
        <v>367</v>
      </c>
      <c r="CP28" s="32">
        <v>481</v>
      </c>
      <c r="CQ28" s="32">
        <v>862</v>
      </c>
      <c r="CR28" s="32">
        <v>423</v>
      </c>
      <c r="CS28" s="32">
        <v>660</v>
      </c>
      <c r="CT28" s="32">
        <v>534</v>
      </c>
      <c r="CU28" s="32">
        <v>573</v>
      </c>
      <c r="CV28" s="38">
        <f t="shared" si="20"/>
        <v>7657</v>
      </c>
      <c r="CW28" s="54">
        <v>1906</v>
      </c>
      <c r="CX28" s="54">
        <v>1530</v>
      </c>
      <c r="CY28" s="54">
        <v>1312</v>
      </c>
      <c r="CZ28" s="54">
        <v>1060</v>
      </c>
      <c r="DA28" s="54">
        <v>1256</v>
      </c>
      <c r="DB28" s="54">
        <v>1392</v>
      </c>
      <c r="DC28" s="54">
        <v>1623</v>
      </c>
      <c r="DD28" s="54">
        <v>1500</v>
      </c>
      <c r="DE28" s="54">
        <v>1403</v>
      </c>
      <c r="DF28" s="54">
        <v>1982</v>
      </c>
      <c r="DG28" s="54">
        <v>1050</v>
      </c>
      <c r="DH28" s="54">
        <v>1014</v>
      </c>
      <c r="DI28" s="38">
        <f t="shared" si="21"/>
        <v>17028</v>
      </c>
      <c r="DJ28" s="36">
        <f t="shared" si="22"/>
        <v>24685</v>
      </c>
      <c r="DK28" s="26"/>
      <c r="DL28" s="75">
        <v>713</v>
      </c>
      <c r="DM28" s="75">
        <v>586</v>
      </c>
      <c r="DN28" s="75">
        <v>551</v>
      </c>
      <c r="DO28" s="75">
        <v>570</v>
      </c>
      <c r="DP28" s="75">
        <v>223</v>
      </c>
      <c r="DQ28" s="75">
        <v>425</v>
      </c>
      <c r="DR28" s="75">
        <v>378</v>
      </c>
      <c r="DS28" s="75">
        <v>485</v>
      </c>
      <c r="DT28" s="75">
        <v>422</v>
      </c>
      <c r="DU28" s="75">
        <v>471</v>
      </c>
      <c r="DV28" s="75">
        <v>506</v>
      </c>
      <c r="DW28" s="75">
        <v>621</v>
      </c>
      <c r="DX28" s="38">
        <f t="shared" si="0"/>
        <v>5951</v>
      </c>
      <c r="DY28" s="64">
        <v>2089</v>
      </c>
      <c r="DZ28" s="64">
        <v>1585</v>
      </c>
      <c r="EA28" s="64">
        <v>1285</v>
      </c>
      <c r="EB28" s="64">
        <v>712</v>
      </c>
      <c r="EC28" s="64">
        <v>648</v>
      </c>
      <c r="ED28" s="64">
        <v>665</v>
      </c>
      <c r="EE28" s="64">
        <v>915</v>
      </c>
      <c r="EF28" s="64">
        <v>1029</v>
      </c>
      <c r="EG28" s="64">
        <v>1142</v>
      </c>
      <c r="EH28" s="64">
        <v>1260</v>
      </c>
      <c r="EI28" s="64">
        <v>1287</v>
      </c>
      <c r="EJ28" s="64">
        <v>1311</v>
      </c>
      <c r="EK28" s="38">
        <f t="shared" si="23"/>
        <v>13928</v>
      </c>
      <c r="EL28" s="36">
        <f t="shared" si="1"/>
        <v>19879</v>
      </c>
      <c r="EM28" s="26"/>
      <c r="EN28" s="32">
        <v>3076</v>
      </c>
      <c r="EO28" s="32">
        <v>2328</v>
      </c>
      <c r="EP28" s="32">
        <v>2654</v>
      </c>
      <c r="EQ28" s="32">
        <v>1007</v>
      </c>
      <c r="ER28" s="32">
        <v>931</v>
      </c>
      <c r="ES28" s="32">
        <v>922</v>
      </c>
      <c r="ET28" s="32">
        <v>1351</v>
      </c>
      <c r="EU28" s="32">
        <v>1257</v>
      </c>
      <c r="EV28" s="32">
        <v>1314</v>
      </c>
      <c r="EW28" s="32">
        <v>1442</v>
      </c>
      <c r="EX28" s="32">
        <v>1411</v>
      </c>
      <c r="EY28" s="32">
        <v>1289</v>
      </c>
      <c r="EZ28" s="38">
        <f t="shared" si="24"/>
        <v>18982</v>
      </c>
      <c r="FA28" s="26"/>
      <c r="FB28" s="104">
        <v>3889</v>
      </c>
      <c r="FC28" s="104">
        <v>2438</v>
      </c>
      <c r="FD28" s="104">
        <v>1902</v>
      </c>
      <c r="FE28" s="104">
        <v>962</v>
      </c>
      <c r="FF28" s="104">
        <v>842</v>
      </c>
      <c r="FG28" s="104">
        <v>967</v>
      </c>
      <c r="FH28" s="104">
        <v>1224</v>
      </c>
      <c r="FI28" s="104">
        <v>1375</v>
      </c>
      <c r="FJ28" s="104">
        <v>1525</v>
      </c>
      <c r="FK28" s="104">
        <v>2049</v>
      </c>
      <c r="FL28" s="104">
        <v>1584</v>
      </c>
      <c r="FM28" s="104">
        <v>1600</v>
      </c>
      <c r="FN28" s="38">
        <f t="shared" si="25"/>
        <v>20357</v>
      </c>
      <c r="FO28" s="26"/>
      <c r="FP28" s="32">
        <v>944</v>
      </c>
      <c r="FQ28" s="32">
        <v>856</v>
      </c>
      <c r="FR28" s="32">
        <v>874</v>
      </c>
      <c r="FS28" s="32">
        <v>399</v>
      </c>
      <c r="FT28" s="32">
        <v>564</v>
      </c>
      <c r="FU28" s="32">
        <v>688</v>
      </c>
      <c r="FV28" s="32">
        <v>846</v>
      </c>
      <c r="FW28" s="32">
        <v>788</v>
      </c>
      <c r="FX28" s="32">
        <v>850</v>
      </c>
      <c r="FY28" s="32">
        <v>729</v>
      </c>
      <c r="FZ28" s="32">
        <v>828</v>
      </c>
      <c r="GA28" s="32">
        <v>864</v>
      </c>
      <c r="GB28" s="38">
        <f t="shared" si="26"/>
        <v>9230</v>
      </c>
      <c r="GC28" s="26"/>
      <c r="GD28" s="101">
        <v>1920</v>
      </c>
      <c r="GE28" s="101">
        <v>1891</v>
      </c>
      <c r="GF28" s="101">
        <v>1941</v>
      </c>
      <c r="GG28" s="101">
        <v>373</v>
      </c>
      <c r="GH28" s="101">
        <v>414</v>
      </c>
      <c r="GI28" s="101">
        <v>398</v>
      </c>
      <c r="GJ28" s="101">
        <v>392</v>
      </c>
      <c r="GK28" s="101">
        <v>427</v>
      </c>
      <c r="GL28" s="101">
        <v>932</v>
      </c>
      <c r="GM28" s="101">
        <v>1366</v>
      </c>
      <c r="GN28" s="101">
        <v>1757</v>
      </c>
      <c r="GO28" s="101">
        <v>1743</v>
      </c>
      <c r="GP28" s="38">
        <f t="shared" si="27"/>
        <v>13554</v>
      </c>
      <c r="GQ28" s="26"/>
      <c r="GR28" s="32">
        <v>1060</v>
      </c>
      <c r="GS28" s="32">
        <v>910</v>
      </c>
      <c r="GT28" s="32">
        <v>955</v>
      </c>
      <c r="GU28" s="32">
        <v>431</v>
      </c>
      <c r="GV28" s="32">
        <v>388</v>
      </c>
      <c r="GW28" s="32">
        <v>526</v>
      </c>
      <c r="GX28" s="32">
        <v>611</v>
      </c>
      <c r="GY28" s="32">
        <v>638</v>
      </c>
      <c r="GZ28" s="32">
        <v>680</v>
      </c>
      <c r="HA28" s="32">
        <v>613</v>
      </c>
      <c r="HB28" s="32">
        <v>594</v>
      </c>
      <c r="HC28" s="32">
        <v>589</v>
      </c>
      <c r="HD28" s="38">
        <f t="shared" si="28"/>
        <v>7995</v>
      </c>
      <c r="HE28" s="26"/>
      <c r="HF28" s="54">
        <v>2945</v>
      </c>
      <c r="HG28" s="54">
        <v>3064</v>
      </c>
      <c r="HH28" s="54">
        <v>2784</v>
      </c>
      <c r="HI28" s="54">
        <v>1581</v>
      </c>
      <c r="HJ28" s="54">
        <v>1371</v>
      </c>
      <c r="HK28" s="54">
        <v>1580</v>
      </c>
      <c r="HL28" s="54">
        <v>1716</v>
      </c>
      <c r="HM28" s="54">
        <v>1786</v>
      </c>
      <c r="HN28" s="54">
        <v>1707</v>
      </c>
      <c r="HO28" s="54">
        <v>1855</v>
      </c>
      <c r="HP28" s="54">
        <v>1862</v>
      </c>
      <c r="HQ28" s="54">
        <v>1806</v>
      </c>
      <c r="HR28" s="38">
        <f t="shared" si="29"/>
        <v>24057</v>
      </c>
      <c r="HS28" s="26"/>
      <c r="HT28" s="32">
        <v>320</v>
      </c>
      <c r="HU28" s="32">
        <v>314</v>
      </c>
      <c r="HV28" s="32">
        <v>235</v>
      </c>
      <c r="HW28" s="32">
        <v>232</v>
      </c>
      <c r="HX28" s="32">
        <v>133</v>
      </c>
      <c r="HY28" s="32">
        <v>161</v>
      </c>
      <c r="HZ28" s="32">
        <v>183</v>
      </c>
      <c r="IA28" s="32">
        <v>206</v>
      </c>
      <c r="IB28" s="32">
        <v>259</v>
      </c>
      <c r="IC28" s="32">
        <v>177</v>
      </c>
      <c r="ID28" s="32">
        <v>161</v>
      </c>
      <c r="IE28" s="69">
        <v>150</v>
      </c>
      <c r="IF28" s="38">
        <f t="shared" si="2"/>
        <v>2531</v>
      </c>
      <c r="IG28" s="104">
        <v>1333</v>
      </c>
      <c r="IH28" s="104">
        <v>1197</v>
      </c>
      <c r="II28" s="104">
        <v>867</v>
      </c>
      <c r="IJ28" s="104">
        <v>409</v>
      </c>
      <c r="IK28" s="104">
        <v>431</v>
      </c>
      <c r="IL28" s="104">
        <v>608</v>
      </c>
      <c r="IM28" s="104">
        <v>553</v>
      </c>
      <c r="IN28" s="104">
        <v>517</v>
      </c>
      <c r="IO28" s="104">
        <v>628</v>
      </c>
      <c r="IP28" s="104">
        <v>787</v>
      </c>
      <c r="IQ28" s="104">
        <v>813</v>
      </c>
      <c r="IR28" s="107">
        <v>715</v>
      </c>
      <c r="IS28" s="38">
        <f t="shared" si="3"/>
        <v>8858</v>
      </c>
      <c r="IT28" s="36">
        <f t="shared" si="39"/>
        <v>11389</v>
      </c>
      <c r="IU28" s="26"/>
      <c r="IV28" s="32">
        <v>302</v>
      </c>
      <c r="IW28" s="32">
        <v>352</v>
      </c>
      <c r="IX28" s="32">
        <v>296</v>
      </c>
      <c r="IY28" s="32">
        <v>284</v>
      </c>
      <c r="IZ28" s="32">
        <v>318</v>
      </c>
      <c r="JA28" s="32">
        <v>264</v>
      </c>
      <c r="JB28" s="32">
        <v>306</v>
      </c>
      <c r="JC28" s="32">
        <v>329</v>
      </c>
      <c r="JD28" s="32">
        <v>386</v>
      </c>
      <c r="JE28" s="32">
        <v>280</v>
      </c>
      <c r="JF28" s="32">
        <v>275</v>
      </c>
      <c r="JG28" s="32">
        <v>342</v>
      </c>
      <c r="JH28" s="38">
        <f t="shared" si="4"/>
        <v>3734</v>
      </c>
      <c r="JI28" s="109">
        <v>3912</v>
      </c>
      <c r="JJ28" s="97">
        <v>3914.4</v>
      </c>
      <c r="JK28" s="97">
        <v>2392</v>
      </c>
      <c r="JL28" s="97">
        <v>1682.4</v>
      </c>
      <c r="JM28" s="97">
        <v>1853.6000000000001</v>
      </c>
      <c r="JN28" s="97">
        <v>1988</v>
      </c>
      <c r="JO28" s="97">
        <v>1012.8000000000001</v>
      </c>
      <c r="JP28" s="97">
        <v>1888.8000000000002</v>
      </c>
      <c r="JQ28" s="97">
        <v>1648.8000000000002</v>
      </c>
      <c r="JR28" s="97">
        <v>1768.8000000000002</v>
      </c>
      <c r="JS28" s="97">
        <v>2336.8000000000002</v>
      </c>
      <c r="JT28" s="97">
        <v>2033.6000000000001</v>
      </c>
      <c r="JU28" s="35">
        <f t="shared" si="5"/>
        <v>26431.999999999996</v>
      </c>
      <c r="JV28" s="40">
        <f t="shared" si="30"/>
        <v>30165.999999999996</v>
      </c>
      <c r="JW28" s="26"/>
      <c r="JX28" s="32">
        <v>542</v>
      </c>
      <c r="JY28" s="32">
        <v>473</v>
      </c>
      <c r="JZ28" s="32">
        <v>433</v>
      </c>
      <c r="KA28" s="32">
        <v>196</v>
      </c>
      <c r="KB28" s="32">
        <v>203</v>
      </c>
      <c r="KC28" s="32">
        <v>292</v>
      </c>
      <c r="KD28" s="32">
        <v>378</v>
      </c>
      <c r="KE28" s="32">
        <v>281</v>
      </c>
      <c r="KF28" s="32">
        <v>319</v>
      </c>
      <c r="KG28" s="32">
        <v>180</v>
      </c>
      <c r="KH28" s="32">
        <v>134</v>
      </c>
      <c r="KI28" s="32">
        <v>262</v>
      </c>
      <c r="KJ28" s="38">
        <f t="shared" si="6"/>
        <v>3693</v>
      </c>
      <c r="KK28" s="32">
        <v>621</v>
      </c>
      <c r="KL28" s="32">
        <v>567</v>
      </c>
      <c r="KM28" s="32">
        <v>1212</v>
      </c>
      <c r="KN28" s="32">
        <v>577</v>
      </c>
      <c r="KO28" s="32">
        <v>544</v>
      </c>
      <c r="KP28" s="32">
        <v>685</v>
      </c>
      <c r="KQ28" s="32">
        <v>851</v>
      </c>
      <c r="KR28" s="32">
        <v>727</v>
      </c>
      <c r="KS28" s="32">
        <v>763</v>
      </c>
      <c r="KT28" s="32">
        <v>959</v>
      </c>
      <c r="KU28" s="32">
        <v>872</v>
      </c>
      <c r="KV28" s="32">
        <v>793</v>
      </c>
      <c r="KW28" s="38">
        <f t="shared" si="7"/>
        <v>9171</v>
      </c>
      <c r="KX28" s="36">
        <f t="shared" si="31"/>
        <v>12864</v>
      </c>
      <c r="KY28" s="26"/>
      <c r="KZ28" s="101">
        <v>198</v>
      </c>
      <c r="LA28" s="101">
        <v>175</v>
      </c>
      <c r="LB28" s="101">
        <v>186</v>
      </c>
      <c r="LC28" s="101">
        <v>192</v>
      </c>
      <c r="LD28" s="101">
        <v>234</v>
      </c>
      <c r="LE28" s="101">
        <v>315</v>
      </c>
      <c r="LF28" s="101">
        <v>246</v>
      </c>
      <c r="LG28" s="101">
        <v>219</v>
      </c>
      <c r="LH28" s="101">
        <v>423</v>
      </c>
      <c r="LI28" s="101">
        <v>456</v>
      </c>
      <c r="LJ28" s="101">
        <v>476</v>
      </c>
      <c r="LK28" s="115">
        <v>428</v>
      </c>
      <c r="LL28" s="38">
        <f t="shared" si="32"/>
        <v>3548</v>
      </c>
      <c r="LM28" s="26"/>
      <c r="LN28" s="71">
        <v>4670</v>
      </c>
      <c r="LO28" s="71">
        <v>5684</v>
      </c>
      <c r="LP28" s="71">
        <v>5432</v>
      </c>
      <c r="LQ28" s="71">
        <v>6289</v>
      </c>
      <c r="LR28" s="71">
        <v>5656</v>
      </c>
      <c r="LS28" s="71">
        <v>6461</v>
      </c>
      <c r="LT28" s="71">
        <v>6809</v>
      </c>
      <c r="LU28" s="45">
        <v>3227</v>
      </c>
      <c r="LV28" s="45">
        <v>2903</v>
      </c>
      <c r="LW28" s="45">
        <v>3529</v>
      </c>
      <c r="LX28" s="45">
        <v>3174</v>
      </c>
      <c r="LY28" s="45">
        <v>3486</v>
      </c>
      <c r="LZ28" s="38">
        <f t="shared" si="8"/>
        <v>57320</v>
      </c>
      <c r="MA28" s="26"/>
      <c r="MB28" s="45">
        <v>6168</v>
      </c>
      <c r="MC28" s="45">
        <v>5125</v>
      </c>
      <c r="MD28" s="45">
        <v>4443</v>
      </c>
      <c r="ME28" s="45">
        <v>3051</v>
      </c>
      <c r="MF28" s="45">
        <v>1435</v>
      </c>
      <c r="MG28" s="45">
        <v>1901</v>
      </c>
      <c r="MH28" s="45">
        <v>2127</v>
      </c>
      <c r="MI28" s="45">
        <v>1899</v>
      </c>
      <c r="MJ28" s="45">
        <v>2130</v>
      </c>
      <c r="MK28" s="45">
        <v>3167</v>
      </c>
      <c r="ML28" s="45">
        <v>3044</v>
      </c>
      <c r="MM28" s="45">
        <v>2752</v>
      </c>
      <c r="MN28" s="38">
        <f t="shared" si="9"/>
        <v>37242</v>
      </c>
      <c r="MO28" s="32">
        <v>4510</v>
      </c>
      <c r="MP28" s="32">
        <v>3091</v>
      </c>
      <c r="MQ28" s="32">
        <v>2259</v>
      </c>
      <c r="MR28" s="32">
        <v>963</v>
      </c>
      <c r="MS28" s="32">
        <v>1551</v>
      </c>
      <c r="MT28" s="32">
        <v>1603</v>
      </c>
      <c r="MU28" s="32">
        <v>1500</v>
      </c>
      <c r="MV28" s="32">
        <v>1754</v>
      </c>
      <c r="MW28" s="32">
        <v>1938</v>
      </c>
      <c r="MX28" s="32">
        <v>2352</v>
      </c>
      <c r="MY28" s="32">
        <v>2480</v>
      </c>
      <c r="MZ28" s="32">
        <v>2496</v>
      </c>
      <c r="NA28" s="38">
        <f t="shared" si="10"/>
        <v>26497</v>
      </c>
      <c r="NB28" s="36">
        <f t="shared" si="33"/>
        <v>63739</v>
      </c>
      <c r="NC28" s="26"/>
      <c r="ND28" s="32">
        <v>1074</v>
      </c>
      <c r="NE28" s="32">
        <v>1030</v>
      </c>
      <c r="NF28" s="32">
        <v>799</v>
      </c>
      <c r="NG28" s="32">
        <v>297</v>
      </c>
      <c r="NH28" s="32">
        <v>335</v>
      </c>
      <c r="NI28" s="32">
        <v>501</v>
      </c>
      <c r="NJ28" s="32">
        <v>441</v>
      </c>
      <c r="NK28" s="32">
        <v>485</v>
      </c>
      <c r="NL28" s="32">
        <v>618</v>
      </c>
      <c r="NM28" s="32">
        <v>594</v>
      </c>
      <c r="NN28" s="32">
        <v>745</v>
      </c>
      <c r="NO28" s="32">
        <v>774</v>
      </c>
      <c r="NP28" s="118">
        <f t="shared" si="11"/>
        <v>7693</v>
      </c>
      <c r="NQ28" s="36">
        <f t="shared" si="34"/>
        <v>50925</v>
      </c>
      <c r="NR28" s="36">
        <f t="shared" si="35"/>
        <v>251615</v>
      </c>
      <c r="NS28" s="36">
        <f t="shared" si="36"/>
        <v>105418</v>
      </c>
      <c r="NT28" s="36">
        <f t="shared" si="37"/>
        <v>407958</v>
      </c>
      <c r="NU28" s="18"/>
      <c r="NV28" s="18"/>
      <c r="NW28" s="18"/>
      <c r="NX28" s="19"/>
      <c r="NY28" s="19"/>
      <c r="NZ28" s="19"/>
      <c r="OA28" s="19"/>
      <c r="OB28" s="19"/>
      <c r="OC28" s="19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8"/>
      <c r="OR28" s="18"/>
      <c r="OS28" s="18"/>
      <c r="OT28" s="18"/>
      <c r="OU28" s="18"/>
      <c r="OV28" s="18"/>
      <c r="OW28" s="18"/>
      <c r="OX28" s="19"/>
      <c r="OY28" s="19"/>
      <c r="OZ28" s="19"/>
      <c r="PA28" s="19"/>
      <c r="PB28" s="19"/>
      <c r="PC28" s="19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8"/>
      <c r="PR28" s="18"/>
      <c r="PS28" s="18"/>
      <c r="PT28" s="18"/>
      <c r="PU28" s="18"/>
      <c r="PV28" s="18"/>
      <c r="PW28" s="18"/>
      <c r="PX28" s="19"/>
      <c r="PY28" s="19"/>
      <c r="PZ28" s="19"/>
      <c r="QA28" s="19"/>
      <c r="QB28" s="19"/>
      <c r="QC28" s="19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</row>
    <row r="29" spans="1:458" s="1" customFormat="1" ht="50.1" customHeight="1" x14ac:dyDescent="0.25">
      <c r="A29" s="120"/>
      <c r="B29" s="6" t="s">
        <v>18</v>
      </c>
      <c r="C29" s="23"/>
      <c r="D29" s="41">
        <v>373</v>
      </c>
      <c r="E29" s="41">
        <v>441</v>
      </c>
      <c r="F29" s="41">
        <v>138</v>
      </c>
      <c r="G29" s="41">
        <v>112</v>
      </c>
      <c r="H29" s="41">
        <v>78</v>
      </c>
      <c r="I29" s="41">
        <v>54</v>
      </c>
      <c r="J29" s="41">
        <v>34</v>
      </c>
      <c r="K29" s="41">
        <v>31</v>
      </c>
      <c r="L29" s="41">
        <v>54</v>
      </c>
      <c r="M29" s="41">
        <v>54</v>
      </c>
      <c r="N29" s="41">
        <v>39</v>
      </c>
      <c r="O29" s="41">
        <v>75</v>
      </c>
      <c r="P29" s="38">
        <f t="shared" si="12"/>
        <v>1483</v>
      </c>
      <c r="Q29" s="49">
        <v>5900</v>
      </c>
      <c r="R29" s="49">
        <v>5645</v>
      </c>
      <c r="S29" s="49">
        <v>5846</v>
      </c>
      <c r="T29" s="49">
        <v>5362</v>
      </c>
      <c r="U29" s="49">
        <v>1179</v>
      </c>
      <c r="V29" s="49">
        <v>1286</v>
      </c>
      <c r="W29" s="49">
        <v>1616</v>
      </c>
      <c r="X29" s="49">
        <v>1957</v>
      </c>
      <c r="Y29" s="49">
        <v>3087</v>
      </c>
      <c r="Z29" s="49">
        <v>3087</v>
      </c>
      <c r="AA29" s="49">
        <v>2098</v>
      </c>
      <c r="AB29" s="49">
        <v>1816</v>
      </c>
      <c r="AC29" s="38">
        <f t="shared" si="38"/>
        <v>38879</v>
      </c>
      <c r="AD29" s="36">
        <f t="shared" si="13"/>
        <v>40362</v>
      </c>
      <c r="AE29" s="26"/>
      <c r="AF29" s="32">
        <v>3</v>
      </c>
      <c r="AG29" s="32">
        <v>2</v>
      </c>
      <c r="AH29" s="32">
        <v>5</v>
      </c>
      <c r="AI29" s="32">
        <v>3</v>
      </c>
      <c r="AJ29" s="32">
        <v>6</v>
      </c>
      <c r="AK29" s="32">
        <v>5</v>
      </c>
      <c r="AL29" s="32">
        <v>3</v>
      </c>
      <c r="AM29" s="32">
        <v>4</v>
      </c>
      <c r="AN29" s="32">
        <v>4</v>
      </c>
      <c r="AO29" s="32">
        <v>3</v>
      </c>
      <c r="AP29" s="32">
        <v>5</v>
      </c>
      <c r="AQ29" s="32">
        <v>7</v>
      </c>
      <c r="AR29" s="38">
        <f t="shared" si="14"/>
        <v>50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8">
        <f t="shared" si="15"/>
        <v>0</v>
      </c>
      <c r="BF29" s="36">
        <f t="shared" si="16"/>
        <v>50</v>
      </c>
      <c r="BG29" s="26"/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  <c r="BQ29" s="41">
        <v>0</v>
      </c>
      <c r="BR29" s="41">
        <v>0</v>
      </c>
      <c r="BS29" s="41">
        <v>0</v>
      </c>
      <c r="BT29" s="38">
        <f t="shared" si="17"/>
        <v>0</v>
      </c>
      <c r="BU29" s="54">
        <v>147</v>
      </c>
      <c r="BV29" s="54">
        <v>141</v>
      </c>
      <c r="BW29" s="54">
        <v>131</v>
      </c>
      <c r="BX29" s="54">
        <v>36</v>
      </c>
      <c r="BY29" s="54">
        <v>12</v>
      </c>
      <c r="BZ29" s="54">
        <v>22</v>
      </c>
      <c r="CA29" s="54">
        <v>36</v>
      </c>
      <c r="CB29" s="54">
        <v>33</v>
      </c>
      <c r="CC29" s="54">
        <v>29</v>
      </c>
      <c r="CD29" s="54">
        <v>62</v>
      </c>
      <c r="CE29" s="54">
        <v>49</v>
      </c>
      <c r="CF29" s="54">
        <v>51</v>
      </c>
      <c r="CG29" s="38">
        <f t="shared" si="18"/>
        <v>749</v>
      </c>
      <c r="CH29" s="36">
        <f t="shared" si="19"/>
        <v>749</v>
      </c>
      <c r="CI29" s="26"/>
      <c r="CJ29" s="32">
        <v>74</v>
      </c>
      <c r="CK29" s="32">
        <v>86</v>
      </c>
      <c r="CL29" s="32">
        <v>149</v>
      </c>
      <c r="CM29" s="32">
        <v>172</v>
      </c>
      <c r="CN29" s="32">
        <v>31</v>
      </c>
      <c r="CO29" s="32">
        <v>11</v>
      </c>
      <c r="CP29" s="32">
        <v>18</v>
      </c>
      <c r="CQ29" s="32">
        <v>45</v>
      </c>
      <c r="CR29" s="32">
        <v>33</v>
      </c>
      <c r="CS29" s="32">
        <v>36</v>
      </c>
      <c r="CT29" s="32">
        <v>45</v>
      </c>
      <c r="CU29" s="32">
        <v>57</v>
      </c>
      <c r="CV29" s="38">
        <f t="shared" si="20"/>
        <v>757</v>
      </c>
      <c r="CW29" s="54">
        <v>186</v>
      </c>
      <c r="CX29" s="54">
        <v>242</v>
      </c>
      <c r="CY29" s="54">
        <v>299</v>
      </c>
      <c r="CZ29" s="54">
        <v>92</v>
      </c>
      <c r="DA29" s="54">
        <v>121</v>
      </c>
      <c r="DB29" s="54">
        <v>92</v>
      </c>
      <c r="DC29" s="54">
        <v>164</v>
      </c>
      <c r="DD29" s="54">
        <v>107</v>
      </c>
      <c r="DE29" s="54">
        <v>90</v>
      </c>
      <c r="DF29" s="54">
        <v>132</v>
      </c>
      <c r="DG29" s="54">
        <v>113</v>
      </c>
      <c r="DH29" s="54">
        <v>165</v>
      </c>
      <c r="DI29" s="38">
        <f t="shared" si="21"/>
        <v>1803</v>
      </c>
      <c r="DJ29" s="36">
        <f t="shared" si="22"/>
        <v>2560</v>
      </c>
      <c r="DK29" s="26"/>
      <c r="DL29" s="75">
        <v>25</v>
      </c>
      <c r="DM29" s="75">
        <v>46</v>
      </c>
      <c r="DN29" s="75">
        <v>17</v>
      </c>
      <c r="DO29" s="75">
        <v>15</v>
      </c>
      <c r="DP29" s="75">
        <v>2</v>
      </c>
      <c r="DQ29" s="75">
        <v>6</v>
      </c>
      <c r="DR29" s="75">
        <v>9</v>
      </c>
      <c r="DS29" s="75">
        <v>1</v>
      </c>
      <c r="DT29" s="75">
        <v>7</v>
      </c>
      <c r="DU29" s="75">
        <v>0</v>
      </c>
      <c r="DV29" s="75">
        <v>3</v>
      </c>
      <c r="DW29" s="75">
        <v>0</v>
      </c>
      <c r="DX29" s="38">
        <f t="shared" si="0"/>
        <v>131</v>
      </c>
      <c r="DY29" s="64">
        <v>99</v>
      </c>
      <c r="DZ29" s="64">
        <v>139</v>
      </c>
      <c r="EA29" s="64">
        <v>164</v>
      </c>
      <c r="EB29" s="64">
        <v>65</v>
      </c>
      <c r="EC29" s="64">
        <v>32</v>
      </c>
      <c r="ED29" s="64">
        <v>19</v>
      </c>
      <c r="EE29" s="64">
        <v>43</v>
      </c>
      <c r="EF29" s="64">
        <v>100</v>
      </c>
      <c r="EG29" s="64">
        <v>71</v>
      </c>
      <c r="EH29" s="64">
        <v>37</v>
      </c>
      <c r="EI29" s="64">
        <v>47</v>
      </c>
      <c r="EJ29" s="64">
        <v>51</v>
      </c>
      <c r="EK29" s="38">
        <f t="shared" si="23"/>
        <v>867</v>
      </c>
      <c r="EL29" s="36">
        <f t="shared" si="1"/>
        <v>998</v>
      </c>
      <c r="EM29" s="26"/>
      <c r="EN29" s="32">
        <v>390</v>
      </c>
      <c r="EO29" s="32">
        <v>474</v>
      </c>
      <c r="EP29" s="32">
        <v>490</v>
      </c>
      <c r="EQ29" s="32">
        <v>163</v>
      </c>
      <c r="ER29" s="32">
        <v>57</v>
      </c>
      <c r="ES29" s="32">
        <v>58</v>
      </c>
      <c r="ET29" s="32">
        <v>62</v>
      </c>
      <c r="EU29" s="32">
        <v>78</v>
      </c>
      <c r="EV29" s="32">
        <v>130</v>
      </c>
      <c r="EW29" s="32">
        <v>63</v>
      </c>
      <c r="EX29" s="32">
        <v>30</v>
      </c>
      <c r="EY29" s="32">
        <v>151</v>
      </c>
      <c r="EZ29" s="38">
        <f t="shared" si="24"/>
        <v>2146</v>
      </c>
      <c r="FA29" s="26"/>
      <c r="FB29" s="104">
        <v>2073</v>
      </c>
      <c r="FC29" s="104">
        <v>1674</v>
      </c>
      <c r="FD29" s="104">
        <v>1511</v>
      </c>
      <c r="FE29" s="104">
        <v>252</v>
      </c>
      <c r="FF29" s="104">
        <v>271</v>
      </c>
      <c r="FG29" s="104">
        <v>303</v>
      </c>
      <c r="FH29" s="104">
        <v>409</v>
      </c>
      <c r="FI29" s="104">
        <v>545</v>
      </c>
      <c r="FJ29" s="104">
        <v>822</v>
      </c>
      <c r="FK29" s="104">
        <v>744</v>
      </c>
      <c r="FL29" s="104">
        <v>975</v>
      </c>
      <c r="FM29" s="104">
        <v>990</v>
      </c>
      <c r="FN29" s="38">
        <f t="shared" si="25"/>
        <v>10569</v>
      </c>
      <c r="FO29" s="26"/>
      <c r="FP29" s="32">
        <v>134</v>
      </c>
      <c r="FQ29" s="32">
        <v>119</v>
      </c>
      <c r="FR29" s="32">
        <v>214</v>
      </c>
      <c r="FS29" s="32">
        <v>60</v>
      </c>
      <c r="FT29" s="32">
        <v>35</v>
      </c>
      <c r="FU29" s="32">
        <v>14</v>
      </c>
      <c r="FV29" s="32">
        <v>36</v>
      </c>
      <c r="FW29" s="32">
        <v>57</v>
      </c>
      <c r="FX29" s="32">
        <v>63</v>
      </c>
      <c r="FY29" s="32">
        <v>45</v>
      </c>
      <c r="FZ29" s="32">
        <v>34</v>
      </c>
      <c r="GA29" s="32">
        <v>42</v>
      </c>
      <c r="GB29" s="38">
        <f t="shared" si="26"/>
        <v>853</v>
      </c>
      <c r="GC29" s="26"/>
      <c r="GD29" s="101">
        <v>266</v>
      </c>
      <c r="GE29" s="101">
        <v>254</v>
      </c>
      <c r="GF29" s="101">
        <v>172</v>
      </c>
      <c r="GG29" s="101">
        <v>121</v>
      </c>
      <c r="GH29" s="101">
        <v>65</v>
      </c>
      <c r="GI29" s="101">
        <v>134</v>
      </c>
      <c r="GJ29" s="101">
        <v>72</v>
      </c>
      <c r="GK29" s="101">
        <v>83</v>
      </c>
      <c r="GL29" s="101">
        <v>171</v>
      </c>
      <c r="GM29" s="101">
        <v>144</v>
      </c>
      <c r="GN29" s="101">
        <v>179</v>
      </c>
      <c r="GO29" s="101">
        <v>188</v>
      </c>
      <c r="GP29" s="38">
        <f t="shared" si="27"/>
        <v>1849</v>
      </c>
      <c r="GQ29" s="26"/>
      <c r="GR29" s="32">
        <v>106</v>
      </c>
      <c r="GS29" s="32">
        <v>91</v>
      </c>
      <c r="GT29" s="32">
        <v>61</v>
      </c>
      <c r="GU29" s="32">
        <v>63</v>
      </c>
      <c r="GV29" s="32">
        <v>13</v>
      </c>
      <c r="GW29" s="32">
        <v>11</v>
      </c>
      <c r="GX29" s="32">
        <v>21</v>
      </c>
      <c r="GY29" s="32">
        <v>18</v>
      </c>
      <c r="GZ29" s="32">
        <v>21</v>
      </c>
      <c r="HA29" s="32">
        <v>32</v>
      </c>
      <c r="HB29" s="32">
        <v>67</v>
      </c>
      <c r="HC29" s="32">
        <v>101</v>
      </c>
      <c r="HD29" s="38">
        <f t="shared" si="28"/>
        <v>605</v>
      </c>
      <c r="HE29" s="26"/>
      <c r="HF29" s="54">
        <v>451</v>
      </c>
      <c r="HG29" s="54">
        <v>655</v>
      </c>
      <c r="HH29" s="54">
        <v>551</v>
      </c>
      <c r="HI29" s="54">
        <v>237</v>
      </c>
      <c r="HJ29" s="54">
        <v>197</v>
      </c>
      <c r="HK29" s="54">
        <v>185</v>
      </c>
      <c r="HL29" s="54">
        <v>235</v>
      </c>
      <c r="HM29" s="54">
        <v>279</v>
      </c>
      <c r="HN29" s="54">
        <v>319</v>
      </c>
      <c r="HO29" s="54">
        <v>320</v>
      </c>
      <c r="HP29" s="54">
        <v>354</v>
      </c>
      <c r="HQ29" s="54">
        <v>315</v>
      </c>
      <c r="HR29" s="38">
        <f t="shared" si="29"/>
        <v>4098</v>
      </c>
      <c r="HS29" s="26"/>
      <c r="HT29" s="32">
        <v>6</v>
      </c>
      <c r="HU29" s="32">
        <v>6</v>
      </c>
      <c r="HV29" s="32">
        <v>3</v>
      </c>
      <c r="HW29" s="32">
        <v>2</v>
      </c>
      <c r="HX29" s="32">
        <v>3</v>
      </c>
      <c r="HY29" s="32">
        <v>0</v>
      </c>
      <c r="HZ29" s="32">
        <v>0</v>
      </c>
      <c r="IA29" s="32">
        <v>3</v>
      </c>
      <c r="IB29" s="32">
        <v>3</v>
      </c>
      <c r="IC29" s="32">
        <v>0</v>
      </c>
      <c r="ID29" s="32">
        <v>2</v>
      </c>
      <c r="IE29" s="69">
        <v>4</v>
      </c>
      <c r="IF29" s="38">
        <f t="shared" si="2"/>
        <v>32</v>
      </c>
      <c r="IG29" s="104">
        <v>212</v>
      </c>
      <c r="IH29" s="104">
        <v>147</v>
      </c>
      <c r="II29" s="104">
        <v>233</v>
      </c>
      <c r="IJ29" s="104">
        <v>66</v>
      </c>
      <c r="IK29" s="104">
        <v>64</v>
      </c>
      <c r="IL29" s="104">
        <v>35</v>
      </c>
      <c r="IM29" s="104">
        <v>54</v>
      </c>
      <c r="IN29" s="104">
        <v>57</v>
      </c>
      <c r="IO29" s="104">
        <v>41</v>
      </c>
      <c r="IP29" s="104">
        <v>144</v>
      </c>
      <c r="IQ29" s="104">
        <v>132</v>
      </c>
      <c r="IR29" s="107">
        <v>134</v>
      </c>
      <c r="IS29" s="38">
        <f t="shared" si="3"/>
        <v>1319</v>
      </c>
      <c r="IT29" s="36">
        <f t="shared" si="39"/>
        <v>1351</v>
      </c>
      <c r="IU29" s="26"/>
      <c r="IV29" s="32">
        <v>82</v>
      </c>
      <c r="IW29" s="32">
        <v>96</v>
      </c>
      <c r="IX29" s="32">
        <v>105</v>
      </c>
      <c r="IY29" s="32">
        <v>115</v>
      </c>
      <c r="IZ29" s="32">
        <v>132</v>
      </c>
      <c r="JA29" s="32">
        <v>109</v>
      </c>
      <c r="JB29" s="32">
        <v>142</v>
      </c>
      <c r="JC29" s="32">
        <v>146</v>
      </c>
      <c r="JD29" s="32">
        <v>126</v>
      </c>
      <c r="JE29" s="32">
        <v>109</v>
      </c>
      <c r="JF29" s="32">
        <v>96</v>
      </c>
      <c r="JG29" s="32">
        <v>106</v>
      </c>
      <c r="JH29" s="38">
        <f t="shared" si="4"/>
        <v>1364</v>
      </c>
      <c r="JI29" s="109">
        <v>478.40000000000003</v>
      </c>
      <c r="JJ29" s="97">
        <v>651.20000000000005</v>
      </c>
      <c r="JK29" s="97">
        <v>692</v>
      </c>
      <c r="JL29" s="97">
        <v>456</v>
      </c>
      <c r="JM29" s="97">
        <v>305.60000000000002</v>
      </c>
      <c r="JN29" s="97">
        <v>489.6</v>
      </c>
      <c r="JO29" s="97">
        <v>499.20000000000005</v>
      </c>
      <c r="JP29" s="97">
        <v>801.6</v>
      </c>
      <c r="JQ29" s="97">
        <v>916.80000000000007</v>
      </c>
      <c r="JR29" s="97">
        <v>977.6</v>
      </c>
      <c r="JS29" s="97">
        <v>1034.4000000000001</v>
      </c>
      <c r="JT29" s="97">
        <v>1049.6000000000001</v>
      </c>
      <c r="JU29" s="35">
        <f t="shared" si="5"/>
        <v>8352.0000000000018</v>
      </c>
      <c r="JV29" s="40">
        <f t="shared" si="30"/>
        <v>9716.0000000000018</v>
      </c>
      <c r="JW29" s="26"/>
      <c r="JX29" s="32">
        <v>33</v>
      </c>
      <c r="JY29" s="32">
        <v>36</v>
      </c>
      <c r="JZ29" s="32">
        <v>28</v>
      </c>
      <c r="KA29" s="32">
        <v>24</v>
      </c>
      <c r="KB29" s="32">
        <v>15</v>
      </c>
      <c r="KC29" s="32">
        <v>12</v>
      </c>
      <c r="KD29" s="32">
        <v>9</v>
      </c>
      <c r="KE29" s="32">
        <v>14</v>
      </c>
      <c r="KF29" s="32">
        <v>14</v>
      </c>
      <c r="KG29" s="32">
        <v>24</v>
      </c>
      <c r="KH29" s="32">
        <v>19</v>
      </c>
      <c r="KI29" s="32">
        <v>39</v>
      </c>
      <c r="KJ29" s="38">
        <f t="shared" si="6"/>
        <v>267</v>
      </c>
      <c r="KK29" s="32">
        <v>32</v>
      </c>
      <c r="KL29" s="32">
        <v>16</v>
      </c>
      <c r="KM29" s="32">
        <v>78</v>
      </c>
      <c r="KN29" s="32">
        <v>14</v>
      </c>
      <c r="KO29" s="32">
        <v>10</v>
      </c>
      <c r="KP29" s="32">
        <v>40</v>
      </c>
      <c r="KQ29" s="32">
        <v>36</v>
      </c>
      <c r="KR29" s="32">
        <v>35</v>
      </c>
      <c r="KS29" s="32">
        <v>69</v>
      </c>
      <c r="KT29" s="32">
        <v>64</v>
      </c>
      <c r="KU29" s="32">
        <v>80</v>
      </c>
      <c r="KV29" s="32">
        <v>67</v>
      </c>
      <c r="KW29" s="38">
        <f t="shared" si="7"/>
        <v>541</v>
      </c>
      <c r="KX29" s="36">
        <f t="shared" si="31"/>
        <v>808</v>
      </c>
      <c r="KY29" s="26"/>
      <c r="KZ29" s="101">
        <v>13</v>
      </c>
      <c r="LA29" s="101">
        <v>10</v>
      </c>
      <c r="LB29" s="101">
        <v>10</v>
      </c>
      <c r="LC29" s="101">
        <v>6</v>
      </c>
      <c r="LD29" s="101">
        <v>15</v>
      </c>
      <c r="LE29" s="101">
        <v>10</v>
      </c>
      <c r="LF29" s="101">
        <v>10</v>
      </c>
      <c r="LG29" s="101">
        <v>12</v>
      </c>
      <c r="LH29" s="101">
        <v>7</v>
      </c>
      <c r="LI29" s="101">
        <v>20</v>
      </c>
      <c r="LJ29" s="101">
        <v>20</v>
      </c>
      <c r="LK29" s="115">
        <v>15</v>
      </c>
      <c r="LL29" s="38">
        <f t="shared" si="32"/>
        <v>148</v>
      </c>
      <c r="LM29" s="26"/>
      <c r="LN29" s="71">
        <v>1018</v>
      </c>
      <c r="LO29" s="71">
        <v>1241</v>
      </c>
      <c r="LP29" s="71">
        <v>787</v>
      </c>
      <c r="LQ29" s="71">
        <v>631</v>
      </c>
      <c r="LR29" s="71">
        <v>791</v>
      </c>
      <c r="LS29" s="71">
        <v>374</v>
      </c>
      <c r="LT29" s="71">
        <v>209</v>
      </c>
      <c r="LU29" s="45">
        <v>463</v>
      </c>
      <c r="LV29" s="45">
        <v>497</v>
      </c>
      <c r="LW29" s="45">
        <v>404</v>
      </c>
      <c r="LX29" s="45">
        <v>351</v>
      </c>
      <c r="LY29" s="45">
        <v>343</v>
      </c>
      <c r="LZ29" s="38">
        <f t="shared" si="8"/>
        <v>7109</v>
      </c>
      <c r="MA29" s="26"/>
      <c r="MB29" s="45">
        <v>409</v>
      </c>
      <c r="MC29" s="45">
        <v>583</v>
      </c>
      <c r="MD29" s="45">
        <v>465</v>
      </c>
      <c r="ME29" s="45">
        <v>286</v>
      </c>
      <c r="MF29" s="45">
        <v>367</v>
      </c>
      <c r="MG29" s="45">
        <v>40</v>
      </c>
      <c r="MH29" s="45">
        <v>165</v>
      </c>
      <c r="MI29" s="45">
        <v>594</v>
      </c>
      <c r="MJ29" s="45">
        <v>387</v>
      </c>
      <c r="MK29" s="45">
        <v>322</v>
      </c>
      <c r="ML29" s="45">
        <v>392</v>
      </c>
      <c r="MM29" s="45">
        <v>465</v>
      </c>
      <c r="MN29" s="38">
        <f t="shared" si="9"/>
        <v>4475</v>
      </c>
      <c r="MO29" s="32">
        <v>2487</v>
      </c>
      <c r="MP29" s="32">
        <v>2132</v>
      </c>
      <c r="MQ29" s="32">
        <v>1943</v>
      </c>
      <c r="MR29" s="32">
        <v>482</v>
      </c>
      <c r="MS29" s="32">
        <v>350</v>
      </c>
      <c r="MT29" s="32">
        <v>374</v>
      </c>
      <c r="MU29" s="32">
        <v>593</v>
      </c>
      <c r="MV29" s="32">
        <v>609</v>
      </c>
      <c r="MW29" s="32">
        <v>674</v>
      </c>
      <c r="MX29" s="32">
        <v>765</v>
      </c>
      <c r="MY29" s="32">
        <v>750</v>
      </c>
      <c r="MZ29" s="32">
        <v>880</v>
      </c>
      <c r="NA29" s="38">
        <f t="shared" si="10"/>
        <v>12039</v>
      </c>
      <c r="NB29" s="36">
        <f t="shared" si="33"/>
        <v>16514</v>
      </c>
      <c r="NC29" s="26"/>
      <c r="ND29" s="32">
        <v>169</v>
      </c>
      <c r="NE29" s="32">
        <v>163</v>
      </c>
      <c r="NF29" s="32">
        <v>153</v>
      </c>
      <c r="NG29" s="32">
        <v>84</v>
      </c>
      <c r="NH29" s="32">
        <v>40</v>
      </c>
      <c r="NI29" s="32">
        <v>65</v>
      </c>
      <c r="NJ29" s="32">
        <v>42</v>
      </c>
      <c r="NK29" s="32">
        <v>93</v>
      </c>
      <c r="NL29" s="32">
        <v>66</v>
      </c>
      <c r="NM29" s="32">
        <v>69</v>
      </c>
      <c r="NN29" s="32">
        <v>88</v>
      </c>
      <c r="NO29" s="32">
        <v>82</v>
      </c>
      <c r="NP29" s="118">
        <f t="shared" si="11"/>
        <v>1114</v>
      </c>
      <c r="NQ29" s="36">
        <f t="shared" si="34"/>
        <v>3325</v>
      </c>
      <c r="NR29" s="36">
        <f t="shared" si="35"/>
        <v>39004</v>
      </c>
      <c r="NS29" s="36">
        <f t="shared" si="36"/>
        <v>59270</v>
      </c>
      <c r="NT29" s="36">
        <f t="shared" si="37"/>
        <v>101599</v>
      </c>
      <c r="NU29" s="18"/>
      <c r="NV29" s="18"/>
      <c r="NW29" s="18"/>
      <c r="NX29" s="19"/>
      <c r="NY29" s="19"/>
      <c r="NZ29" s="19"/>
      <c r="OA29" s="19"/>
      <c r="OB29" s="19"/>
      <c r="OC29" s="19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8"/>
      <c r="OR29" s="18"/>
      <c r="OS29" s="18"/>
      <c r="OT29" s="18"/>
      <c r="OU29" s="18"/>
      <c r="OV29" s="18"/>
      <c r="OW29" s="18"/>
      <c r="OX29" s="19"/>
      <c r="OY29" s="19"/>
      <c r="OZ29" s="19"/>
      <c r="PA29" s="19"/>
      <c r="PB29" s="19"/>
      <c r="PC29" s="19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8"/>
      <c r="PR29" s="18"/>
      <c r="PS29" s="18"/>
      <c r="PT29" s="18"/>
      <c r="PU29" s="18"/>
      <c r="PV29" s="18"/>
      <c r="PW29" s="18"/>
      <c r="PX29" s="19"/>
      <c r="PY29" s="19"/>
      <c r="PZ29" s="19"/>
      <c r="QA29" s="19"/>
      <c r="QB29" s="19"/>
      <c r="QC29" s="19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</row>
    <row r="30" spans="1:458" s="1" customFormat="1" ht="50.1" customHeight="1" x14ac:dyDescent="0.25">
      <c r="A30" s="120"/>
      <c r="B30" s="6" t="s">
        <v>19</v>
      </c>
      <c r="C30" s="23"/>
      <c r="D30" s="41">
        <v>83</v>
      </c>
      <c r="E30" s="41">
        <v>103</v>
      </c>
      <c r="F30" s="41">
        <v>27</v>
      </c>
      <c r="G30" s="41">
        <v>14</v>
      </c>
      <c r="H30" s="41">
        <v>11</v>
      </c>
      <c r="I30" s="41">
        <v>2</v>
      </c>
      <c r="J30" s="41">
        <v>5</v>
      </c>
      <c r="K30" s="41">
        <v>1</v>
      </c>
      <c r="L30" s="41">
        <v>1</v>
      </c>
      <c r="M30" s="41">
        <v>0</v>
      </c>
      <c r="N30" s="41">
        <v>1</v>
      </c>
      <c r="O30" s="41">
        <v>0</v>
      </c>
      <c r="P30" s="38">
        <f t="shared" si="12"/>
        <v>248</v>
      </c>
      <c r="Q30" s="49">
        <v>385</v>
      </c>
      <c r="R30" s="49">
        <v>1680</v>
      </c>
      <c r="S30" s="49">
        <v>993</v>
      </c>
      <c r="T30" s="49">
        <v>979</v>
      </c>
      <c r="U30" s="49">
        <v>82</v>
      </c>
      <c r="V30" s="49">
        <v>127</v>
      </c>
      <c r="W30" s="49">
        <v>162</v>
      </c>
      <c r="X30" s="49">
        <v>231</v>
      </c>
      <c r="Y30" s="49">
        <v>304</v>
      </c>
      <c r="Z30" s="49">
        <v>304</v>
      </c>
      <c r="AA30" s="49">
        <v>288</v>
      </c>
      <c r="AB30" s="49">
        <v>204</v>
      </c>
      <c r="AC30" s="38">
        <f t="shared" si="38"/>
        <v>5739</v>
      </c>
      <c r="AD30" s="36">
        <f t="shared" si="13"/>
        <v>5987</v>
      </c>
      <c r="AE30" s="26"/>
      <c r="AF30" s="32">
        <v>0</v>
      </c>
      <c r="AG30" s="32">
        <v>0</v>
      </c>
      <c r="AH30" s="32">
        <v>1</v>
      </c>
      <c r="AI30" s="32">
        <v>2</v>
      </c>
      <c r="AJ30" s="32">
        <v>0</v>
      </c>
      <c r="AK30" s="32">
        <v>2</v>
      </c>
      <c r="AL30" s="32">
        <v>0</v>
      </c>
      <c r="AM30" s="32">
        <v>2</v>
      </c>
      <c r="AN30" s="32">
        <v>2</v>
      </c>
      <c r="AO30" s="32">
        <v>0</v>
      </c>
      <c r="AP30" s="32">
        <v>0</v>
      </c>
      <c r="AQ30" s="32">
        <v>0</v>
      </c>
      <c r="AR30" s="38">
        <f t="shared" si="14"/>
        <v>9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8">
        <f t="shared" si="15"/>
        <v>0</v>
      </c>
      <c r="BF30" s="36">
        <f t="shared" si="16"/>
        <v>9</v>
      </c>
      <c r="BG30" s="26"/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  <c r="BQ30" s="41">
        <v>0</v>
      </c>
      <c r="BR30" s="41">
        <v>0</v>
      </c>
      <c r="BS30" s="41">
        <v>0</v>
      </c>
      <c r="BT30" s="38">
        <f t="shared" si="17"/>
        <v>0</v>
      </c>
      <c r="BU30" s="54">
        <v>38</v>
      </c>
      <c r="BV30" s="54">
        <v>35</v>
      </c>
      <c r="BW30" s="54">
        <v>34</v>
      </c>
      <c r="BX30" s="54">
        <v>10</v>
      </c>
      <c r="BY30" s="54">
        <v>4</v>
      </c>
      <c r="BZ30" s="54">
        <v>6</v>
      </c>
      <c r="CA30" s="54">
        <v>11</v>
      </c>
      <c r="CB30" s="54">
        <v>6</v>
      </c>
      <c r="CC30" s="54">
        <v>6</v>
      </c>
      <c r="CD30" s="54">
        <v>14</v>
      </c>
      <c r="CE30" s="54">
        <v>50</v>
      </c>
      <c r="CF30" s="54">
        <v>6</v>
      </c>
      <c r="CG30" s="38">
        <f t="shared" si="18"/>
        <v>220</v>
      </c>
      <c r="CH30" s="36">
        <f t="shared" si="19"/>
        <v>220</v>
      </c>
      <c r="CI30" s="26"/>
      <c r="CJ30" s="32">
        <v>4</v>
      </c>
      <c r="CK30" s="32">
        <v>3</v>
      </c>
      <c r="CL30" s="32">
        <v>18</v>
      </c>
      <c r="CM30" s="32">
        <v>42</v>
      </c>
      <c r="CN30" s="32">
        <v>2</v>
      </c>
      <c r="CO30" s="32">
        <v>1</v>
      </c>
      <c r="CP30" s="32">
        <v>0</v>
      </c>
      <c r="CQ30" s="32">
        <v>1</v>
      </c>
      <c r="CR30" s="32">
        <v>3</v>
      </c>
      <c r="CS30" s="32">
        <v>1</v>
      </c>
      <c r="CT30" s="32">
        <v>1</v>
      </c>
      <c r="CU30" s="32">
        <v>11</v>
      </c>
      <c r="CV30" s="38">
        <f t="shared" si="20"/>
        <v>87</v>
      </c>
      <c r="CW30" s="54">
        <v>100</v>
      </c>
      <c r="CX30" s="54">
        <v>232</v>
      </c>
      <c r="CY30" s="54">
        <v>235</v>
      </c>
      <c r="CZ30" s="54">
        <v>79</v>
      </c>
      <c r="DA30" s="54">
        <v>75</v>
      </c>
      <c r="DB30" s="54">
        <v>124</v>
      </c>
      <c r="DC30" s="54">
        <v>60</v>
      </c>
      <c r="DD30" s="54">
        <v>48</v>
      </c>
      <c r="DE30" s="54">
        <v>92</v>
      </c>
      <c r="DF30" s="54">
        <v>102</v>
      </c>
      <c r="DG30" s="54">
        <v>93</v>
      </c>
      <c r="DH30" s="54">
        <v>85</v>
      </c>
      <c r="DI30" s="38">
        <f t="shared" si="21"/>
        <v>1325</v>
      </c>
      <c r="DJ30" s="36">
        <f t="shared" si="22"/>
        <v>1412</v>
      </c>
      <c r="DK30" s="26"/>
      <c r="DL30" s="75">
        <v>0</v>
      </c>
      <c r="DM30" s="75">
        <v>3</v>
      </c>
      <c r="DN30" s="75">
        <v>0</v>
      </c>
      <c r="DO30" s="75">
        <v>2</v>
      </c>
      <c r="DP30" s="75">
        <v>0</v>
      </c>
      <c r="DQ30" s="75">
        <v>0</v>
      </c>
      <c r="DR30" s="75">
        <v>3</v>
      </c>
      <c r="DS30" s="75">
        <v>0</v>
      </c>
      <c r="DT30" s="75">
        <v>1</v>
      </c>
      <c r="DU30" s="75">
        <v>0</v>
      </c>
      <c r="DV30" s="75">
        <v>0</v>
      </c>
      <c r="DW30" s="75">
        <v>0</v>
      </c>
      <c r="DX30" s="38">
        <f t="shared" si="0"/>
        <v>9</v>
      </c>
      <c r="DY30" s="64">
        <v>14</v>
      </c>
      <c r="DZ30" s="64">
        <v>39</v>
      </c>
      <c r="EA30" s="64">
        <v>28</v>
      </c>
      <c r="EB30" s="64">
        <v>4</v>
      </c>
      <c r="EC30" s="64">
        <v>1</v>
      </c>
      <c r="ED30" s="64">
        <v>2</v>
      </c>
      <c r="EE30" s="64">
        <v>1</v>
      </c>
      <c r="EF30" s="64">
        <v>3</v>
      </c>
      <c r="EG30" s="64">
        <v>1</v>
      </c>
      <c r="EH30" s="64">
        <v>1</v>
      </c>
      <c r="EI30" s="64">
        <v>1</v>
      </c>
      <c r="EJ30" s="64">
        <v>2</v>
      </c>
      <c r="EK30" s="38">
        <f t="shared" si="23"/>
        <v>97</v>
      </c>
      <c r="EL30" s="36">
        <f t="shared" si="1"/>
        <v>106</v>
      </c>
      <c r="EM30" s="26"/>
      <c r="EN30" s="32">
        <v>80</v>
      </c>
      <c r="EO30" s="32">
        <v>188</v>
      </c>
      <c r="EP30" s="32">
        <v>104</v>
      </c>
      <c r="EQ30" s="32">
        <v>29</v>
      </c>
      <c r="ER30" s="32">
        <v>2</v>
      </c>
      <c r="ES30" s="32">
        <v>26</v>
      </c>
      <c r="ET30" s="32">
        <v>11</v>
      </c>
      <c r="EU30" s="32">
        <v>20</v>
      </c>
      <c r="EV30" s="32">
        <v>33</v>
      </c>
      <c r="EW30" s="32">
        <v>39</v>
      </c>
      <c r="EX30" s="32">
        <v>26</v>
      </c>
      <c r="EY30" s="32">
        <v>18</v>
      </c>
      <c r="EZ30" s="38">
        <f t="shared" si="24"/>
        <v>576</v>
      </c>
      <c r="FA30" s="26"/>
      <c r="FB30" s="104">
        <v>111</v>
      </c>
      <c r="FC30" s="104">
        <v>39</v>
      </c>
      <c r="FD30" s="104">
        <v>22</v>
      </c>
      <c r="FE30" s="104">
        <v>2</v>
      </c>
      <c r="FF30" s="104">
        <v>2</v>
      </c>
      <c r="FG30" s="104">
        <v>0</v>
      </c>
      <c r="FH30" s="104">
        <v>5</v>
      </c>
      <c r="FI30" s="104">
        <v>2</v>
      </c>
      <c r="FJ30" s="104">
        <v>6</v>
      </c>
      <c r="FK30" s="104">
        <v>5</v>
      </c>
      <c r="FL30" s="104">
        <v>9</v>
      </c>
      <c r="FM30" s="104">
        <v>15</v>
      </c>
      <c r="FN30" s="38">
        <f t="shared" si="25"/>
        <v>218</v>
      </c>
      <c r="FO30" s="26"/>
      <c r="FP30" s="32">
        <v>8</v>
      </c>
      <c r="FQ30" s="32">
        <v>6</v>
      </c>
      <c r="FR30" s="32">
        <v>4</v>
      </c>
      <c r="FS30" s="32">
        <v>9</v>
      </c>
      <c r="FT30" s="32">
        <v>15</v>
      </c>
      <c r="FU30" s="32">
        <v>5</v>
      </c>
      <c r="FV30" s="32">
        <v>11</v>
      </c>
      <c r="FW30" s="32">
        <v>5</v>
      </c>
      <c r="FX30" s="32">
        <v>10</v>
      </c>
      <c r="FY30" s="32">
        <v>8</v>
      </c>
      <c r="FZ30" s="32">
        <v>5</v>
      </c>
      <c r="GA30" s="32">
        <v>11</v>
      </c>
      <c r="GB30" s="38">
        <f t="shared" si="26"/>
        <v>97</v>
      </c>
      <c r="GC30" s="26"/>
      <c r="GD30" s="101">
        <v>87</v>
      </c>
      <c r="GE30" s="101">
        <v>93</v>
      </c>
      <c r="GF30" s="101">
        <v>57</v>
      </c>
      <c r="GG30" s="101">
        <v>45</v>
      </c>
      <c r="GH30" s="101">
        <v>30</v>
      </c>
      <c r="GI30" s="101">
        <v>36</v>
      </c>
      <c r="GJ30" s="101">
        <v>17</v>
      </c>
      <c r="GK30" s="101">
        <v>32</v>
      </c>
      <c r="GL30" s="101">
        <v>66</v>
      </c>
      <c r="GM30" s="101">
        <v>51</v>
      </c>
      <c r="GN30" s="101">
        <v>58</v>
      </c>
      <c r="GO30" s="101">
        <v>63</v>
      </c>
      <c r="GP30" s="38">
        <f t="shared" si="27"/>
        <v>635</v>
      </c>
      <c r="GQ30" s="26"/>
      <c r="GR30" s="32">
        <v>12</v>
      </c>
      <c r="GS30" s="32">
        <v>10</v>
      </c>
      <c r="GT30" s="32">
        <v>12</v>
      </c>
      <c r="GU30" s="32">
        <v>10</v>
      </c>
      <c r="GV30" s="32">
        <v>8</v>
      </c>
      <c r="GW30" s="32">
        <v>15</v>
      </c>
      <c r="GX30" s="32">
        <v>6</v>
      </c>
      <c r="GY30" s="32">
        <v>3</v>
      </c>
      <c r="GZ30" s="32">
        <v>5</v>
      </c>
      <c r="HA30" s="32">
        <v>2</v>
      </c>
      <c r="HB30" s="32">
        <v>1</v>
      </c>
      <c r="HC30" s="32">
        <v>5</v>
      </c>
      <c r="HD30" s="38">
        <f t="shared" si="28"/>
        <v>89</v>
      </c>
      <c r="HE30" s="26"/>
      <c r="HF30" s="54">
        <v>34</v>
      </c>
      <c r="HG30" s="54">
        <v>68</v>
      </c>
      <c r="HH30" s="54">
        <v>70</v>
      </c>
      <c r="HI30" s="54">
        <v>47</v>
      </c>
      <c r="HJ30" s="54">
        <v>35</v>
      </c>
      <c r="HK30" s="54">
        <v>45</v>
      </c>
      <c r="HL30" s="54">
        <v>29</v>
      </c>
      <c r="HM30" s="54">
        <v>37</v>
      </c>
      <c r="HN30" s="54">
        <v>37</v>
      </c>
      <c r="HO30" s="54">
        <v>55</v>
      </c>
      <c r="HP30" s="54">
        <v>47</v>
      </c>
      <c r="HQ30" s="54">
        <v>42</v>
      </c>
      <c r="HR30" s="38">
        <f t="shared" si="29"/>
        <v>546</v>
      </c>
      <c r="HS30" s="26"/>
      <c r="HT30" s="32">
        <v>0</v>
      </c>
      <c r="HU30" s="32">
        <v>2</v>
      </c>
      <c r="HV30" s="32">
        <v>1</v>
      </c>
      <c r="HW30" s="32">
        <v>1</v>
      </c>
      <c r="HX30" s="32">
        <v>0</v>
      </c>
      <c r="HY30" s="32">
        <v>0</v>
      </c>
      <c r="HZ30" s="32">
        <v>0</v>
      </c>
      <c r="IA30" s="32">
        <v>1</v>
      </c>
      <c r="IB30" s="32">
        <v>1</v>
      </c>
      <c r="IC30" s="32">
        <v>5</v>
      </c>
      <c r="ID30" s="32">
        <v>4</v>
      </c>
      <c r="IE30" s="69">
        <v>6</v>
      </c>
      <c r="IF30" s="38">
        <f t="shared" si="2"/>
        <v>21</v>
      </c>
      <c r="IG30" s="104">
        <v>48</v>
      </c>
      <c r="IH30" s="104">
        <v>58</v>
      </c>
      <c r="II30" s="104">
        <v>55</v>
      </c>
      <c r="IJ30" s="104">
        <v>34</v>
      </c>
      <c r="IK30" s="104">
        <v>19</v>
      </c>
      <c r="IL30" s="104">
        <v>23</v>
      </c>
      <c r="IM30" s="104">
        <v>45</v>
      </c>
      <c r="IN30" s="104">
        <v>23</v>
      </c>
      <c r="IO30" s="104">
        <v>27</v>
      </c>
      <c r="IP30" s="104">
        <v>41</v>
      </c>
      <c r="IQ30" s="104">
        <v>43</v>
      </c>
      <c r="IR30" s="107">
        <v>14</v>
      </c>
      <c r="IS30" s="38">
        <f t="shared" si="3"/>
        <v>430</v>
      </c>
      <c r="IT30" s="36">
        <f t="shared" si="39"/>
        <v>451</v>
      </c>
      <c r="IU30" s="26"/>
      <c r="IV30" s="32">
        <v>39</v>
      </c>
      <c r="IW30" s="32">
        <v>35</v>
      </c>
      <c r="IX30" s="32">
        <v>39</v>
      </c>
      <c r="IY30" s="32">
        <v>26</v>
      </c>
      <c r="IZ30" s="32">
        <v>36</v>
      </c>
      <c r="JA30" s="32">
        <v>42</v>
      </c>
      <c r="JB30" s="32">
        <v>46</v>
      </c>
      <c r="JC30" s="32">
        <v>39</v>
      </c>
      <c r="JD30" s="32">
        <v>35</v>
      </c>
      <c r="JE30" s="32">
        <v>45</v>
      </c>
      <c r="JF30" s="32">
        <v>40</v>
      </c>
      <c r="JG30" s="32">
        <v>36</v>
      </c>
      <c r="JH30" s="38">
        <f t="shared" si="4"/>
        <v>458</v>
      </c>
      <c r="JI30" s="109">
        <v>140.80000000000001</v>
      </c>
      <c r="JJ30" s="97">
        <v>232</v>
      </c>
      <c r="JK30" s="97">
        <v>481.6</v>
      </c>
      <c r="JL30" s="97">
        <v>193.60000000000002</v>
      </c>
      <c r="JM30" s="97">
        <v>88.800000000000011</v>
      </c>
      <c r="JN30" s="97">
        <v>209.60000000000002</v>
      </c>
      <c r="JO30" s="97">
        <v>169.60000000000002</v>
      </c>
      <c r="JP30" s="97">
        <v>339.20000000000005</v>
      </c>
      <c r="JQ30" s="97">
        <v>583.20000000000005</v>
      </c>
      <c r="JR30" s="97">
        <v>574.4</v>
      </c>
      <c r="JS30" s="97">
        <v>442.40000000000003</v>
      </c>
      <c r="JT30" s="97">
        <v>692</v>
      </c>
      <c r="JU30" s="35">
        <f t="shared" si="5"/>
        <v>4147.2000000000007</v>
      </c>
      <c r="JV30" s="40">
        <f t="shared" si="30"/>
        <v>4605.2000000000007</v>
      </c>
      <c r="JW30" s="26"/>
      <c r="JX30" s="32">
        <v>59</v>
      </c>
      <c r="JY30" s="32">
        <v>64</v>
      </c>
      <c r="JZ30" s="32">
        <v>52</v>
      </c>
      <c r="KA30" s="32">
        <v>20</v>
      </c>
      <c r="KB30" s="32">
        <v>6</v>
      </c>
      <c r="KC30" s="32">
        <v>12</v>
      </c>
      <c r="KD30" s="32">
        <v>9</v>
      </c>
      <c r="KE30" s="32">
        <v>22</v>
      </c>
      <c r="KF30" s="32">
        <v>18</v>
      </c>
      <c r="KG30" s="32">
        <v>8</v>
      </c>
      <c r="KH30" s="32">
        <v>11</v>
      </c>
      <c r="KI30" s="32">
        <v>61</v>
      </c>
      <c r="KJ30" s="38">
        <f t="shared" si="6"/>
        <v>342</v>
      </c>
      <c r="KK30" s="32">
        <v>2</v>
      </c>
      <c r="KL30" s="32">
        <v>4</v>
      </c>
      <c r="KM30" s="32">
        <v>6</v>
      </c>
      <c r="KN30" s="32">
        <v>0</v>
      </c>
      <c r="KO30" s="32">
        <v>0</v>
      </c>
      <c r="KP30" s="32">
        <v>5</v>
      </c>
      <c r="KQ30" s="32">
        <v>0</v>
      </c>
      <c r="KR30" s="32">
        <v>5</v>
      </c>
      <c r="KS30" s="32">
        <v>0</v>
      </c>
      <c r="KT30" s="32">
        <v>0</v>
      </c>
      <c r="KU30" s="32">
        <v>0</v>
      </c>
      <c r="KV30" s="32">
        <v>11</v>
      </c>
      <c r="KW30" s="38">
        <f t="shared" si="7"/>
        <v>33</v>
      </c>
      <c r="KX30" s="36">
        <f t="shared" si="31"/>
        <v>375</v>
      </c>
      <c r="KY30" s="26"/>
      <c r="KZ30" s="101">
        <v>0</v>
      </c>
      <c r="LA30" s="101">
        <v>1</v>
      </c>
      <c r="LB30" s="101">
        <v>1</v>
      </c>
      <c r="LC30" s="101">
        <v>0</v>
      </c>
      <c r="LD30" s="101">
        <v>0</v>
      </c>
      <c r="LE30" s="101">
        <v>0</v>
      </c>
      <c r="LF30" s="101">
        <v>0</v>
      </c>
      <c r="LG30" s="101">
        <v>0</v>
      </c>
      <c r="LH30" s="101">
        <v>0</v>
      </c>
      <c r="LI30" s="101">
        <v>2</v>
      </c>
      <c r="LJ30" s="101">
        <v>4</v>
      </c>
      <c r="LK30" s="115">
        <v>1</v>
      </c>
      <c r="LL30" s="38">
        <f t="shared" si="32"/>
        <v>9</v>
      </c>
      <c r="LM30" s="26"/>
      <c r="LN30" s="71">
        <v>61</v>
      </c>
      <c r="LO30" s="71">
        <v>62</v>
      </c>
      <c r="LP30" s="71">
        <v>33</v>
      </c>
      <c r="LQ30" s="71">
        <v>19</v>
      </c>
      <c r="LR30" s="71">
        <v>14</v>
      </c>
      <c r="LS30" s="71">
        <v>11</v>
      </c>
      <c r="LT30" s="71">
        <v>4</v>
      </c>
      <c r="LU30" s="45">
        <v>25</v>
      </c>
      <c r="LV30" s="45">
        <v>45</v>
      </c>
      <c r="LW30" s="45">
        <v>34</v>
      </c>
      <c r="LX30" s="45">
        <v>7</v>
      </c>
      <c r="LY30" s="45">
        <v>4</v>
      </c>
      <c r="LZ30" s="38">
        <f t="shared" si="8"/>
        <v>319</v>
      </c>
      <c r="MA30" s="26"/>
      <c r="MB30" s="45">
        <v>36</v>
      </c>
      <c r="MC30" s="45">
        <v>48</v>
      </c>
      <c r="MD30" s="45">
        <v>30</v>
      </c>
      <c r="ME30" s="45">
        <v>39</v>
      </c>
      <c r="MF30" s="45">
        <v>18</v>
      </c>
      <c r="MG30" s="45">
        <v>12</v>
      </c>
      <c r="MH30" s="45">
        <v>10</v>
      </c>
      <c r="MI30" s="45">
        <v>8</v>
      </c>
      <c r="MJ30" s="45">
        <v>16</v>
      </c>
      <c r="MK30" s="45">
        <v>12</v>
      </c>
      <c r="ML30" s="45">
        <v>18</v>
      </c>
      <c r="MM30" s="45">
        <v>13</v>
      </c>
      <c r="MN30" s="38">
        <f t="shared" si="9"/>
        <v>260</v>
      </c>
      <c r="MO30" s="32">
        <v>628</v>
      </c>
      <c r="MP30" s="32">
        <v>564</v>
      </c>
      <c r="MQ30" s="32">
        <v>902</v>
      </c>
      <c r="MR30" s="32">
        <v>315</v>
      </c>
      <c r="MS30" s="32">
        <v>262</v>
      </c>
      <c r="MT30" s="32">
        <v>187</v>
      </c>
      <c r="MU30" s="32">
        <v>137</v>
      </c>
      <c r="MV30" s="32">
        <v>267</v>
      </c>
      <c r="MW30" s="32">
        <v>285</v>
      </c>
      <c r="MX30" s="32">
        <v>411</v>
      </c>
      <c r="MY30" s="32">
        <v>268</v>
      </c>
      <c r="MZ30" s="32">
        <v>257</v>
      </c>
      <c r="NA30" s="38">
        <f t="shared" si="10"/>
        <v>4483</v>
      </c>
      <c r="NB30" s="36">
        <f t="shared" si="33"/>
        <v>4743</v>
      </c>
      <c r="NC30" s="26"/>
      <c r="ND30" s="32">
        <v>156</v>
      </c>
      <c r="NE30" s="32">
        <v>112</v>
      </c>
      <c r="NF30" s="32">
        <v>153</v>
      </c>
      <c r="NG30" s="32">
        <v>2</v>
      </c>
      <c r="NH30" s="32">
        <v>14</v>
      </c>
      <c r="NI30" s="32">
        <v>32</v>
      </c>
      <c r="NJ30" s="32">
        <v>21</v>
      </c>
      <c r="NK30" s="32">
        <v>29</v>
      </c>
      <c r="NL30" s="32">
        <v>39</v>
      </c>
      <c r="NM30" s="32">
        <v>35</v>
      </c>
      <c r="NN30" s="32">
        <v>31</v>
      </c>
      <c r="NO30" s="32">
        <v>32</v>
      </c>
      <c r="NP30" s="118">
        <f t="shared" si="11"/>
        <v>656</v>
      </c>
      <c r="NQ30" s="36">
        <f t="shared" si="34"/>
        <v>805</v>
      </c>
      <c r="NR30" s="36">
        <f t="shared" si="35"/>
        <v>5879</v>
      </c>
      <c r="NS30" s="36">
        <f t="shared" si="36"/>
        <v>14369.2</v>
      </c>
      <c r="NT30" s="36">
        <f t="shared" si="37"/>
        <v>21053.200000000001</v>
      </c>
      <c r="NU30" s="18"/>
      <c r="NV30" s="18"/>
      <c r="NW30" s="18"/>
      <c r="NX30" s="19"/>
      <c r="NY30" s="19"/>
      <c r="NZ30" s="19"/>
      <c r="OA30" s="19"/>
      <c r="OB30" s="19"/>
      <c r="OC30" s="19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8"/>
      <c r="OR30" s="18"/>
      <c r="OS30" s="18"/>
      <c r="OT30" s="18"/>
      <c r="OU30" s="18"/>
      <c r="OV30" s="18"/>
      <c r="OW30" s="18"/>
      <c r="OX30" s="19"/>
      <c r="OY30" s="19"/>
      <c r="OZ30" s="19"/>
      <c r="PA30" s="19"/>
      <c r="PB30" s="19"/>
      <c r="PC30" s="19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8"/>
      <c r="PR30" s="18"/>
      <c r="PS30" s="18"/>
      <c r="PT30" s="18"/>
      <c r="PU30" s="18"/>
      <c r="PV30" s="18"/>
      <c r="PW30" s="18"/>
      <c r="PX30" s="19"/>
      <c r="PY30" s="19"/>
      <c r="PZ30" s="19"/>
      <c r="QA30" s="19"/>
      <c r="QB30" s="19"/>
      <c r="QC30" s="19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</row>
    <row r="31" spans="1:458" s="1" customFormat="1" ht="50.1" customHeight="1" x14ac:dyDescent="0.25">
      <c r="A31" s="120"/>
      <c r="B31" s="6" t="s">
        <v>20</v>
      </c>
      <c r="C31" s="23"/>
      <c r="D31" s="41">
        <f>SUM(D28:D30)</f>
        <v>4443</v>
      </c>
      <c r="E31" s="41">
        <f t="shared" ref="E31:O31" si="141">SUM(E28:E30)</f>
        <v>4197</v>
      </c>
      <c r="F31" s="41">
        <f t="shared" si="141"/>
        <v>2981</v>
      </c>
      <c r="G31" s="41">
        <f t="shared" si="141"/>
        <v>1115</v>
      </c>
      <c r="H31" s="41">
        <f t="shared" si="141"/>
        <v>905</v>
      </c>
      <c r="I31" s="41">
        <f t="shared" si="141"/>
        <v>680</v>
      </c>
      <c r="J31" s="41">
        <f t="shared" si="141"/>
        <v>1001</v>
      </c>
      <c r="K31" s="41">
        <f t="shared" si="141"/>
        <v>1267</v>
      </c>
      <c r="L31" s="41">
        <f t="shared" si="141"/>
        <v>1278</v>
      </c>
      <c r="M31" s="41">
        <f t="shared" si="141"/>
        <v>1692</v>
      </c>
      <c r="N31" s="41">
        <f t="shared" si="141"/>
        <v>1554</v>
      </c>
      <c r="O31" s="41">
        <f t="shared" si="141"/>
        <v>1498</v>
      </c>
      <c r="P31" s="38">
        <f t="shared" si="12"/>
        <v>22611</v>
      </c>
      <c r="Q31" s="45">
        <f>SUM(Q28:Q30)</f>
        <v>11703</v>
      </c>
      <c r="R31" s="45">
        <f t="shared" ref="R31:AB31" si="142">SUM(R28:R30)</f>
        <v>12845</v>
      </c>
      <c r="S31" s="45">
        <f t="shared" si="142"/>
        <v>14140</v>
      </c>
      <c r="T31" s="45">
        <f t="shared" si="142"/>
        <v>13120</v>
      </c>
      <c r="U31" s="45">
        <f t="shared" si="142"/>
        <v>3605</v>
      </c>
      <c r="V31" s="45">
        <f t="shared" si="142"/>
        <v>5515</v>
      </c>
      <c r="W31" s="45">
        <f t="shared" si="142"/>
        <v>5433</v>
      </c>
      <c r="X31" s="45">
        <f t="shared" si="142"/>
        <v>5349</v>
      </c>
      <c r="Y31" s="45">
        <f t="shared" si="142"/>
        <v>6539</v>
      </c>
      <c r="Z31" s="45">
        <f t="shared" si="142"/>
        <v>6539</v>
      </c>
      <c r="AA31" s="45">
        <f t="shared" si="142"/>
        <v>6966</v>
      </c>
      <c r="AB31" s="45">
        <f t="shared" si="142"/>
        <v>5353</v>
      </c>
      <c r="AC31" s="38">
        <f t="shared" si="38"/>
        <v>97107</v>
      </c>
      <c r="AD31" s="36">
        <f t="shared" si="13"/>
        <v>119718</v>
      </c>
      <c r="AE31" s="26"/>
      <c r="AF31" s="32">
        <f>SUM(AF28:AF30)</f>
        <v>147</v>
      </c>
      <c r="AG31" s="32">
        <f t="shared" ref="AG31:AQ31" si="143">SUM(AG28:AG30)</f>
        <v>149</v>
      </c>
      <c r="AH31" s="32">
        <f t="shared" si="143"/>
        <v>157</v>
      </c>
      <c r="AI31" s="32">
        <f t="shared" si="143"/>
        <v>143</v>
      </c>
      <c r="AJ31" s="32">
        <f t="shared" si="143"/>
        <v>166</v>
      </c>
      <c r="AK31" s="32">
        <f t="shared" si="143"/>
        <v>161</v>
      </c>
      <c r="AL31" s="32">
        <f t="shared" si="143"/>
        <v>167</v>
      </c>
      <c r="AM31" s="32">
        <f t="shared" si="143"/>
        <v>147</v>
      </c>
      <c r="AN31" s="32">
        <f t="shared" si="143"/>
        <v>159</v>
      </c>
      <c r="AO31" s="32">
        <f t="shared" si="143"/>
        <v>150</v>
      </c>
      <c r="AP31" s="32">
        <f t="shared" si="143"/>
        <v>144</v>
      </c>
      <c r="AQ31" s="32">
        <f t="shared" si="143"/>
        <v>159</v>
      </c>
      <c r="AR31" s="38">
        <f t="shared" si="14"/>
        <v>1849</v>
      </c>
      <c r="AS31" s="32">
        <f>SUM(AS28:AS30)</f>
        <v>0</v>
      </c>
      <c r="AT31" s="32">
        <f t="shared" ref="AT31:BD31" si="144">SUM(AT28:AT30)</f>
        <v>0</v>
      </c>
      <c r="AU31" s="32">
        <f t="shared" si="144"/>
        <v>0</v>
      </c>
      <c r="AV31" s="32">
        <f t="shared" si="144"/>
        <v>0</v>
      </c>
      <c r="AW31" s="32">
        <f t="shared" si="144"/>
        <v>0</v>
      </c>
      <c r="AX31" s="32">
        <f t="shared" si="144"/>
        <v>0</v>
      </c>
      <c r="AY31" s="32">
        <f t="shared" si="144"/>
        <v>0</v>
      </c>
      <c r="AZ31" s="32">
        <f t="shared" si="144"/>
        <v>0</v>
      </c>
      <c r="BA31" s="32">
        <f t="shared" si="144"/>
        <v>0</v>
      </c>
      <c r="BB31" s="32">
        <f t="shared" si="144"/>
        <v>0</v>
      </c>
      <c r="BC31" s="32">
        <f t="shared" si="144"/>
        <v>0</v>
      </c>
      <c r="BD31" s="32">
        <f t="shared" si="144"/>
        <v>0</v>
      </c>
      <c r="BE31" s="38">
        <f>SUM(AS31:BD31)</f>
        <v>0</v>
      </c>
      <c r="BF31" s="36">
        <f t="shared" si="16"/>
        <v>1849</v>
      </c>
      <c r="BG31" s="26"/>
      <c r="BH31" s="41">
        <f>SUM(BH28:BH30)</f>
        <v>28</v>
      </c>
      <c r="BI31" s="41">
        <f t="shared" ref="BI31:CF31" si="145">SUM(BI28:BI30)</f>
        <v>36</v>
      </c>
      <c r="BJ31" s="41">
        <f t="shared" si="145"/>
        <v>34</v>
      </c>
      <c r="BK31" s="41">
        <f t="shared" si="145"/>
        <v>28</v>
      </c>
      <c r="BL31" s="41">
        <f t="shared" si="145"/>
        <v>36</v>
      </c>
      <c r="BM31" s="41">
        <f t="shared" si="145"/>
        <v>27</v>
      </c>
      <c r="BN31" s="41">
        <f t="shared" si="145"/>
        <v>34</v>
      </c>
      <c r="BO31" s="41">
        <f t="shared" si="145"/>
        <v>37</v>
      </c>
      <c r="BP31" s="41">
        <f t="shared" si="145"/>
        <v>29</v>
      </c>
      <c r="BQ31" s="41">
        <f t="shared" si="145"/>
        <v>45</v>
      </c>
      <c r="BR31" s="41">
        <f t="shared" si="145"/>
        <v>51</v>
      </c>
      <c r="BS31" s="41">
        <f t="shared" si="145"/>
        <v>43</v>
      </c>
      <c r="BT31" s="38">
        <f t="shared" si="17"/>
        <v>428</v>
      </c>
      <c r="BU31" s="41">
        <f t="shared" si="145"/>
        <v>863</v>
      </c>
      <c r="BV31" s="41">
        <f t="shared" si="145"/>
        <v>890</v>
      </c>
      <c r="BW31" s="41">
        <f t="shared" si="145"/>
        <v>864</v>
      </c>
      <c r="BX31" s="41">
        <f t="shared" si="145"/>
        <v>342</v>
      </c>
      <c r="BY31" s="41">
        <f t="shared" si="145"/>
        <v>289</v>
      </c>
      <c r="BZ31" s="41">
        <f t="shared" si="145"/>
        <v>507</v>
      </c>
      <c r="CA31" s="41">
        <f t="shared" si="145"/>
        <v>576</v>
      </c>
      <c r="CB31" s="41">
        <f t="shared" si="145"/>
        <v>630</v>
      </c>
      <c r="CC31" s="41">
        <f t="shared" si="145"/>
        <v>706</v>
      </c>
      <c r="CD31" s="41">
        <f t="shared" si="145"/>
        <v>756</v>
      </c>
      <c r="CE31" s="41">
        <f t="shared" si="145"/>
        <v>805</v>
      </c>
      <c r="CF31" s="41">
        <f t="shared" si="145"/>
        <v>654</v>
      </c>
      <c r="CG31" s="38">
        <f t="shared" si="18"/>
        <v>7882</v>
      </c>
      <c r="CH31" s="36">
        <f t="shared" si="19"/>
        <v>8310</v>
      </c>
      <c r="CI31" s="26"/>
      <c r="CJ31" s="32">
        <f>SUM(CJ28:CJ30)</f>
        <v>548</v>
      </c>
      <c r="CK31" s="32">
        <f t="shared" ref="CK31:CU31" si="146">SUM(CK28:CK30)</f>
        <v>1089</v>
      </c>
      <c r="CL31" s="32">
        <f t="shared" si="146"/>
        <v>1132</v>
      </c>
      <c r="CM31" s="32">
        <f t="shared" si="146"/>
        <v>1094</v>
      </c>
      <c r="CN31" s="32">
        <f t="shared" si="146"/>
        <v>475</v>
      </c>
      <c r="CO31" s="32">
        <f t="shared" si="146"/>
        <v>379</v>
      </c>
      <c r="CP31" s="32">
        <f t="shared" si="146"/>
        <v>499</v>
      </c>
      <c r="CQ31" s="32">
        <f t="shared" si="146"/>
        <v>908</v>
      </c>
      <c r="CR31" s="32">
        <f t="shared" si="146"/>
        <v>459</v>
      </c>
      <c r="CS31" s="32">
        <f t="shared" si="146"/>
        <v>697</v>
      </c>
      <c r="CT31" s="32">
        <f t="shared" si="146"/>
        <v>580</v>
      </c>
      <c r="CU31" s="32">
        <f t="shared" si="146"/>
        <v>641</v>
      </c>
      <c r="CV31" s="38">
        <f t="shared" si="20"/>
        <v>8501</v>
      </c>
      <c r="CW31" s="32">
        <f t="shared" ref="CW31" si="147">SUM(CW28:CW30)</f>
        <v>2192</v>
      </c>
      <c r="CX31" s="32">
        <f t="shared" ref="CX31" si="148">SUM(CX28:CX30)</f>
        <v>2004</v>
      </c>
      <c r="CY31" s="32">
        <f t="shared" ref="CY31" si="149">SUM(CY28:CY30)</f>
        <v>1846</v>
      </c>
      <c r="CZ31" s="32">
        <f t="shared" ref="CZ31" si="150">SUM(CZ28:CZ30)</f>
        <v>1231</v>
      </c>
      <c r="DA31" s="32">
        <f t="shared" ref="DA31" si="151">SUM(DA28:DA30)</f>
        <v>1452</v>
      </c>
      <c r="DB31" s="32">
        <f t="shared" ref="DB31" si="152">SUM(DB28:DB30)</f>
        <v>1608</v>
      </c>
      <c r="DC31" s="32">
        <f t="shared" ref="DC31" si="153">SUM(DC28:DC30)</f>
        <v>1847</v>
      </c>
      <c r="DD31" s="32">
        <f t="shared" ref="DD31" si="154">SUM(DD28:DD30)</f>
        <v>1655</v>
      </c>
      <c r="DE31" s="32">
        <f t="shared" ref="DE31" si="155">SUM(DE28:DE30)</f>
        <v>1585</v>
      </c>
      <c r="DF31" s="32">
        <f t="shared" ref="DF31" si="156">SUM(DF28:DF30)</f>
        <v>2216</v>
      </c>
      <c r="DG31" s="32">
        <f t="shared" ref="DG31" si="157">SUM(DG28:DG30)</f>
        <v>1256</v>
      </c>
      <c r="DH31" s="32">
        <f t="shared" ref="DH31" si="158">SUM(DH28:DH30)</f>
        <v>1264</v>
      </c>
      <c r="DI31" s="38">
        <f t="shared" si="21"/>
        <v>20156</v>
      </c>
      <c r="DJ31" s="36">
        <f t="shared" si="22"/>
        <v>28657</v>
      </c>
      <c r="DK31" s="26"/>
      <c r="DL31" s="32">
        <f>SUM(DL28:DL30)</f>
        <v>738</v>
      </c>
      <c r="DM31" s="32">
        <f t="shared" ref="DM31:DW31" si="159">SUM(DM28:DM30)</f>
        <v>635</v>
      </c>
      <c r="DN31" s="32">
        <f t="shared" si="159"/>
        <v>568</v>
      </c>
      <c r="DO31" s="32">
        <f t="shared" si="159"/>
        <v>587</v>
      </c>
      <c r="DP31" s="32">
        <f t="shared" si="159"/>
        <v>225</v>
      </c>
      <c r="DQ31" s="32">
        <f t="shared" si="159"/>
        <v>431</v>
      </c>
      <c r="DR31" s="32">
        <f t="shared" si="159"/>
        <v>390</v>
      </c>
      <c r="DS31" s="32">
        <f t="shared" si="159"/>
        <v>486</v>
      </c>
      <c r="DT31" s="32">
        <f t="shared" si="159"/>
        <v>430</v>
      </c>
      <c r="DU31" s="32">
        <f t="shared" si="159"/>
        <v>471</v>
      </c>
      <c r="DV31" s="32">
        <f t="shared" si="159"/>
        <v>509</v>
      </c>
      <c r="DW31" s="32">
        <f t="shared" si="159"/>
        <v>621</v>
      </c>
      <c r="DX31" s="38">
        <f t="shared" si="0"/>
        <v>6091</v>
      </c>
      <c r="DY31" s="62">
        <f>SUM(DY28:DY30)</f>
        <v>2202</v>
      </c>
      <c r="DZ31" s="62">
        <f t="shared" ref="DZ31:EJ31" si="160">SUM(DZ28:DZ30)</f>
        <v>1763</v>
      </c>
      <c r="EA31" s="62">
        <f t="shared" si="160"/>
        <v>1477</v>
      </c>
      <c r="EB31" s="62">
        <f t="shared" si="160"/>
        <v>781</v>
      </c>
      <c r="EC31" s="62">
        <f t="shared" si="160"/>
        <v>681</v>
      </c>
      <c r="ED31" s="62">
        <f t="shared" si="160"/>
        <v>686</v>
      </c>
      <c r="EE31" s="62">
        <f t="shared" si="160"/>
        <v>959</v>
      </c>
      <c r="EF31" s="62">
        <f t="shared" si="160"/>
        <v>1132</v>
      </c>
      <c r="EG31" s="62">
        <f t="shared" si="160"/>
        <v>1214</v>
      </c>
      <c r="EH31" s="62">
        <f t="shared" si="160"/>
        <v>1298</v>
      </c>
      <c r="EI31" s="62">
        <f t="shared" si="160"/>
        <v>1335</v>
      </c>
      <c r="EJ31" s="62">
        <f t="shared" si="160"/>
        <v>1364</v>
      </c>
      <c r="EK31" s="38">
        <f t="shared" si="23"/>
        <v>14892</v>
      </c>
      <c r="EL31" s="36">
        <f t="shared" si="1"/>
        <v>20983</v>
      </c>
      <c r="EM31" s="26"/>
      <c r="EN31" s="32">
        <f>SUM(EN28:EN30)</f>
        <v>3546</v>
      </c>
      <c r="EO31" s="32">
        <f t="shared" ref="EO31:EY31" si="161">SUM(EO28:EO30)</f>
        <v>2990</v>
      </c>
      <c r="EP31" s="32">
        <f t="shared" si="161"/>
        <v>3248</v>
      </c>
      <c r="EQ31" s="32">
        <f t="shared" si="161"/>
        <v>1199</v>
      </c>
      <c r="ER31" s="32">
        <f t="shared" si="161"/>
        <v>990</v>
      </c>
      <c r="ES31" s="32">
        <f t="shared" si="161"/>
        <v>1006</v>
      </c>
      <c r="ET31" s="32">
        <f t="shared" si="161"/>
        <v>1424</v>
      </c>
      <c r="EU31" s="32">
        <f t="shared" si="161"/>
        <v>1355</v>
      </c>
      <c r="EV31" s="32">
        <f t="shared" si="161"/>
        <v>1477</v>
      </c>
      <c r="EW31" s="32">
        <f t="shared" si="161"/>
        <v>1544</v>
      </c>
      <c r="EX31" s="32">
        <f t="shared" si="161"/>
        <v>1467</v>
      </c>
      <c r="EY31" s="32">
        <f t="shared" si="161"/>
        <v>1458</v>
      </c>
      <c r="EZ31" s="38">
        <f t="shared" si="24"/>
        <v>21704</v>
      </c>
      <c r="FA31" s="26"/>
      <c r="FB31" s="104">
        <f>SUM(FB28:FB30)</f>
        <v>6073</v>
      </c>
      <c r="FC31" s="104">
        <f t="shared" ref="FC31:FM31" si="162">SUM(FC28:FC30)</f>
        <v>4151</v>
      </c>
      <c r="FD31" s="104">
        <f t="shared" si="162"/>
        <v>3435</v>
      </c>
      <c r="FE31" s="104">
        <f t="shared" si="162"/>
        <v>1216</v>
      </c>
      <c r="FF31" s="104">
        <f t="shared" si="162"/>
        <v>1115</v>
      </c>
      <c r="FG31" s="104">
        <f t="shared" si="162"/>
        <v>1270</v>
      </c>
      <c r="FH31" s="104">
        <f t="shared" si="162"/>
        <v>1638</v>
      </c>
      <c r="FI31" s="104">
        <f t="shared" si="162"/>
        <v>1922</v>
      </c>
      <c r="FJ31" s="104">
        <f t="shared" si="162"/>
        <v>2353</v>
      </c>
      <c r="FK31" s="104">
        <f t="shared" si="162"/>
        <v>2798</v>
      </c>
      <c r="FL31" s="104">
        <f t="shared" si="162"/>
        <v>2568</v>
      </c>
      <c r="FM31" s="104">
        <f t="shared" si="162"/>
        <v>2605</v>
      </c>
      <c r="FN31" s="38">
        <f t="shared" si="25"/>
        <v>31144</v>
      </c>
      <c r="FO31" s="26"/>
      <c r="FP31" s="32">
        <f>SUM(FP28:FP30)</f>
        <v>1086</v>
      </c>
      <c r="FQ31" s="32">
        <f t="shared" ref="FQ31:GA31" si="163">SUM(FQ28:FQ30)</f>
        <v>981</v>
      </c>
      <c r="FR31" s="32">
        <f t="shared" si="163"/>
        <v>1092</v>
      </c>
      <c r="FS31" s="32">
        <f t="shared" si="163"/>
        <v>468</v>
      </c>
      <c r="FT31" s="32">
        <f t="shared" si="163"/>
        <v>614</v>
      </c>
      <c r="FU31" s="32">
        <f t="shared" si="163"/>
        <v>707</v>
      </c>
      <c r="FV31" s="32">
        <f t="shared" si="163"/>
        <v>893</v>
      </c>
      <c r="FW31" s="32">
        <f t="shared" si="163"/>
        <v>850</v>
      </c>
      <c r="FX31" s="32">
        <f t="shared" si="163"/>
        <v>923</v>
      </c>
      <c r="FY31" s="32">
        <f t="shared" si="163"/>
        <v>782</v>
      </c>
      <c r="FZ31" s="32">
        <f t="shared" si="163"/>
        <v>867</v>
      </c>
      <c r="GA31" s="32">
        <f t="shared" si="163"/>
        <v>917</v>
      </c>
      <c r="GB31" s="38">
        <f t="shared" si="26"/>
        <v>10180</v>
      </c>
      <c r="GC31" s="26"/>
      <c r="GD31" s="101">
        <f>SUM(GD28:GD30)</f>
        <v>2273</v>
      </c>
      <c r="GE31" s="101">
        <f t="shared" ref="GE31:GO31" si="164">SUM(GE28:GE30)</f>
        <v>2238</v>
      </c>
      <c r="GF31" s="101">
        <f t="shared" si="164"/>
        <v>2170</v>
      </c>
      <c r="GG31" s="101">
        <f t="shared" si="164"/>
        <v>539</v>
      </c>
      <c r="GH31" s="101">
        <f t="shared" si="164"/>
        <v>509</v>
      </c>
      <c r="GI31" s="101">
        <f t="shared" si="164"/>
        <v>568</v>
      </c>
      <c r="GJ31" s="101">
        <f t="shared" si="164"/>
        <v>481</v>
      </c>
      <c r="GK31" s="101">
        <f t="shared" si="164"/>
        <v>542</v>
      </c>
      <c r="GL31" s="101">
        <f t="shared" si="164"/>
        <v>1169</v>
      </c>
      <c r="GM31" s="101">
        <f t="shared" si="164"/>
        <v>1561</v>
      </c>
      <c r="GN31" s="101">
        <f t="shared" si="164"/>
        <v>1994</v>
      </c>
      <c r="GO31" s="101">
        <f t="shared" si="164"/>
        <v>1994</v>
      </c>
      <c r="GP31" s="38">
        <f t="shared" si="27"/>
        <v>16038</v>
      </c>
      <c r="GQ31" s="26"/>
      <c r="GR31" s="32">
        <f>SUM(GR28:GR30)</f>
        <v>1178</v>
      </c>
      <c r="GS31" s="32">
        <f t="shared" ref="GS31:HC31" si="165">SUM(GS28:GS30)</f>
        <v>1011</v>
      </c>
      <c r="GT31" s="32">
        <f t="shared" si="165"/>
        <v>1028</v>
      </c>
      <c r="GU31" s="32">
        <f t="shared" si="165"/>
        <v>504</v>
      </c>
      <c r="GV31" s="32">
        <f t="shared" si="165"/>
        <v>409</v>
      </c>
      <c r="GW31" s="32">
        <f t="shared" si="165"/>
        <v>552</v>
      </c>
      <c r="GX31" s="32">
        <f t="shared" si="165"/>
        <v>638</v>
      </c>
      <c r="GY31" s="32">
        <f t="shared" si="165"/>
        <v>659</v>
      </c>
      <c r="GZ31" s="32">
        <f t="shared" si="165"/>
        <v>706</v>
      </c>
      <c r="HA31" s="32">
        <f t="shared" si="165"/>
        <v>647</v>
      </c>
      <c r="HB31" s="32">
        <f t="shared" si="165"/>
        <v>662</v>
      </c>
      <c r="HC31" s="32">
        <f t="shared" si="165"/>
        <v>695</v>
      </c>
      <c r="HD31" s="38">
        <f t="shared" si="28"/>
        <v>8689</v>
      </c>
      <c r="HE31" s="26"/>
      <c r="HF31" s="54">
        <f>SUM(HF28:HF30)</f>
        <v>3430</v>
      </c>
      <c r="HG31" s="54">
        <f t="shared" ref="HG31:HQ31" si="166">SUM(HG28:HG30)</f>
        <v>3787</v>
      </c>
      <c r="HH31" s="54">
        <f t="shared" si="166"/>
        <v>3405</v>
      </c>
      <c r="HI31" s="54">
        <f t="shared" si="166"/>
        <v>1865</v>
      </c>
      <c r="HJ31" s="54">
        <f t="shared" si="166"/>
        <v>1603</v>
      </c>
      <c r="HK31" s="54">
        <f t="shared" si="166"/>
        <v>1810</v>
      </c>
      <c r="HL31" s="54">
        <f t="shared" si="166"/>
        <v>1980</v>
      </c>
      <c r="HM31" s="54">
        <f t="shared" si="166"/>
        <v>2102</v>
      </c>
      <c r="HN31" s="54">
        <f t="shared" si="166"/>
        <v>2063</v>
      </c>
      <c r="HO31" s="54">
        <f t="shared" si="166"/>
        <v>2230</v>
      </c>
      <c r="HP31" s="54">
        <f t="shared" si="166"/>
        <v>2263</v>
      </c>
      <c r="HQ31" s="54">
        <f t="shared" si="166"/>
        <v>2163</v>
      </c>
      <c r="HR31" s="38">
        <f t="shared" si="29"/>
        <v>28701</v>
      </c>
      <c r="HS31" s="26"/>
      <c r="HT31" s="32">
        <f>SUM(HT28:HT30)</f>
        <v>326</v>
      </c>
      <c r="HU31" s="32">
        <f t="shared" ref="HU31:IE31" si="167">SUM(HU28:HU30)</f>
        <v>322</v>
      </c>
      <c r="HV31" s="32">
        <f t="shared" si="167"/>
        <v>239</v>
      </c>
      <c r="HW31" s="32">
        <f t="shared" si="167"/>
        <v>235</v>
      </c>
      <c r="HX31" s="32">
        <f t="shared" si="167"/>
        <v>136</v>
      </c>
      <c r="HY31" s="32">
        <f t="shared" si="167"/>
        <v>161</v>
      </c>
      <c r="HZ31" s="32">
        <f t="shared" si="167"/>
        <v>183</v>
      </c>
      <c r="IA31" s="32">
        <f t="shared" si="167"/>
        <v>210</v>
      </c>
      <c r="IB31" s="32">
        <f t="shared" si="167"/>
        <v>263</v>
      </c>
      <c r="IC31" s="32">
        <f t="shared" si="167"/>
        <v>182</v>
      </c>
      <c r="ID31" s="32">
        <f t="shared" si="167"/>
        <v>167</v>
      </c>
      <c r="IE31" s="69">
        <f t="shared" si="167"/>
        <v>160</v>
      </c>
      <c r="IF31" s="38">
        <f t="shared" si="2"/>
        <v>2584</v>
      </c>
      <c r="IG31" s="104">
        <f>SUM(IG28:IG30)</f>
        <v>1593</v>
      </c>
      <c r="IH31" s="104">
        <f t="shared" ref="IH31:IR31" si="168">SUM(IH28:IH30)</f>
        <v>1402</v>
      </c>
      <c r="II31" s="104">
        <f t="shared" si="168"/>
        <v>1155</v>
      </c>
      <c r="IJ31" s="104">
        <f t="shared" si="168"/>
        <v>509</v>
      </c>
      <c r="IK31" s="104">
        <f t="shared" si="168"/>
        <v>514</v>
      </c>
      <c r="IL31" s="104">
        <f t="shared" si="168"/>
        <v>666</v>
      </c>
      <c r="IM31" s="104">
        <f t="shared" si="168"/>
        <v>652</v>
      </c>
      <c r="IN31" s="104">
        <f t="shared" si="168"/>
        <v>597</v>
      </c>
      <c r="IO31" s="104">
        <f t="shared" si="168"/>
        <v>696</v>
      </c>
      <c r="IP31" s="104">
        <f t="shared" si="168"/>
        <v>972</v>
      </c>
      <c r="IQ31" s="104">
        <f t="shared" si="168"/>
        <v>988</v>
      </c>
      <c r="IR31" s="107">
        <f t="shared" si="168"/>
        <v>863</v>
      </c>
      <c r="IS31" s="38">
        <f t="shared" si="3"/>
        <v>10607</v>
      </c>
      <c r="IT31" s="36">
        <f t="shared" si="39"/>
        <v>13191</v>
      </c>
      <c r="IU31" s="26"/>
      <c r="IV31" s="32">
        <f>SUM(IV28:IV30)</f>
        <v>423</v>
      </c>
      <c r="IW31" s="32">
        <f t="shared" ref="IW31:JG31" si="169">SUM(IW28:IW30)</f>
        <v>483</v>
      </c>
      <c r="IX31" s="32">
        <f t="shared" si="169"/>
        <v>440</v>
      </c>
      <c r="IY31" s="32">
        <f t="shared" si="169"/>
        <v>425</v>
      </c>
      <c r="IZ31" s="32">
        <f t="shared" si="169"/>
        <v>486</v>
      </c>
      <c r="JA31" s="32">
        <f t="shared" si="169"/>
        <v>415</v>
      </c>
      <c r="JB31" s="32">
        <f t="shared" si="169"/>
        <v>494</v>
      </c>
      <c r="JC31" s="32">
        <f t="shared" si="169"/>
        <v>514</v>
      </c>
      <c r="JD31" s="32">
        <f t="shared" si="169"/>
        <v>547</v>
      </c>
      <c r="JE31" s="32">
        <f t="shared" si="169"/>
        <v>434</v>
      </c>
      <c r="JF31" s="32">
        <f t="shared" si="169"/>
        <v>411</v>
      </c>
      <c r="JG31" s="32">
        <f t="shared" si="169"/>
        <v>484</v>
      </c>
      <c r="JH31" s="38">
        <f t="shared" si="4"/>
        <v>5556</v>
      </c>
      <c r="JI31" s="110">
        <f>SUM(JI28:JI30)</f>
        <v>4531.2</v>
      </c>
      <c r="JJ31" s="32">
        <f t="shared" ref="JJ31:JT31" si="170">SUM(JJ28:JJ30)</f>
        <v>4797.6000000000004</v>
      </c>
      <c r="JK31" s="32">
        <f t="shared" si="170"/>
        <v>3565.6</v>
      </c>
      <c r="JL31" s="32">
        <f t="shared" si="170"/>
        <v>2332</v>
      </c>
      <c r="JM31" s="32">
        <f t="shared" si="170"/>
        <v>2248.0000000000005</v>
      </c>
      <c r="JN31" s="32">
        <f t="shared" si="170"/>
        <v>2687.2</v>
      </c>
      <c r="JO31" s="32">
        <f t="shared" si="170"/>
        <v>1681.6</v>
      </c>
      <c r="JP31" s="32">
        <f t="shared" si="170"/>
        <v>3029.6000000000004</v>
      </c>
      <c r="JQ31" s="32">
        <f t="shared" si="170"/>
        <v>3148.8</v>
      </c>
      <c r="JR31" s="32">
        <f t="shared" si="170"/>
        <v>3320.8</v>
      </c>
      <c r="JS31" s="32">
        <f t="shared" si="170"/>
        <v>3813.6000000000004</v>
      </c>
      <c r="JT31" s="32">
        <f t="shared" si="170"/>
        <v>3775.2000000000003</v>
      </c>
      <c r="JU31" s="35">
        <f t="shared" si="5"/>
        <v>38931.199999999997</v>
      </c>
      <c r="JV31" s="40">
        <f t="shared" si="30"/>
        <v>44487.199999999997</v>
      </c>
      <c r="JW31" s="26"/>
      <c r="JX31" s="32">
        <f>SUM(JX28:JX30)</f>
        <v>634</v>
      </c>
      <c r="JY31" s="32">
        <f t="shared" ref="JY31:KI31" si="171">SUM(JY28:JY30)</f>
        <v>573</v>
      </c>
      <c r="JZ31" s="32">
        <f t="shared" si="171"/>
        <v>513</v>
      </c>
      <c r="KA31" s="32">
        <f t="shared" si="171"/>
        <v>240</v>
      </c>
      <c r="KB31" s="32">
        <f t="shared" si="171"/>
        <v>224</v>
      </c>
      <c r="KC31" s="32">
        <f t="shared" si="171"/>
        <v>316</v>
      </c>
      <c r="KD31" s="32">
        <f t="shared" si="171"/>
        <v>396</v>
      </c>
      <c r="KE31" s="32">
        <f t="shared" si="171"/>
        <v>317</v>
      </c>
      <c r="KF31" s="32">
        <f t="shared" si="171"/>
        <v>351</v>
      </c>
      <c r="KG31" s="32">
        <f t="shared" si="171"/>
        <v>212</v>
      </c>
      <c r="KH31" s="32">
        <f t="shared" si="171"/>
        <v>164</v>
      </c>
      <c r="KI31" s="32">
        <f t="shared" si="171"/>
        <v>362</v>
      </c>
      <c r="KJ31" s="38">
        <f t="shared" si="6"/>
        <v>4302</v>
      </c>
      <c r="KK31" s="32">
        <f>SUM(KK28:KK30)</f>
        <v>655</v>
      </c>
      <c r="KL31" s="32">
        <f t="shared" ref="KL31:KV31" si="172">SUM(KL28:KL30)</f>
        <v>587</v>
      </c>
      <c r="KM31" s="32">
        <f t="shared" si="172"/>
        <v>1296</v>
      </c>
      <c r="KN31" s="32">
        <f t="shared" si="172"/>
        <v>591</v>
      </c>
      <c r="KO31" s="32">
        <f t="shared" si="172"/>
        <v>554</v>
      </c>
      <c r="KP31" s="32">
        <f t="shared" si="172"/>
        <v>730</v>
      </c>
      <c r="KQ31" s="32">
        <f t="shared" si="172"/>
        <v>887</v>
      </c>
      <c r="KR31" s="32">
        <f t="shared" si="172"/>
        <v>767</v>
      </c>
      <c r="KS31" s="32">
        <f t="shared" si="172"/>
        <v>832</v>
      </c>
      <c r="KT31" s="32">
        <f t="shared" si="172"/>
        <v>1023</v>
      </c>
      <c r="KU31" s="32">
        <f t="shared" si="172"/>
        <v>952</v>
      </c>
      <c r="KV31" s="32">
        <f t="shared" si="172"/>
        <v>871</v>
      </c>
      <c r="KW31" s="38">
        <f t="shared" si="7"/>
        <v>9745</v>
      </c>
      <c r="KX31" s="36">
        <f t="shared" si="31"/>
        <v>14047</v>
      </c>
      <c r="KY31" s="26"/>
      <c r="KZ31" s="101">
        <f>SUM(KZ28:KZ30)</f>
        <v>211</v>
      </c>
      <c r="LA31" s="101">
        <f t="shared" ref="LA31:LK31" si="173">SUM(LA28:LA30)</f>
        <v>186</v>
      </c>
      <c r="LB31" s="101">
        <f t="shared" si="173"/>
        <v>197</v>
      </c>
      <c r="LC31" s="101">
        <f t="shared" si="173"/>
        <v>198</v>
      </c>
      <c r="LD31" s="101">
        <f t="shared" si="173"/>
        <v>249</v>
      </c>
      <c r="LE31" s="101">
        <f t="shared" si="173"/>
        <v>325</v>
      </c>
      <c r="LF31" s="101">
        <f t="shared" si="173"/>
        <v>256</v>
      </c>
      <c r="LG31" s="101">
        <f t="shared" si="173"/>
        <v>231</v>
      </c>
      <c r="LH31" s="101">
        <f t="shared" si="173"/>
        <v>430</v>
      </c>
      <c r="LI31" s="101">
        <f t="shared" si="173"/>
        <v>478</v>
      </c>
      <c r="LJ31" s="101">
        <f t="shared" si="173"/>
        <v>500</v>
      </c>
      <c r="LK31" s="115">
        <f t="shared" si="173"/>
        <v>444</v>
      </c>
      <c r="LL31" s="38">
        <f t="shared" si="32"/>
        <v>3705</v>
      </c>
      <c r="LM31" s="26"/>
      <c r="LN31" s="71">
        <f>SUM(LN28:LN30)</f>
        <v>5749</v>
      </c>
      <c r="LO31" s="71">
        <f t="shared" ref="LO31:LY31" si="174">SUM(LO28:LO30)</f>
        <v>6987</v>
      </c>
      <c r="LP31" s="71">
        <f t="shared" si="174"/>
        <v>6252</v>
      </c>
      <c r="LQ31" s="71">
        <f t="shared" si="174"/>
        <v>6939</v>
      </c>
      <c r="LR31" s="71">
        <f t="shared" si="174"/>
        <v>6461</v>
      </c>
      <c r="LS31" s="71">
        <f t="shared" si="174"/>
        <v>6846</v>
      </c>
      <c r="LT31" s="71">
        <f t="shared" si="174"/>
        <v>7022</v>
      </c>
      <c r="LU31" s="71">
        <f t="shared" si="174"/>
        <v>3715</v>
      </c>
      <c r="LV31" s="71">
        <f t="shared" si="174"/>
        <v>3445</v>
      </c>
      <c r="LW31" s="71">
        <f t="shared" si="174"/>
        <v>3967</v>
      </c>
      <c r="LX31" s="71">
        <f t="shared" si="174"/>
        <v>3532</v>
      </c>
      <c r="LY31" s="71">
        <f t="shared" si="174"/>
        <v>3833</v>
      </c>
      <c r="LZ31" s="38">
        <f t="shared" si="8"/>
        <v>64748</v>
      </c>
      <c r="MA31" s="26"/>
      <c r="MB31" s="45">
        <f>SUM(MB28:MB30)</f>
        <v>6613</v>
      </c>
      <c r="MC31" s="45">
        <f t="shared" ref="MC31:MM31" si="175">SUM(MC28:MC30)</f>
        <v>5756</v>
      </c>
      <c r="MD31" s="45">
        <f t="shared" si="175"/>
        <v>4938</v>
      </c>
      <c r="ME31" s="45">
        <f t="shared" si="175"/>
        <v>3376</v>
      </c>
      <c r="MF31" s="45">
        <f t="shared" si="175"/>
        <v>1820</v>
      </c>
      <c r="MG31" s="45">
        <f t="shared" si="175"/>
        <v>1953</v>
      </c>
      <c r="MH31" s="45">
        <f t="shared" si="175"/>
        <v>2302</v>
      </c>
      <c r="MI31" s="45">
        <f t="shared" si="175"/>
        <v>2501</v>
      </c>
      <c r="MJ31" s="45">
        <f t="shared" si="175"/>
        <v>2533</v>
      </c>
      <c r="MK31" s="45">
        <f t="shared" si="175"/>
        <v>3501</v>
      </c>
      <c r="ML31" s="45">
        <f t="shared" si="175"/>
        <v>3454</v>
      </c>
      <c r="MM31" s="45">
        <f t="shared" si="175"/>
        <v>3230</v>
      </c>
      <c r="MN31" s="38">
        <f t="shared" si="9"/>
        <v>41977</v>
      </c>
      <c r="MO31" s="32">
        <f>SUM(MO28:MO30)</f>
        <v>7625</v>
      </c>
      <c r="MP31" s="32">
        <f t="shared" ref="MP31:MZ31" si="176">SUM(MP28:MP30)</f>
        <v>5787</v>
      </c>
      <c r="MQ31" s="32">
        <f t="shared" si="176"/>
        <v>5104</v>
      </c>
      <c r="MR31" s="32">
        <f t="shared" si="176"/>
        <v>1760</v>
      </c>
      <c r="MS31" s="32">
        <f t="shared" si="176"/>
        <v>2163</v>
      </c>
      <c r="MT31" s="32">
        <f t="shared" si="176"/>
        <v>2164</v>
      </c>
      <c r="MU31" s="32">
        <f t="shared" si="176"/>
        <v>2230</v>
      </c>
      <c r="MV31" s="32">
        <f t="shared" si="176"/>
        <v>2630</v>
      </c>
      <c r="MW31" s="32">
        <f t="shared" si="176"/>
        <v>2897</v>
      </c>
      <c r="MX31" s="32">
        <f t="shared" si="176"/>
        <v>3528</v>
      </c>
      <c r="MY31" s="32">
        <f t="shared" si="176"/>
        <v>3498</v>
      </c>
      <c r="MZ31" s="32">
        <f t="shared" si="176"/>
        <v>3633</v>
      </c>
      <c r="NA31" s="38">
        <f t="shared" si="10"/>
        <v>43019</v>
      </c>
      <c r="NB31" s="36">
        <f t="shared" si="33"/>
        <v>84996</v>
      </c>
      <c r="NC31" s="26"/>
      <c r="ND31" s="32">
        <f>SUM(ND28:ND30)</f>
        <v>1399</v>
      </c>
      <c r="NE31" s="32">
        <f t="shared" ref="NE31:NO31" si="177">SUM(NE28:NE30)</f>
        <v>1305</v>
      </c>
      <c r="NF31" s="32">
        <f t="shared" si="177"/>
        <v>1105</v>
      </c>
      <c r="NG31" s="32">
        <f t="shared" si="177"/>
        <v>383</v>
      </c>
      <c r="NH31" s="32">
        <f t="shared" si="177"/>
        <v>389</v>
      </c>
      <c r="NI31" s="32">
        <f t="shared" si="177"/>
        <v>598</v>
      </c>
      <c r="NJ31" s="32">
        <f t="shared" si="177"/>
        <v>504</v>
      </c>
      <c r="NK31" s="32">
        <f t="shared" si="177"/>
        <v>607</v>
      </c>
      <c r="NL31" s="32">
        <f t="shared" si="177"/>
        <v>723</v>
      </c>
      <c r="NM31" s="32">
        <f t="shared" si="177"/>
        <v>698</v>
      </c>
      <c r="NN31" s="32">
        <f t="shared" si="177"/>
        <v>864</v>
      </c>
      <c r="NO31" s="32">
        <f t="shared" si="177"/>
        <v>888</v>
      </c>
      <c r="NP31" s="118">
        <f t="shared" si="11"/>
        <v>9463</v>
      </c>
      <c r="NQ31" s="36">
        <f t="shared" si="34"/>
        <v>55055</v>
      </c>
      <c r="NR31" s="36">
        <f t="shared" si="35"/>
        <v>296498</v>
      </c>
      <c r="NS31" s="36">
        <f t="shared" si="36"/>
        <v>179057.2</v>
      </c>
      <c r="NT31" s="36">
        <f t="shared" si="37"/>
        <v>530610.19999999995</v>
      </c>
      <c r="NU31" s="18"/>
      <c r="NV31" s="18"/>
      <c r="NW31" s="18"/>
      <c r="NX31" s="19"/>
      <c r="NY31" s="19"/>
      <c r="NZ31" s="19"/>
      <c r="OA31" s="19"/>
      <c r="OB31" s="19"/>
      <c r="OC31" s="19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8"/>
      <c r="OR31" s="18"/>
      <c r="OS31" s="18"/>
      <c r="OT31" s="18"/>
      <c r="OU31" s="18"/>
      <c r="OV31" s="18"/>
      <c r="OW31" s="18"/>
      <c r="OX31" s="19"/>
      <c r="OY31" s="19"/>
      <c r="OZ31" s="19"/>
      <c r="PA31" s="19"/>
      <c r="PB31" s="19"/>
      <c r="PC31" s="19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8"/>
      <c r="PR31" s="18"/>
      <c r="PS31" s="18"/>
      <c r="PT31" s="18"/>
      <c r="PU31" s="18"/>
      <c r="PV31" s="18"/>
      <c r="PW31" s="18"/>
      <c r="PX31" s="19"/>
      <c r="PY31" s="19"/>
      <c r="PZ31" s="19"/>
      <c r="QA31" s="19"/>
      <c r="QB31" s="19"/>
      <c r="QC31" s="19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</row>
    <row r="32" spans="1:458" s="1" customFormat="1" ht="50.1" customHeight="1" x14ac:dyDescent="0.25">
      <c r="A32" s="120"/>
      <c r="B32" s="6" t="s">
        <v>21</v>
      </c>
      <c r="C32" s="23"/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38">
        <f t="shared" si="12"/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38">
        <f t="shared" si="38"/>
        <v>0</v>
      </c>
      <c r="AD32" s="36">
        <f t="shared" si="13"/>
        <v>0</v>
      </c>
      <c r="AE32" s="26"/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8">
        <f t="shared" si="14"/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8">
        <f t="shared" si="15"/>
        <v>0</v>
      </c>
      <c r="BF32" s="36">
        <f t="shared" si="16"/>
        <v>0</v>
      </c>
      <c r="BG32" s="26"/>
      <c r="BH32" s="41">
        <v>0</v>
      </c>
      <c r="BI32" s="41">
        <v>0</v>
      </c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  <c r="BQ32" s="41">
        <v>0</v>
      </c>
      <c r="BR32" s="41">
        <v>0</v>
      </c>
      <c r="BS32" s="41">
        <v>0</v>
      </c>
      <c r="BT32" s="38">
        <f t="shared" si="17"/>
        <v>0</v>
      </c>
      <c r="BU32" s="54">
        <v>5</v>
      </c>
      <c r="BV32" s="54">
        <v>2</v>
      </c>
      <c r="BW32" s="54">
        <v>3</v>
      </c>
      <c r="BX32" s="54">
        <v>3</v>
      </c>
      <c r="BY32" s="54">
        <v>4</v>
      </c>
      <c r="BZ32" s="54">
        <v>3</v>
      </c>
      <c r="CA32" s="54">
        <v>1</v>
      </c>
      <c r="CB32" s="54">
        <v>2</v>
      </c>
      <c r="CC32" s="54">
        <v>3</v>
      </c>
      <c r="CD32" s="54">
        <v>3</v>
      </c>
      <c r="CE32" s="54">
        <v>3</v>
      </c>
      <c r="CF32" s="54">
        <v>4</v>
      </c>
      <c r="CG32" s="38">
        <f t="shared" si="18"/>
        <v>36</v>
      </c>
      <c r="CH32" s="36">
        <f t="shared" si="19"/>
        <v>36</v>
      </c>
      <c r="CI32" s="26"/>
      <c r="CJ32" s="32">
        <v>9</v>
      </c>
      <c r="CK32" s="32">
        <v>9</v>
      </c>
      <c r="CL32" s="32">
        <v>11</v>
      </c>
      <c r="CM32" s="32">
        <v>8</v>
      </c>
      <c r="CN32" s="32">
        <v>9</v>
      </c>
      <c r="CO32" s="32">
        <v>17</v>
      </c>
      <c r="CP32" s="32">
        <v>27</v>
      </c>
      <c r="CQ32" s="32">
        <v>19</v>
      </c>
      <c r="CR32" s="32">
        <v>13</v>
      </c>
      <c r="CS32" s="32">
        <v>9</v>
      </c>
      <c r="CT32" s="32">
        <v>26</v>
      </c>
      <c r="CU32" s="32">
        <v>17</v>
      </c>
      <c r="CV32" s="38">
        <f t="shared" si="20"/>
        <v>174</v>
      </c>
      <c r="CW32" s="54">
        <v>24</v>
      </c>
      <c r="CX32" s="54">
        <v>18</v>
      </c>
      <c r="CY32" s="54">
        <v>25</v>
      </c>
      <c r="CZ32" s="54">
        <v>23</v>
      </c>
      <c r="DA32" s="54">
        <v>21</v>
      </c>
      <c r="DB32" s="54">
        <v>27</v>
      </c>
      <c r="DC32" s="54">
        <v>27</v>
      </c>
      <c r="DD32" s="54">
        <v>12</v>
      </c>
      <c r="DE32" s="54">
        <v>24</v>
      </c>
      <c r="DF32" s="54">
        <v>35</v>
      </c>
      <c r="DG32" s="54">
        <v>30</v>
      </c>
      <c r="DH32" s="54">
        <v>31</v>
      </c>
      <c r="DI32" s="38">
        <f t="shared" si="21"/>
        <v>297</v>
      </c>
      <c r="DJ32" s="36">
        <f t="shared" si="22"/>
        <v>471</v>
      </c>
      <c r="DK32" s="26"/>
      <c r="DL32" s="75">
        <v>0</v>
      </c>
      <c r="DM32" s="75">
        <v>0</v>
      </c>
      <c r="DN32" s="75">
        <v>0</v>
      </c>
      <c r="DO32" s="75">
        <v>0</v>
      </c>
      <c r="DP32" s="75">
        <v>0</v>
      </c>
      <c r="DQ32" s="75">
        <v>0</v>
      </c>
      <c r="DR32" s="75">
        <v>0</v>
      </c>
      <c r="DS32" s="75">
        <v>0</v>
      </c>
      <c r="DT32" s="75">
        <v>0</v>
      </c>
      <c r="DU32" s="75">
        <v>0</v>
      </c>
      <c r="DV32" s="75">
        <v>0</v>
      </c>
      <c r="DW32" s="75">
        <v>0</v>
      </c>
      <c r="DX32" s="38">
        <f t="shared" si="0"/>
        <v>0</v>
      </c>
      <c r="DY32" s="64">
        <v>5</v>
      </c>
      <c r="DZ32" s="64">
        <v>6</v>
      </c>
      <c r="EA32" s="64">
        <v>8</v>
      </c>
      <c r="EB32" s="64">
        <v>5</v>
      </c>
      <c r="EC32" s="64">
        <v>2</v>
      </c>
      <c r="ED32" s="64">
        <v>1</v>
      </c>
      <c r="EE32" s="64">
        <v>2</v>
      </c>
      <c r="EF32" s="64">
        <v>5</v>
      </c>
      <c r="EG32" s="64">
        <v>3</v>
      </c>
      <c r="EH32" s="64">
        <v>5</v>
      </c>
      <c r="EI32" s="64">
        <v>6</v>
      </c>
      <c r="EJ32" s="64">
        <v>3</v>
      </c>
      <c r="EK32" s="38">
        <f t="shared" si="23"/>
        <v>51</v>
      </c>
      <c r="EL32" s="36">
        <f t="shared" si="1"/>
        <v>51</v>
      </c>
      <c r="EM32" s="26"/>
      <c r="EN32" s="32">
        <v>0</v>
      </c>
      <c r="EO32" s="32">
        <v>0</v>
      </c>
      <c r="EP32" s="32">
        <v>0</v>
      </c>
      <c r="EQ32" s="32">
        <v>0</v>
      </c>
      <c r="ER32" s="32">
        <v>0</v>
      </c>
      <c r="ES32" s="32">
        <v>0</v>
      </c>
      <c r="ET32" s="32">
        <v>0</v>
      </c>
      <c r="EU32" s="32">
        <v>0</v>
      </c>
      <c r="EV32" s="32">
        <v>0</v>
      </c>
      <c r="EW32" s="32">
        <v>0</v>
      </c>
      <c r="EX32" s="32">
        <v>0</v>
      </c>
      <c r="EY32" s="32">
        <v>0</v>
      </c>
      <c r="EZ32" s="38">
        <f t="shared" si="24"/>
        <v>0</v>
      </c>
      <c r="FA32" s="26"/>
      <c r="FB32" s="104">
        <v>0</v>
      </c>
      <c r="FC32" s="104">
        <v>0</v>
      </c>
      <c r="FD32" s="104">
        <v>0</v>
      </c>
      <c r="FE32" s="104">
        <v>0</v>
      </c>
      <c r="FF32" s="104">
        <v>0</v>
      </c>
      <c r="FG32" s="104">
        <v>0</v>
      </c>
      <c r="FH32" s="104">
        <v>0</v>
      </c>
      <c r="FI32" s="104">
        <v>0</v>
      </c>
      <c r="FJ32" s="104">
        <v>0</v>
      </c>
      <c r="FK32" s="104">
        <v>0</v>
      </c>
      <c r="FL32" s="104">
        <v>0</v>
      </c>
      <c r="FM32" s="104">
        <v>0</v>
      </c>
      <c r="FN32" s="38">
        <f t="shared" si="25"/>
        <v>0</v>
      </c>
      <c r="FO32" s="26"/>
      <c r="FP32" s="32">
        <v>15</v>
      </c>
      <c r="FQ32" s="32">
        <v>9</v>
      </c>
      <c r="FR32" s="32">
        <v>12</v>
      </c>
      <c r="FS32" s="32">
        <v>13</v>
      </c>
      <c r="FT32" s="32">
        <v>15</v>
      </c>
      <c r="FU32" s="32">
        <v>12</v>
      </c>
      <c r="FV32" s="32">
        <v>18</v>
      </c>
      <c r="FW32" s="32">
        <v>13</v>
      </c>
      <c r="FX32" s="32">
        <v>10</v>
      </c>
      <c r="FY32" s="32">
        <v>8</v>
      </c>
      <c r="FZ32" s="32">
        <v>19</v>
      </c>
      <c r="GA32" s="32">
        <v>14</v>
      </c>
      <c r="GB32" s="38">
        <f t="shared" si="26"/>
        <v>158</v>
      </c>
      <c r="GC32" s="26"/>
      <c r="GD32" s="101">
        <v>11</v>
      </c>
      <c r="GE32" s="101">
        <v>19</v>
      </c>
      <c r="GF32" s="101">
        <v>22</v>
      </c>
      <c r="GG32" s="101">
        <v>10</v>
      </c>
      <c r="GH32" s="101">
        <v>17</v>
      </c>
      <c r="GI32" s="101">
        <v>32</v>
      </c>
      <c r="GJ32" s="101">
        <v>34</v>
      </c>
      <c r="GK32" s="101">
        <v>35</v>
      </c>
      <c r="GL32" s="101">
        <v>20</v>
      </c>
      <c r="GM32" s="101">
        <v>17</v>
      </c>
      <c r="GN32" s="101">
        <v>19</v>
      </c>
      <c r="GO32" s="101">
        <v>9</v>
      </c>
      <c r="GP32" s="38">
        <f t="shared" si="27"/>
        <v>245</v>
      </c>
      <c r="GQ32" s="26"/>
      <c r="GR32" s="32">
        <v>0</v>
      </c>
      <c r="GS32" s="32">
        <v>0</v>
      </c>
      <c r="GT32" s="32">
        <v>0</v>
      </c>
      <c r="GU32" s="32">
        <v>0</v>
      </c>
      <c r="GV32" s="32">
        <v>0</v>
      </c>
      <c r="GW32" s="32">
        <v>0</v>
      </c>
      <c r="GX32" s="32">
        <v>0</v>
      </c>
      <c r="GY32" s="32">
        <v>0</v>
      </c>
      <c r="GZ32" s="32">
        <v>0</v>
      </c>
      <c r="HA32" s="32">
        <v>0</v>
      </c>
      <c r="HB32" s="32">
        <v>0</v>
      </c>
      <c r="HC32" s="32">
        <v>0</v>
      </c>
      <c r="HD32" s="38">
        <f t="shared" si="28"/>
        <v>0</v>
      </c>
      <c r="HE32" s="26"/>
      <c r="HF32" s="54">
        <v>0</v>
      </c>
      <c r="HG32" s="54">
        <v>0</v>
      </c>
      <c r="HH32" s="54">
        <v>0</v>
      </c>
      <c r="HI32" s="54">
        <v>0</v>
      </c>
      <c r="HJ32" s="54">
        <v>0</v>
      </c>
      <c r="HK32" s="54">
        <v>0</v>
      </c>
      <c r="HL32" s="54">
        <v>0</v>
      </c>
      <c r="HM32" s="54">
        <v>0</v>
      </c>
      <c r="HN32" s="54">
        <v>0</v>
      </c>
      <c r="HO32" s="54">
        <v>0</v>
      </c>
      <c r="HP32" s="54">
        <v>0</v>
      </c>
      <c r="HQ32" s="54">
        <v>0</v>
      </c>
      <c r="HR32" s="38">
        <f t="shared" si="29"/>
        <v>0</v>
      </c>
      <c r="HS32" s="26"/>
      <c r="HT32" s="32">
        <v>2</v>
      </c>
      <c r="HU32" s="32">
        <v>1</v>
      </c>
      <c r="HV32" s="32">
        <v>3</v>
      </c>
      <c r="HW32" s="32">
        <v>3</v>
      </c>
      <c r="HX32" s="32">
        <v>2</v>
      </c>
      <c r="HY32" s="32">
        <v>4</v>
      </c>
      <c r="HZ32" s="32">
        <v>2</v>
      </c>
      <c r="IA32" s="32">
        <v>3</v>
      </c>
      <c r="IB32" s="32">
        <v>4</v>
      </c>
      <c r="IC32" s="32">
        <v>3</v>
      </c>
      <c r="ID32" s="32">
        <v>2</v>
      </c>
      <c r="IE32" s="69">
        <v>2</v>
      </c>
      <c r="IF32" s="38">
        <f t="shared" si="2"/>
        <v>31</v>
      </c>
      <c r="IG32" s="104">
        <v>13</v>
      </c>
      <c r="IH32" s="104">
        <v>11</v>
      </c>
      <c r="II32" s="104">
        <v>10</v>
      </c>
      <c r="IJ32" s="104">
        <v>17</v>
      </c>
      <c r="IK32" s="104">
        <v>13</v>
      </c>
      <c r="IL32" s="104">
        <v>16</v>
      </c>
      <c r="IM32" s="104">
        <v>17</v>
      </c>
      <c r="IN32" s="104">
        <v>15</v>
      </c>
      <c r="IO32" s="104">
        <v>14</v>
      </c>
      <c r="IP32" s="104">
        <v>19</v>
      </c>
      <c r="IQ32" s="104">
        <v>13</v>
      </c>
      <c r="IR32" s="107">
        <v>11</v>
      </c>
      <c r="IS32" s="38">
        <f t="shared" si="3"/>
        <v>169</v>
      </c>
      <c r="IT32" s="36">
        <f t="shared" si="39"/>
        <v>200</v>
      </c>
      <c r="IU32" s="26"/>
      <c r="IV32" s="32">
        <v>5</v>
      </c>
      <c r="IW32" s="32">
        <v>3</v>
      </c>
      <c r="IX32" s="32">
        <v>4</v>
      </c>
      <c r="IY32" s="32">
        <v>7</v>
      </c>
      <c r="IZ32" s="32">
        <v>6</v>
      </c>
      <c r="JA32" s="32">
        <v>4</v>
      </c>
      <c r="JB32" s="32">
        <v>4</v>
      </c>
      <c r="JC32" s="32">
        <v>5</v>
      </c>
      <c r="JD32" s="32">
        <v>3</v>
      </c>
      <c r="JE32" s="32">
        <v>6</v>
      </c>
      <c r="JF32" s="32">
        <v>4</v>
      </c>
      <c r="JG32" s="32">
        <v>5</v>
      </c>
      <c r="JH32" s="38">
        <f t="shared" si="4"/>
        <v>56</v>
      </c>
      <c r="JI32" s="110">
        <v>14</v>
      </c>
      <c r="JJ32" s="32">
        <v>13</v>
      </c>
      <c r="JK32" s="32">
        <v>15</v>
      </c>
      <c r="JL32" s="32">
        <v>16</v>
      </c>
      <c r="JM32" s="32">
        <v>22</v>
      </c>
      <c r="JN32" s="32">
        <v>14</v>
      </c>
      <c r="JO32" s="32">
        <v>11</v>
      </c>
      <c r="JP32" s="32">
        <v>3</v>
      </c>
      <c r="JQ32" s="32">
        <v>25</v>
      </c>
      <c r="JR32" s="32">
        <v>17</v>
      </c>
      <c r="JS32" s="32">
        <v>13</v>
      </c>
      <c r="JT32" s="32">
        <v>11</v>
      </c>
      <c r="JU32" s="35">
        <f t="shared" si="5"/>
        <v>174</v>
      </c>
      <c r="JV32" s="40">
        <f t="shared" si="30"/>
        <v>230</v>
      </c>
      <c r="JW32" s="26"/>
      <c r="JX32" s="32">
        <v>0</v>
      </c>
      <c r="JY32" s="32">
        <v>0</v>
      </c>
      <c r="JZ32" s="32">
        <v>0</v>
      </c>
      <c r="KA32" s="32">
        <v>0</v>
      </c>
      <c r="KB32" s="32">
        <v>0</v>
      </c>
      <c r="KC32" s="32">
        <v>0</v>
      </c>
      <c r="KD32" s="32">
        <v>0</v>
      </c>
      <c r="KE32" s="32">
        <v>0</v>
      </c>
      <c r="KF32" s="32">
        <v>0</v>
      </c>
      <c r="KG32" s="32">
        <v>0</v>
      </c>
      <c r="KH32" s="32">
        <v>0</v>
      </c>
      <c r="KI32" s="32">
        <v>0</v>
      </c>
      <c r="KJ32" s="38">
        <f t="shared" si="6"/>
        <v>0</v>
      </c>
      <c r="KK32" s="32">
        <v>12</v>
      </c>
      <c r="KL32" s="32">
        <v>4</v>
      </c>
      <c r="KM32" s="32">
        <v>53</v>
      </c>
      <c r="KN32" s="32">
        <v>3</v>
      </c>
      <c r="KO32" s="32">
        <v>0</v>
      </c>
      <c r="KP32" s="32">
        <v>0</v>
      </c>
      <c r="KQ32" s="32">
        <v>5</v>
      </c>
      <c r="KR32" s="32">
        <v>7</v>
      </c>
      <c r="KS32" s="32">
        <v>0</v>
      </c>
      <c r="KT32" s="32">
        <v>5</v>
      </c>
      <c r="KU32" s="32">
        <v>4</v>
      </c>
      <c r="KV32" s="32">
        <v>2</v>
      </c>
      <c r="KW32" s="38">
        <f t="shared" si="7"/>
        <v>95</v>
      </c>
      <c r="KX32" s="36">
        <f t="shared" si="31"/>
        <v>95</v>
      </c>
      <c r="KY32" s="26"/>
      <c r="KZ32" s="101">
        <v>9</v>
      </c>
      <c r="LA32" s="101">
        <v>12</v>
      </c>
      <c r="LB32" s="101">
        <v>10</v>
      </c>
      <c r="LC32" s="101">
        <v>17</v>
      </c>
      <c r="LD32" s="101">
        <v>4</v>
      </c>
      <c r="LE32" s="101">
        <v>6</v>
      </c>
      <c r="LF32" s="101">
        <v>9</v>
      </c>
      <c r="LG32" s="101">
        <v>13</v>
      </c>
      <c r="LH32" s="101">
        <v>11</v>
      </c>
      <c r="LI32" s="101">
        <v>3</v>
      </c>
      <c r="LJ32" s="101">
        <v>5</v>
      </c>
      <c r="LK32" s="115">
        <v>8</v>
      </c>
      <c r="LL32" s="38">
        <f t="shared" si="32"/>
        <v>107</v>
      </c>
      <c r="LM32" s="26"/>
      <c r="LN32" s="71">
        <v>22</v>
      </c>
      <c r="LO32" s="71">
        <v>15</v>
      </c>
      <c r="LP32" s="71">
        <v>27</v>
      </c>
      <c r="LQ32" s="71">
        <v>23</v>
      </c>
      <c r="LR32" s="71">
        <v>19</v>
      </c>
      <c r="LS32" s="71">
        <v>40</v>
      </c>
      <c r="LT32" s="71">
        <v>26</v>
      </c>
      <c r="LU32" s="45">
        <v>6</v>
      </c>
      <c r="LV32" s="45">
        <v>31</v>
      </c>
      <c r="LW32" s="45">
        <v>58</v>
      </c>
      <c r="LX32" s="45">
        <v>30</v>
      </c>
      <c r="LY32" s="45">
        <v>30</v>
      </c>
      <c r="LZ32" s="38">
        <f t="shared" si="8"/>
        <v>327</v>
      </c>
      <c r="MA32" s="26"/>
      <c r="MB32" s="45">
        <v>0</v>
      </c>
      <c r="MC32" s="45">
        <v>0</v>
      </c>
      <c r="MD32" s="45">
        <v>0</v>
      </c>
      <c r="ME32" s="45">
        <v>0</v>
      </c>
      <c r="MF32" s="45">
        <v>0</v>
      </c>
      <c r="MG32" s="45">
        <v>0</v>
      </c>
      <c r="MH32" s="45">
        <v>0</v>
      </c>
      <c r="MI32" s="45">
        <v>0</v>
      </c>
      <c r="MJ32" s="45">
        <v>0</v>
      </c>
      <c r="MK32" s="45">
        <v>0</v>
      </c>
      <c r="ML32" s="45">
        <v>0</v>
      </c>
      <c r="MM32" s="45">
        <v>0</v>
      </c>
      <c r="MN32" s="38">
        <f t="shared" si="9"/>
        <v>0</v>
      </c>
      <c r="MO32" s="32">
        <v>38</v>
      </c>
      <c r="MP32" s="32">
        <v>54</v>
      </c>
      <c r="MQ32" s="32">
        <v>26</v>
      </c>
      <c r="MR32" s="32">
        <v>19</v>
      </c>
      <c r="MS32" s="32">
        <v>25</v>
      </c>
      <c r="MT32" s="32">
        <v>14</v>
      </c>
      <c r="MU32" s="32">
        <v>9</v>
      </c>
      <c r="MV32" s="32">
        <v>20</v>
      </c>
      <c r="MW32" s="32">
        <v>55</v>
      </c>
      <c r="MX32" s="32">
        <v>74</v>
      </c>
      <c r="MY32" s="32">
        <v>49</v>
      </c>
      <c r="MZ32" s="32">
        <v>40</v>
      </c>
      <c r="NA32" s="38">
        <f t="shared" si="10"/>
        <v>423</v>
      </c>
      <c r="NB32" s="36">
        <f t="shared" si="33"/>
        <v>423</v>
      </c>
      <c r="NC32" s="26"/>
      <c r="ND32" s="32">
        <v>0</v>
      </c>
      <c r="NE32" s="32">
        <v>0</v>
      </c>
      <c r="NF32" s="32">
        <v>0</v>
      </c>
      <c r="NG32" s="32">
        <v>0</v>
      </c>
      <c r="NH32" s="32">
        <v>0</v>
      </c>
      <c r="NI32" s="32">
        <v>0</v>
      </c>
      <c r="NJ32" s="32">
        <v>0</v>
      </c>
      <c r="NK32" s="32">
        <v>0</v>
      </c>
      <c r="NL32" s="32">
        <v>0</v>
      </c>
      <c r="NM32" s="32">
        <v>0</v>
      </c>
      <c r="NN32" s="32">
        <v>0</v>
      </c>
      <c r="NO32" s="32">
        <v>0</v>
      </c>
      <c r="NP32" s="118">
        <f t="shared" si="11"/>
        <v>0</v>
      </c>
      <c r="NQ32" s="36">
        <f t="shared" si="34"/>
        <v>205</v>
      </c>
      <c r="NR32" s="36">
        <f t="shared" si="35"/>
        <v>1541</v>
      </c>
      <c r="NS32" s="36">
        <f t="shared" si="36"/>
        <v>597</v>
      </c>
      <c r="NT32" s="36">
        <f t="shared" si="37"/>
        <v>2343</v>
      </c>
      <c r="NU32" s="18"/>
      <c r="NV32" s="18"/>
      <c r="NW32" s="18"/>
      <c r="NX32" s="19"/>
      <c r="NY32" s="19"/>
      <c r="NZ32" s="19"/>
      <c r="OA32" s="19"/>
      <c r="OB32" s="19"/>
      <c r="OC32" s="19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8"/>
      <c r="OR32" s="18"/>
      <c r="OS32" s="18"/>
      <c r="OT32" s="18"/>
      <c r="OU32" s="18"/>
      <c r="OV32" s="18"/>
      <c r="OW32" s="18"/>
      <c r="OX32" s="19"/>
      <c r="OY32" s="19"/>
      <c r="OZ32" s="19"/>
      <c r="PA32" s="19"/>
      <c r="PB32" s="19"/>
      <c r="PC32" s="19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8"/>
      <c r="PR32" s="18"/>
      <c r="PS32" s="18"/>
      <c r="PT32" s="18"/>
      <c r="PU32" s="18"/>
      <c r="PV32" s="18"/>
      <c r="PW32" s="18"/>
      <c r="PX32" s="19"/>
      <c r="PY32" s="19"/>
      <c r="PZ32" s="19"/>
      <c r="QA32" s="19"/>
      <c r="QB32" s="19"/>
      <c r="QC32" s="19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</row>
    <row r="33" spans="1:458" s="1" customFormat="1" ht="50.1" customHeight="1" x14ac:dyDescent="0.25">
      <c r="A33" s="120"/>
      <c r="B33" s="6" t="s">
        <v>22</v>
      </c>
      <c r="C33" s="23"/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38">
        <f t="shared" si="12"/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38">
        <f t="shared" si="38"/>
        <v>0</v>
      </c>
      <c r="AD33" s="36">
        <f t="shared" si="13"/>
        <v>0</v>
      </c>
      <c r="AE33" s="26"/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8">
        <f t="shared" si="14"/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8">
        <f t="shared" si="15"/>
        <v>0</v>
      </c>
      <c r="BF33" s="36">
        <f t="shared" si="16"/>
        <v>0</v>
      </c>
      <c r="BG33" s="26"/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  <c r="BQ33" s="41">
        <v>0</v>
      </c>
      <c r="BR33" s="41">
        <v>0</v>
      </c>
      <c r="BS33" s="41">
        <v>0</v>
      </c>
      <c r="BT33" s="38">
        <f t="shared" si="17"/>
        <v>0</v>
      </c>
      <c r="BU33" s="54">
        <v>0</v>
      </c>
      <c r="BV33" s="54">
        <v>0</v>
      </c>
      <c r="BW33" s="54">
        <v>0</v>
      </c>
      <c r="BX33" s="54">
        <v>0</v>
      </c>
      <c r="BY33" s="54">
        <v>0</v>
      </c>
      <c r="BZ33" s="54">
        <v>0</v>
      </c>
      <c r="CA33" s="54">
        <v>0</v>
      </c>
      <c r="CB33" s="54">
        <v>0</v>
      </c>
      <c r="CC33" s="54">
        <v>0</v>
      </c>
      <c r="CD33" s="54">
        <v>0</v>
      </c>
      <c r="CE33" s="54">
        <v>0</v>
      </c>
      <c r="CF33" s="54">
        <v>0</v>
      </c>
      <c r="CG33" s="38">
        <f t="shared" si="18"/>
        <v>0</v>
      </c>
      <c r="CH33" s="36">
        <f t="shared" si="19"/>
        <v>0</v>
      </c>
      <c r="CI33" s="26"/>
      <c r="CJ33" s="32">
        <v>0</v>
      </c>
      <c r="CK33" s="32">
        <v>0</v>
      </c>
      <c r="CL33" s="32">
        <v>0</v>
      </c>
      <c r="CM33" s="32">
        <v>0</v>
      </c>
      <c r="CN33" s="32">
        <v>0</v>
      </c>
      <c r="CO33" s="32">
        <v>0</v>
      </c>
      <c r="CP33" s="32">
        <v>0</v>
      </c>
      <c r="CQ33" s="32">
        <v>0</v>
      </c>
      <c r="CR33" s="32">
        <v>0</v>
      </c>
      <c r="CS33" s="32">
        <v>0</v>
      </c>
      <c r="CT33" s="32">
        <v>0</v>
      </c>
      <c r="CU33" s="32">
        <v>0</v>
      </c>
      <c r="CV33" s="38">
        <f t="shared" si="20"/>
        <v>0</v>
      </c>
      <c r="CW33" s="54">
        <v>0</v>
      </c>
      <c r="CX33" s="54">
        <v>0</v>
      </c>
      <c r="CY33" s="54">
        <v>0</v>
      </c>
      <c r="CZ33" s="54">
        <v>0</v>
      </c>
      <c r="DA33" s="54">
        <v>0</v>
      </c>
      <c r="DB33" s="54">
        <v>0</v>
      </c>
      <c r="DC33" s="54">
        <v>0</v>
      </c>
      <c r="DD33" s="54">
        <v>0</v>
      </c>
      <c r="DE33" s="54">
        <v>0</v>
      </c>
      <c r="DF33" s="54">
        <v>0</v>
      </c>
      <c r="DG33" s="54">
        <v>0</v>
      </c>
      <c r="DH33" s="54">
        <v>0</v>
      </c>
      <c r="DI33" s="38">
        <f t="shared" si="21"/>
        <v>0</v>
      </c>
      <c r="DJ33" s="36">
        <f t="shared" si="22"/>
        <v>0</v>
      </c>
      <c r="DK33" s="26"/>
      <c r="DL33" s="75">
        <v>0</v>
      </c>
      <c r="DM33" s="75">
        <v>0</v>
      </c>
      <c r="DN33" s="75">
        <v>0</v>
      </c>
      <c r="DO33" s="75">
        <v>0</v>
      </c>
      <c r="DP33" s="75">
        <v>0</v>
      </c>
      <c r="DQ33" s="75">
        <v>0</v>
      </c>
      <c r="DR33" s="75">
        <v>0</v>
      </c>
      <c r="DS33" s="75">
        <v>0</v>
      </c>
      <c r="DT33" s="75">
        <v>0</v>
      </c>
      <c r="DU33" s="75">
        <v>0</v>
      </c>
      <c r="DV33" s="75">
        <v>0</v>
      </c>
      <c r="DW33" s="75">
        <v>0</v>
      </c>
      <c r="DX33" s="38">
        <f t="shared" si="0"/>
        <v>0</v>
      </c>
      <c r="DY33" s="63">
        <v>0</v>
      </c>
      <c r="DZ33" s="63">
        <v>0</v>
      </c>
      <c r="EA33" s="63">
        <v>0</v>
      </c>
      <c r="EB33" s="63">
        <v>0</v>
      </c>
      <c r="EC33" s="63">
        <v>0</v>
      </c>
      <c r="ED33" s="63">
        <v>0</v>
      </c>
      <c r="EE33" s="63">
        <v>0</v>
      </c>
      <c r="EF33" s="63">
        <v>0</v>
      </c>
      <c r="EG33" s="63">
        <v>0</v>
      </c>
      <c r="EH33" s="63">
        <v>0</v>
      </c>
      <c r="EI33" s="63">
        <v>0</v>
      </c>
      <c r="EJ33" s="63">
        <v>0</v>
      </c>
      <c r="EK33" s="38">
        <f t="shared" si="23"/>
        <v>0</v>
      </c>
      <c r="EL33" s="36">
        <f t="shared" si="1"/>
        <v>0</v>
      </c>
      <c r="EM33" s="26"/>
      <c r="EN33" s="32">
        <v>0</v>
      </c>
      <c r="EO33" s="32">
        <v>0</v>
      </c>
      <c r="EP33" s="32">
        <v>0</v>
      </c>
      <c r="EQ33" s="32">
        <v>0</v>
      </c>
      <c r="ER33" s="32">
        <v>0</v>
      </c>
      <c r="ES33" s="32">
        <v>0</v>
      </c>
      <c r="ET33" s="32">
        <v>0</v>
      </c>
      <c r="EU33" s="32">
        <v>0</v>
      </c>
      <c r="EV33" s="32">
        <v>0</v>
      </c>
      <c r="EW33" s="32">
        <v>0</v>
      </c>
      <c r="EX33" s="32">
        <v>0</v>
      </c>
      <c r="EY33" s="32">
        <v>0</v>
      </c>
      <c r="EZ33" s="38">
        <f t="shared" si="24"/>
        <v>0</v>
      </c>
      <c r="FA33" s="26"/>
      <c r="FB33" s="104">
        <v>0</v>
      </c>
      <c r="FC33" s="104">
        <v>0</v>
      </c>
      <c r="FD33" s="104">
        <v>0</v>
      </c>
      <c r="FE33" s="104">
        <v>0</v>
      </c>
      <c r="FF33" s="104">
        <v>0</v>
      </c>
      <c r="FG33" s="104">
        <v>0</v>
      </c>
      <c r="FH33" s="104">
        <v>0</v>
      </c>
      <c r="FI33" s="104">
        <v>0</v>
      </c>
      <c r="FJ33" s="104">
        <v>0</v>
      </c>
      <c r="FK33" s="104">
        <v>0</v>
      </c>
      <c r="FL33" s="104">
        <v>0</v>
      </c>
      <c r="FM33" s="104">
        <v>0</v>
      </c>
      <c r="FN33" s="38">
        <f t="shared" si="25"/>
        <v>0</v>
      </c>
      <c r="FO33" s="26"/>
      <c r="FP33" s="32">
        <v>0</v>
      </c>
      <c r="FQ33" s="32">
        <v>0</v>
      </c>
      <c r="FR33" s="32">
        <v>0</v>
      </c>
      <c r="FS33" s="32">
        <v>0</v>
      </c>
      <c r="FT33" s="32">
        <v>0</v>
      </c>
      <c r="FU33" s="32">
        <v>0</v>
      </c>
      <c r="FV33" s="32">
        <v>0</v>
      </c>
      <c r="FW33" s="32">
        <v>0</v>
      </c>
      <c r="FX33" s="32">
        <v>0</v>
      </c>
      <c r="FY33" s="32">
        <v>0</v>
      </c>
      <c r="FZ33" s="32">
        <v>0</v>
      </c>
      <c r="GA33" s="32">
        <v>0</v>
      </c>
      <c r="GB33" s="38">
        <f t="shared" si="26"/>
        <v>0</v>
      </c>
      <c r="GC33" s="26"/>
      <c r="GD33" s="32">
        <v>0</v>
      </c>
      <c r="GE33" s="32">
        <v>0</v>
      </c>
      <c r="GF33" s="32">
        <v>0</v>
      </c>
      <c r="GG33" s="32">
        <v>0</v>
      </c>
      <c r="GH33" s="32">
        <v>0</v>
      </c>
      <c r="GI33" s="32">
        <v>0</v>
      </c>
      <c r="GJ33" s="32">
        <v>0</v>
      </c>
      <c r="GK33" s="32">
        <v>0</v>
      </c>
      <c r="GL33" s="32">
        <v>0</v>
      </c>
      <c r="GM33" s="32">
        <v>0</v>
      </c>
      <c r="GN33" s="32">
        <v>0</v>
      </c>
      <c r="GO33" s="32">
        <v>0</v>
      </c>
      <c r="GP33" s="38">
        <f t="shared" si="27"/>
        <v>0</v>
      </c>
      <c r="GQ33" s="26"/>
      <c r="GR33" s="32">
        <v>0</v>
      </c>
      <c r="GS33" s="32">
        <v>0</v>
      </c>
      <c r="GT33" s="32">
        <v>0</v>
      </c>
      <c r="GU33" s="32">
        <v>0</v>
      </c>
      <c r="GV33" s="32">
        <v>0</v>
      </c>
      <c r="GW33" s="32">
        <v>0</v>
      </c>
      <c r="GX33" s="32">
        <v>0</v>
      </c>
      <c r="GY33" s="32">
        <v>0</v>
      </c>
      <c r="GZ33" s="32">
        <v>0</v>
      </c>
      <c r="HA33" s="32">
        <v>0</v>
      </c>
      <c r="HB33" s="32">
        <v>0</v>
      </c>
      <c r="HC33" s="32">
        <v>0</v>
      </c>
      <c r="HD33" s="38">
        <f t="shared" si="28"/>
        <v>0</v>
      </c>
      <c r="HE33" s="26"/>
      <c r="HF33" s="54">
        <v>0</v>
      </c>
      <c r="HG33" s="54">
        <v>0</v>
      </c>
      <c r="HH33" s="54">
        <v>0</v>
      </c>
      <c r="HI33" s="54">
        <v>0</v>
      </c>
      <c r="HJ33" s="54">
        <v>0</v>
      </c>
      <c r="HK33" s="54">
        <v>0</v>
      </c>
      <c r="HL33" s="54">
        <v>0</v>
      </c>
      <c r="HM33" s="54">
        <v>0</v>
      </c>
      <c r="HN33" s="54">
        <v>0</v>
      </c>
      <c r="HO33" s="54">
        <v>0</v>
      </c>
      <c r="HP33" s="54">
        <v>0</v>
      </c>
      <c r="HQ33" s="54">
        <v>0</v>
      </c>
      <c r="HR33" s="38">
        <f t="shared" si="29"/>
        <v>0</v>
      </c>
      <c r="HS33" s="26"/>
      <c r="HT33" s="32">
        <v>0</v>
      </c>
      <c r="HU33" s="32">
        <v>0</v>
      </c>
      <c r="HV33" s="32">
        <v>0</v>
      </c>
      <c r="HW33" s="32">
        <v>0</v>
      </c>
      <c r="HX33" s="32">
        <v>0</v>
      </c>
      <c r="HY33" s="32">
        <v>0</v>
      </c>
      <c r="HZ33" s="32">
        <v>0</v>
      </c>
      <c r="IA33" s="32">
        <v>0</v>
      </c>
      <c r="IB33" s="32">
        <v>0</v>
      </c>
      <c r="IC33" s="32">
        <v>0</v>
      </c>
      <c r="ID33" s="32">
        <v>0</v>
      </c>
      <c r="IE33" s="69">
        <v>0</v>
      </c>
      <c r="IF33" s="38">
        <f t="shared" si="2"/>
        <v>0</v>
      </c>
      <c r="IG33" s="104">
        <v>0</v>
      </c>
      <c r="IH33" s="104">
        <v>0</v>
      </c>
      <c r="II33" s="104">
        <v>0</v>
      </c>
      <c r="IJ33" s="104">
        <v>0</v>
      </c>
      <c r="IK33" s="104">
        <v>0</v>
      </c>
      <c r="IL33" s="104">
        <v>0</v>
      </c>
      <c r="IM33" s="104">
        <v>0</v>
      </c>
      <c r="IN33" s="104">
        <v>0</v>
      </c>
      <c r="IO33" s="104">
        <v>0</v>
      </c>
      <c r="IP33" s="104">
        <v>0</v>
      </c>
      <c r="IQ33" s="104">
        <v>0</v>
      </c>
      <c r="IR33" s="107">
        <v>0</v>
      </c>
      <c r="IS33" s="38">
        <f t="shared" si="3"/>
        <v>0</v>
      </c>
      <c r="IT33" s="36">
        <f t="shared" si="39"/>
        <v>0</v>
      </c>
      <c r="IU33" s="26"/>
      <c r="IV33" s="32">
        <v>0</v>
      </c>
      <c r="IW33" s="32">
        <v>0</v>
      </c>
      <c r="IX33" s="32">
        <v>0</v>
      </c>
      <c r="IY33" s="32">
        <v>0</v>
      </c>
      <c r="IZ33" s="32">
        <v>0</v>
      </c>
      <c r="JA33" s="32">
        <v>0</v>
      </c>
      <c r="JB33" s="32">
        <v>0</v>
      </c>
      <c r="JC33" s="32">
        <v>0</v>
      </c>
      <c r="JD33" s="32">
        <v>0</v>
      </c>
      <c r="JE33" s="32">
        <v>0</v>
      </c>
      <c r="JF33" s="32">
        <v>0</v>
      </c>
      <c r="JG33" s="32">
        <v>0</v>
      </c>
      <c r="JH33" s="38">
        <f t="shared" si="4"/>
        <v>0</v>
      </c>
      <c r="JI33" s="110">
        <v>0</v>
      </c>
      <c r="JJ33" s="32">
        <v>0</v>
      </c>
      <c r="JK33" s="32">
        <v>0</v>
      </c>
      <c r="JL33" s="32">
        <v>0</v>
      </c>
      <c r="JM33" s="32">
        <v>0</v>
      </c>
      <c r="JN33" s="32">
        <v>0</v>
      </c>
      <c r="JO33" s="32">
        <v>0</v>
      </c>
      <c r="JP33" s="32">
        <v>0</v>
      </c>
      <c r="JQ33" s="32">
        <v>0</v>
      </c>
      <c r="JR33" s="32">
        <v>0</v>
      </c>
      <c r="JS33" s="32">
        <v>0</v>
      </c>
      <c r="JT33" s="32">
        <v>0</v>
      </c>
      <c r="JU33" s="35">
        <f t="shared" si="5"/>
        <v>0</v>
      </c>
      <c r="JV33" s="40">
        <f t="shared" si="30"/>
        <v>0</v>
      </c>
      <c r="JW33" s="26"/>
      <c r="JX33" s="32">
        <v>0</v>
      </c>
      <c r="JY33" s="32">
        <v>0</v>
      </c>
      <c r="JZ33" s="32">
        <v>0</v>
      </c>
      <c r="KA33" s="32">
        <v>0</v>
      </c>
      <c r="KB33" s="32">
        <v>0</v>
      </c>
      <c r="KC33" s="32">
        <v>0</v>
      </c>
      <c r="KD33" s="32">
        <v>0</v>
      </c>
      <c r="KE33" s="32">
        <v>0</v>
      </c>
      <c r="KF33" s="32">
        <v>0</v>
      </c>
      <c r="KG33" s="32">
        <v>0</v>
      </c>
      <c r="KH33" s="32">
        <v>0</v>
      </c>
      <c r="KI33" s="32">
        <v>0</v>
      </c>
      <c r="KJ33" s="38">
        <f t="shared" si="6"/>
        <v>0</v>
      </c>
      <c r="KK33" s="32">
        <v>0</v>
      </c>
      <c r="KL33" s="32">
        <v>0</v>
      </c>
      <c r="KM33" s="32">
        <v>0</v>
      </c>
      <c r="KN33" s="32">
        <v>0</v>
      </c>
      <c r="KO33" s="32">
        <v>0</v>
      </c>
      <c r="KP33" s="32">
        <v>0</v>
      </c>
      <c r="KQ33" s="32">
        <v>0</v>
      </c>
      <c r="KR33" s="32">
        <v>0</v>
      </c>
      <c r="KS33" s="32">
        <v>0</v>
      </c>
      <c r="KT33" s="32">
        <v>0</v>
      </c>
      <c r="KU33" s="32">
        <v>0</v>
      </c>
      <c r="KV33" s="32">
        <v>0</v>
      </c>
      <c r="KW33" s="38">
        <f t="shared" si="7"/>
        <v>0</v>
      </c>
      <c r="KX33" s="36">
        <f t="shared" si="31"/>
        <v>0</v>
      </c>
      <c r="KY33" s="26"/>
      <c r="KZ33" s="32">
        <v>0</v>
      </c>
      <c r="LA33" s="32">
        <v>0</v>
      </c>
      <c r="LB33" s="32">
        <v>0</v>
      </c>
      <c r="LC33" s="32">
        <v>0</v>
      </c>
      <c r="LD33" s="32">
        <v>0</v>
      </c>
      <c r="LE33" s="32">
        <v>0</v>
      </c>
      <c r="LF33" s="32">
        <v>0</v>
      </c>
      <c r="LG33" s="32">
        <v>0</v>
      </c>
      <c r="LH33" s="32">
        <v>0</v>
      </c>
      <c r="LI33" s="32">
        <v>0</v>
      </c>
      <c r="LJ33" s="32">
        <v>0</v>
      </c>
      <c r="LK33" s="69">
        <v>0</v>
      </c>
      <c r="LL33" s="38">
        <f t="shared" si="32"/>
        <v>0</v>
      </c>
      <c r="LM33" s="26"/>
      <c r="LN33" s="71">
        <v>0</v>
      </c>
      <c r="LO33" s="71">
        <v>0</v>
      </c>
      <c r="LP33" s="71">
        <v>0</v>
      </c>
      <c r="LQ33" s="71">
        <v>0</v>
      </c>
      <c r="LR33" s="71">
        <v>0</v>
      </c>
      <c r="LS33" s="71">
        <v>0</v>
      </c>
      <c r="LT33" s="71">
        <v>0</v>
      </c>
      <c r="LU33" s="45">
        <v>0</v>
      </c>
      <c r="LV33" s="45">
        <v>0</v>
      </c>
      <c r="LW33" s="45">
        <v>0</v>
      </c>
      <c r="LX33" s="45">
        <v>0</v>
      </c>
      <c r="LY33" s="45">
        <v>0</v>
      </c>
      <c r="LZ33" s="38">
        <f t="shared" si="8"/>
        <v>0</v>
      </c>
      <c r="MA33" s="26"/>
      <c r="MB33" s="45">
        <v>0</v>
      </c>
      <c r="MC33" s="45">
        <v>0</v>
      </c>
      <c r="MD33" s="45">
        <v>0</v>
      </c>
      <c r="ME33" s="45">
        <v>0</v>
      </c>
      <c r="MF33" s="45">
        <v>0</v>
      </c>
      <c r="MG33" s="45">
        <v>0</v>
      </c>
      <c r="MH33" s="45">
        <v>0</v>
      </c>
      <c r="MI33" s="45">
        <v>0</v>
      </c>
      <c r="MJ33" s="45">
        <v>0</v>
      </c>
      <c r="MK33" s="45">
        <v>0</v>
      </c>
      <c r="ML33" s="45">
        <v>0</v>
      </c>
      <c r="MM33" s="45">
        <v>0</v>
      </c>
      <c r="MN33" s="38">
        <f t="shared" si="9"/>
        <v>0</v>
      </c>
      <c r="MO33" s="32">
        <v>0</v>
      </c>
      <c r="MP33" s="32">
        <v>0</v>
      </c>
      <c r="MQ33" s="32">
        <v>0</v>
      </c>
      <c r="MR33" s="32">
        <v>0</v>
      </c>
      <c r="MS33" s="32">
        <v>0</v>
      </c>
      <c r="MT33" s="32">
        <v>0</v>
      </c>
      <c r="MU33" s="32">
        <v>0</v>
      </c>
      <c r="MV33" s="32">
        <v>0</v>
      </c>
      <c r="MW33" s="32">
        <v>0</v>
      </c>
      <c r="MX33" s="32">
        <v>0</v>
      </c>
      <c r="MY33" s="32">
        <v>0</v>
      </c>
      <c r="MZ33" s="32">
        <v>0</v>
      </c>
      <c r="NA33" s="38">
        <f t="shared" si="10"/>
        <v>0</v>
      </c>
      <c r="NB33" s="36">
        <f t="shared" si="33"/>
        <v>0</v>
      </c>
      <c r="NC33" s="26"/>
      <c r="ND33" s="32">
        <v>0</v>
      </c>
      <c r="NE33" s="32">
        <v>0</v>
      </c>
      <c r="NF33" s="32">
        <v>0</v>
      </c>
      <c r="NG33" s="32">
        <v>0</v>
      </c>
      <c r="NH33" s="32">
        <v>0</v>
      </c>
      <c r="NI33" s="32">
        <v>0</v>
      </c>
      <c r="NJ33" s="32">
        <v>0</v>
      </c>
      <c r="NK33" s="32">
        <v>0</v>
      </c>
      <c r="NL33" s="32">
        <v>0</v>
      </c>
      <c r="NM33" s="32">
        <v>0</v>
      </c>
      <c r="NN33" s="32">
        <v>0</v>
      </c>
      <c r="NO33" s="32">
        <v>0</v>
      </c>
      <c r="NP33" s="118">
        <f t="shared" si="11"/>
        <v>0</v>
      </c>
      <c r="NQ33" s="36">
        <f t="shared" si="34"/>
        <v>0</v>
      </c>
      <c r="NR33" s="36">
        <f t="shared" si="35"/>
        <v>0</v>
      </c>
      <c r="NS33" s="36">
        <f t="shared" si="36"/>
        <v>0</v>
      </c>
      <c r="NT33" s="36">
        <f t="shared" si="37"/>
        <v>0</v>
      </c>
      <c r="NU33" s="18"/>
      <c r="NV33" s="18"/>
      <c r="NW33" s="18"/>
      <c r="NX33" s="19"/>
      <c r="NY33" s="19"/>
      <c r="NZ33" s="19"/>
      <c r="OA33" s="19"/>
      <c r="OB33" s="19"/>
      <c r="OC33" s="19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8"/>
      <c r="OR33" s="18"/>
      <c r="OS33" s="18"/>
      <c r="OT33" s="18"/>
      <c r="OU33" s="18"/>
      <c r="OV33" s="18"/>
      <c r="OW33" s="18"/>
      <c r="OX33" s="19"/>
      <c r="OY33" s="19"/>
      <c r="OZ33" s="19"/>
      <c r="PA33" s="19"/>
      <c r="PB33" s="19"/>
      <c r="PC33" s="19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8"/>
      <c r="PR33" s="18"/>
      <c r="PS33" s="18"/>
      <c r="PT33" s="18"/>
      <c r="PU33" s="18"/>
      <c r="PV33" s="18"/>
      <c r="PW33" s="18"/>
      <c r="PX33" s="19"/>
      <c r="PY33" s="19"/>
      <c r="PZ33" s="19"/>
      <c r="QA33" s="19"/>
      <c r="QB33" s="19"/>
      <c r="QC33" s="19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</row>
    <row r="34" spans="1:458" s="1" customFormat="1" ht="50.1" customHeight="1" x14ac:dyDescent="0.25">
      <c r="A34" s="120">
        <v>2021</v>
      </c>
      <c r="B34" s="6" t="s">
        <v>17</v>
      </c>
      <c r="C34" s="23"/>
      <c r="D34" s="41">
        <v>1403</v>
      </c>
      <c r="E34" s="41">
        <v>1516</v>
      </c>
      <c r="F34" s="41">
        <v>1887</v>
      </c>
      <c r="G34" s="41">
        <v>1581</v>
      </c>
      <c r="H34" s="41">
        <v>1859</v>
      </c>
      <c r="I34" s="41">
        <v>1808</v>
      </c>
      <c r="J34" s="41">
        <v>2174</v>
      </c>
      <c r="K34" s="41">
        <v>2071</v>
      </c>
      <c r="L34" s="41">
        <v>1456</v>
      </c>
      <c r="M34" s="41">
        <v>1199</v>
      </c>
      <c r="N34" s="41">
        <v>1739</v>
      </c>
      <c r="O34" s="41">
        <v>1534</v>
      </c>
      <c r="P34" s="38">
        <f t="shared" si="12"/>
        <v>20227</v>
      </c>
      <c r="Q34" s="49">
        <v>1948</v>
      </c>
      <c r="R34" s="49">
        <v>2086</v>
      </c>
      <c r="S34" s="49">
        <v>4192</v>
      </c>
      <c r="T34" s="49">
        <v>3954</v>
      </c>
      <c r="U34" s="49">
        <v>4694</v>
      </c>
      <c r="V34" s="49">
        <v>4973</v>
      </c>
      <c r="W34" s="49">
        <v>3989</v>
      </c>
      <c r="X34" s="49">
        <v>3007</v>
      </c>
      <c r="Y34" s="49">
        <v>4435</v>
      </c>
      <c r="Z34" s="49">
        <v>5605</v>
      </c>
      <c r="AA34" s="49">
        <v>4374</v>
      </c>
      <c r="AB34" s="49">
        <v>5057</v>
      </c>
      <c r="AC34" s="38">
        <f t="shared" si="38"/>
        <v>48314</v>
      </c>
      <c r="AD34" s="36">
        <f t="shared" si="13"/>
        <v>68541</v>
      </c>
      <c r="AE34" s="26"/>
      <c r="AF34" s="32">
        <v>136</v>
      </c>
      <c r="AG34" s="32">
        <v>140</v>
      </c>
      <c r="AH34" s="32">
        <v>185</v>
      </c>
      <c r="AI34" s="32">
        <v>208</v>
      </c>
      <c r="AJ34" s="32">
        <v>223</v>
      </c>
      <c r="AK34" s="32">
        <v>242</v>
      </c>
      <c r="AL34" s="32">
        <v>254</v>
      </c>
      <c r="AM34" s="32">
        <v>246</v>
      </c>
      <c r="AN34" s="32">
        <v>212</v>
      </c>
      <c r="AO34" s="32">
        <v>223</v>
      </c>
      <c r="AP34" s="32">
        <v>220</v>
      </c>
      <c r="AQ34" s="32">
        <v>196</v>
      </c>
      <c r="AR34" s="38">
        <f t="shared" si="14"/>
        <v>2485</v>
      </c>
      <c r="AS34" s="32">
        <v>321</v>
      </c>
      <c r="AT34" s="32">
        <v>678</v>
      </c>
      <c r="AU34" s="32">
        <v>589</v>
      </c>
      <c r="AV34" s="32">
        <v>813</v>
      </c>
      <c r="AW34" s="32">
        <v>645</v>
      </c>
      <c r="AX34" s="32">
        <v>746</v>
      </c>
      <c r="AY34" s="32">
        <v>732</v>
      </c>
      <c r="AZ34" s="32">
        <v>689</v>
      </c>
      <c r="BA34" s="32">
        <v>1245</v>
      </c>
      <c r="BB34" s="32">
        <v>1032</v>
      </c>
      <c r="BC34" s="32">
        <v>890</v>
      </c>
      <c r="BD34" s="32">
        <v>761</v>
      </c>
      <c r="BE34" s="38">
        <f t="shared" si="15"/>
        <v>9141</v>
      </c>
      <c r="BF34" s="36">
        <f t="shared" si="16"/>
        <v>11626</v>
      </c>
      <c r="BG34" s="26"/>
      <c r="BH34" s="41">
        <v>0</v>
      </c>
      <c r="BI34" s="41">
        <v>0</v>
      </c>
      <c r="BJ34" s="41">
        <v>0</v>
      </c>
      <c r="BK34" s="41">
        <v>0</v>
      </c>
      <c r="BL34" s="41">
        <v>0</v>
      </c>
      <c r="BM34" s="41">
        <v>0</v>
      </c>
      <c r="BN34" s="41">
        <v>0</v>
      </c>
      <c r="BO34" s="41">
        <v>0</v>
      </c>
      <c r="BP34" s="41">
        <v>0</v>
      </c>
      <c r="BQ34" s="41">
        <v>0</v>
      </c>
      <c r="BR34" s="41">
        <v>0</v>
      </c>
      <c r="BS34" s="41">
        <v>0</v>
      </c>
      <c r="BT34" s="38">
        <f t="shared" si="17"/>
        <v>0</v>
      </c>
      <c r="BU34" s="54">
        <v>504</v>
      </c>
      <c r="BV34" s="54">
        <v>567</v>
      </c>
      <c r="BW34" s="54">
        <v>606</v>
      </c>
      <c r="BX34" s="54">
        <v>642</v>
      </c>
      <c r="BY34" s="54">
        <v>701</v>
      </c>
      <c r="BZ34" s="54">
        <v>674</v>
      </c>
      <c r="CA34" s="54">
        <v>718</v>
      </c>
      <c r="CB34" s="54">
        <v>845</v>
      </c>
      <c r="CC34" s="54">
        <v>613</v>
      </c>
      <c r="CD34" s="54">
        <v>812</v>
      </c>
      <c r="CE34" s="54">
        <v>719.33333333333326</v>
      </c>
      <c r="CF34" s="54">
        <v>679.4848484848485</v>
      </c>
      <c r="CG34" s="38">
        <f t="shared" si="18"/>
        <v>8080.818181818182</v>
      </c>
      <c r="CH34" s="36">
        <f t="shared" si="19"/>
        <v>8080.818181818182</v>
      </c>
      <c r="CI34" s="26"/>
      <c r="CJ34" s="32">
        <v>626</v>
      </c>
      <c r="CK34" s="32">
        <v>480</v>
      </c>
      <c r="CL34" s="32">
        <v>647</v>
      </c>
      <c r="CM34" s="32">
        <v>487</v>
      </c>
      <c r="CN34" s="32">
        <v>501</v>
      </c>
      <c r="CO34" s="32">
        <v>367</v>
      </c>
      <c r="CP34" s="32">
        <v>402</v>
      </c>
      <c r="CQ34" s="32">
        <v>484</v>
      </c>
      <c r="CR34" s="32">
        <v>309</v>
      </c>
      <c r="CS34" s="32">
        <v>219</v>
      </c>
      <c r="CT34" s="32">
        <v>573</v>
      </c>
      <c r="CU34" s="32">
        <v>661</v>
      </c>
      <c r="CV34" s="38">
        <f t="shared" si="20"/>
        <v>5756</v>
      </c>
      <c r="CW34" s="54">
        <v>1215</v>
      </c>
      <c r="CX34" s="54">
        <v>1120</v>
      </c>
      <c r="CY34" s="54">
        <v>1184</v>
      </c>
      <c r="CZ34" s="54">
        <v>933</v>
      </c>
      <c r="DA34" s="54">
        <v>993</v>
      </c>
      <c r="DB34" s="54">
        <v>1057</v>
      </c>
      <c r="DC34" s="54">
        <v>1241</v>
      </c>
      <c r="DD34" s="54">
        <v>1429</v>
      </c>
      <c r="DE34" s="54">
        <v>1202</v>
      </c>
      <c r="DF34" s="54">
        <v>1125</v>
      </c>
      <c r="DG34" s="54">
        <v>1006</v>
      </c>
      <c r="DH34" s="54">
        <v>1219</v>
      </c>
      <c r="DI34" s="38">
        <f t="shared" si="21"/>
        <v>13724</v>
      </c>
      <c r="DJ34" s="36">
        <f t="shared" si="22"/>
        <v>19480</v>
      </c>
      <c r="DK34" s="26"/>
      <c r="DL34" s="75">
        <v>627</v>
      </c>
      <c r="DM34" s="75">
        <v>680</v>
      </c>
      <c r="DN34" s="75">
        <v>888</v>
      </c>
      <c r="DO34" s="75">
        <v>704</v>
      </c>
      <c r="DP34" s="75">
        <v>697</v>
      </c>
      <c r="DQ34" s="75">
        <v>619</v>
      </c>
      <c r="DR34" s="75">
        <v>720</v>
      </c>
      <c r="DS34" s="75">
        <v>806</v>
      </c>
      <c r="DT34" s="75">
        <v>799</v>
      </c>
      <c r="DU34" s="75">
        <v>725</v>
      </c>
      <c r="DV34" s="75">
        <v>912</v>
      </c>
      <c r="DW34" s="75">
        <v>855</v>
      </c>
      <c r="DX34" s="38">
        <f t="shared" si="0"/>
        <v>9032</v>
      </c>
      <c r="DY34" s="64">
        <v>1354</v>
      </c>
      <c r="DZ34" s="64">
        <v>1171</v>
      </c>
      <c r="EA34" s="64">
        <v>1031</v>
      </c>
      <c r="EB34" s="64">
        <v>1449</v>
      </c>
      <c r="EC34" s="64">
        <v>1293</v>
      </c>
      <c r="ED34" s="64">
        <v>1079</v>
      </c>
      <c r="EE34" s="64">
        <v>1270</v>
      </c>
      <c r="EF34" s="64">
        <v>1386</v>
      </c>
      <c r="EG34" s="64">
        <v>1184</v>
      </c>
      <c r="EH34" s="64">
        <v>1040</v>
      </c>
      <c r="EI34" s="64">
        <v>883</v>
      </c>
      <c r="EJ34" s="64">
        <v>1100</v>
      </c>
      <c r="EK34" s="38">
        <f t="shared" si="23"/>
        <v>14240</v>
      </c>
      <c r="EL34" s="36">
        <f t="shared" si="1"/>
        <v>23272</v>
      </c>
      <c r="EM34" s="26"/>
      <c r="EN34" s="32">
        <v>1574</v>
      </c>
      <c r="EO34" s="32">
        <v>1209</v>
      </c>
      <c r="EP34" s="32">
        <v>1564</v>
      </c>
      <c r="EQ34" s="32">
        <v>1324</v>
      </c>
      <c r="ER34" s="32">
        <v>1466</v>
      </c>
      <c r="ES34" s="32">
        <v>1609</v>
      </c>
      <c r="ET34" s="32">
        <v>2068</v>
      </c>
      <c r="EU34" s="32">
        <v>1635</v>
      </c>
      <c r="EV34" s="32">
        <v>1340</v>
      </c>
      <c r="EW34" s="32">
        <v>1310</v>
      </c>
      <c r="EX34" s="32">
        <v>1568</v>
      </c>
      <c r="EY34" s="32">
        <v>1565</v>
      </c>
      <c r="EZ34" s="38">
        <f t="shared" si="24"/>
        <v>18232</v>
      </c>
      <c r="FA34" s="26"/>
      <c r="FB34" s="104">
        <v>905</v>
      </c>
      <c r="FC34" s="104">
        <v>1344</v>
      </c>
      <c r="FD34" s="104">
        <v>1787</v>
      </c>
      <c r="FE34" s="104">
        <v>1572</v>
      </c>
      <c r="FF34" s="104">
        <v>1858</v>
      </c>
      <c r="FG34" s="104">
        <v>1795</v>
      </c>
      <c r="FH34" s="104">
        <v>2350</v>
      </c>
      <c r="FI34" s="104">
        <v>2529</v>
      </c>
      <c r="FJ34" s="104">
        <v>2133</v>
      </c>
      <c r="FK34" s="104">
        <v>1565</v>
      </c>
      <c r="FL34" s="104">
        <v>1602</v>
      </c>
      <c r="FM34" s="104">
        <v>1892</v>
      </c>
      <c r="FN34" s="38">
        <f t="shared" si="25"/>
        <v>21332</v>
      </c>
      <c r="FO34" s="26"/>
      <c r="FP34" s="32">
        <v>700</v>
      </c>
      <c r="FQ34" s="32">
        <v>457</v>
      </c>
      <c r="FR34" s="32">
        <v>655</v>
      </c>
      <c r="FS34" s="32">
        <v>580</v>
      </c>
      <c r="FT34" s="32">
        <v>668</v>
      </c>
      <c r="FU34" s="32">
        <v>747</v>
      </c>
      <c r="FV34" s="32">
        <v>903</v>
      </c>
      <c r="FW34" s="32">
        <v>744</v>
      </c>
      <c r="FX34" s="32">
        <v>691</v>
      </c>
      <c r="FY34" s="32">
        <v>689</v>
      </c>
      <c r="FZ34" s="32">
        <v>636</v>
      </c>
      <c r="GA34" s="32">
        <v>539</v>
      </c>
      <c r="GB34" s="38">
        <f t="shared" si="26"/>
        <v>8009</v>
      </c>
      <c r="GC34" s="26"/>
      <c r="GD34" s="101">
        <v>1841</v>
      </c>
      <c r="GE34" s="101">
        <v>1383</v>
      </c>
      <c r="GF34" s="101">
        <v>1757</v>
      </c>
      <c r="GG34" s="101">
        <v>1778</v>
      </c>
      <c r="GH34" s="101">
        <v>1276</v>
      </c>
      <c r="GI34" s="101">
        <v>1404</v>
      </c>
      <c r="GJ34" s="101">
        <v>1668</v>
      </c>
      <c r="GK34" s="101">
        <v>1671</v>
      </c>
      <c r="GL34" s="101">
        <v>1196</v>
      </c>
      <c r="GM34" s="101">
        <v>1167</v>
      </c>
      <c r="GN34" s="101">
        <v>1705</v>
      </c>
      <c r="GO34" s="101">
        <v>1820</v>
      </c>
      <c r="GP34" s="38">
        <f t="shared" si="27"/>
        <v>18666</v>
      </c>
      <c r="GQ34" s="26"/>
      <c r="GR34" s="32">
        <v>531</v>
      </c>
      <c r="GS34" s="32">
        <v>451</v>
      </c>
      <c r="GT34" s="32">
        <v>537</v>
      </c>
      <c r="GU34" s="32">
        <v>501</v>
      </c>
      <c r="GV34" s="32">
        <v>537</v>
      </c>
      <c r="GW34" s="32">
        <v>772</v>
      </c>
      <c r="GX34" s="32">
        <v>686</v>
      </c>
      <c r="GY34" s="32">
        <v>514</v>
      </c>
      <c r="GZ34" s="32">
        <v>632</v>
      </c>
      <c r="HA34" s="32">
        <v>611</v>
      </c>
      <c r="HB34" s="32">
        <v>599</v>
      </c>
      <c r="HC34" s="32">
        <v>562</v>
      </c>
      <c r="HD34" s="38">
        <f t="shared" si="28"/>
        <v>6933</v>
      </c>
      <c r="HE34" s="26"/>
      <c r="HF34" s="54">
        <v>1646</v>
      </c>
      <c r="HG34" s="54">
        <v>1895</v>
      </c>
      <c r="HH34" s="54">
        <v>1914</v>
      </c>
      <c r="HI34" s="54">
        <v>1900</v>
      </c>
      <c r="HJ34" s="54">
        <v>2381</v>
      </c>
      <c r="HK34" s="54">
        <v>2788</v>
      </c>
      <c r="HL34" s="54">
        <v>2896</v>
      </c>
      <c r="HM34" s="54">
        <v>3007</v>
      </c>
      <c r="HN34" s="54">
        <v>3013</v>
      </c>
      <c r="HO34" s="54">
        <v>2561</v>
      </c>
      <c r="HP34" s="54">
        <v>2754</v>
      </c>
      <c r="HQ34" s="54">
        <v>2422</v>
      </c>
      <c r="HR34" s="38">
        <f t="shared" si="29"/>
        <v>29177</v>
      </c>
      <c r="HS34" s="26"/>
      <c r="HT34" s="32">
        <v>210</v>
      </c>
      <c r="HU34" s="32">
        <v>210</v>
      </c>
      <c r="HV34" s="32">
        <v>330</v>
      </c>
      <c r="HW34" s="32">
        <v>255</v>
      </c>
      <c r="HX34" s="32">
        <v>209</v>
      </c>
      <c r="HY34" s="32">
        <v>232</v>
      </c>
      <c r="HZ34" s="32">
        <v>209</v>
      </c>
      <c r="IA34" s="32">
        <v>266</v>
      </c>
      <c r="IB34" s="32">
        <v>211</v>
      </c>
      <c r="IC34" s="32">
        <v>249</v>
      </c>
      <c r="ID34" s="32">
        <v>161</v>
      </c>
      <c r="IE34" s="69">
        <v>246</v>
      </c>
      <c r="IF34" s="38">
        <f t="shared" si="2"/>
        <v>2788</v>
      </c>
      <c r="IG34" s="104">
        <v>716</v>
      </c>
      <c r="IH34" s="104">
        <v>753</v>
      </c>
      <c r="II34" s="104">
        <v>942</v>
      </c>
      <c r="IJ34" s="104">
        <v>827</v>
      </c>
      <c r="IK34" s="104">
        <v>1001</v>
      </c>
      <c r="IL34" s="104">
        <v>998</v>
      </c>
      <c r="IM34" s="104">
        <v>974</v>
      </c>
      <c r="IN34" s="104">
        <v>1175</v>
      </c>
      <c r="IO34" s="104">
        <v>1132</v>
      </c>
      <c r="IP34" s="104">
        <v>1070</v>
      </c>
      <c r="IQ34" s="104">
        <v>969</v>
      </c>
      <c r="IR34" s="107">
        <v>798</v>
      </c>
      <c r="IS34" s="38">
        <f t="shared" si="3"/>
        <v>11355</v>
      </c>
      <c r="IT34" s="36">
        <f t="shared" si="39"/>
        <v>14143</v>
      </c>
      <c r="IU34" s="26"/>
      <c r="IV34" s="32">
        <v>325</v>
      </c>
      <c r="IW34" s="32">
        <v>403</v>
      </c>
      <c r="IX34" s="32">
        <v>395</v>
      </c>
      <c r="IY34" s="32">
        <v>332</v>
      </c>
      <c r="IZ34" s="32">
        <v>406</v>
      </c>
      <c r="JA34" s="32">
        <v>381</v>
      </c>
      <c r="JB34" s="32">
        <v>306</v>
      </c>
      <c r="JC34" s="32">
        <v>406</v>
      </c>
      <c r="JD34" s="32">
        <v>399</v>
      </c>
      <c r="JE34" s="32">
        <v>489</v>
      </c>
      <c r="JF34" s="32">
        <v>396</v>
      </c>
      <c r="JG34" s="32">
        <v>412</v>
      </c>
      <c r="JH34" s="38">
        <f t="shared" si="4"/>
        <v>4650</v>
      </c>
      <c r="JI34" s="109">
        <v>2525.6000000000004</v>
      </c>
      <c r="JJ34" s="97">
        <v>1687.2</v>
      </c>
      <c r="JK34" s="97">
        <v>1808.8000000000002</v>
      </c>
      <c r="JL34" s="97">
        <v>1749.6000000000001</v>
      </c>
      <c r="JM34" s="97">
        <v>2481.6000000000004</v>
      </c>
      <c r="JN34" s="97">
        <v>2448</v>
      </c>
      <c r="JO34" s="97">
        <v>2832</v>
      </c>
      <c r="JP34" s="97">
        <v>1674.4</v>
      </c>
      <c r="JQ34" s="97">
        <v>2053.6</v>
      </c>
      <c r="JR34" s="97">
        <v>1914.4</v>
      </c>
      <c r="JS34" s="97">
        <v>1313.6000000000001</v>
      </c>
      <c r="JT34" s="97">
        <v>1955.2</v>
      </c>
      <c r="JU34" s="35">
        <f t="shared" si="5"/>
        <v>24444</v>
      </c>
      <c r="JV34" s="40">
        <f t="shared" si="30"/>
        <v>29094</v>
      </c>
      <c r="JW34" s="26"/>
      <c r="JX34" s="93">
        <v>249</v>
      </c>
      <c r="JY34" s="93">
        <v>222</v>
      </c>
      <c r="JZ34" s="93">
        <v>396</v>
      </c>
      <c r="KA34" s="93">
        <v>421</v>
      </c>
      <c r="KB34" s="93">
        <v>436</v>
      </c>
      <c r="KC34" s="93">
        <v>345</v>
      </c>
      <c r="KD34" s="93">
        <v>391</v>
      </c>
      <c r="KE34" s="93">
        <v>398</v>
      </c>
      <c r="KF34" s="93">
        <v>322</v>
      </c>
      <c r="KG34" s="93">
        <v>400</v>
      </c>
      <c r="KH34" s="93">
        <v>422</v>
      </c>
      <c r="KI34" s="93">
        <v>271</v>
      </c>
      <c r="KJ34" s="38">
        <f t="shared" si="6"/>
        <v>4273</v>
      </c>
      <c r="KK34" s="32">
        <v>925</v>
      </c>
      <c r="KL34" s="32">
        <v>822</v>
      </c>
      <c r="KM34" s="32">
        <v>1311</v>
      </c>
      <c r="KN34" s="32">
        <v>1086</v>
      </c>
      <c r="KO34" s="32">
        <v>1185</v>
      </c>
      <c r="KP34" s="32">
        <v>1101</v>
      </c>
      <c r="KQ34" s="32">
        <v>1142</v>
      </c>
      <c r="KR34" s="32">
        <v>1141</v>
      </c>
      <c r="KS34" s="32">
        <v>1247</v>
      </c>
      <c r="KT34" s="32">
        <v>1069</v>
      </c>
      <c r="KU34" s="32">
        <v>767</v>
      </c>
      <c r="KV34" s="32">
        <v>616</v>
      </c>
      <c r="KW34" s="38">
        <f t="shared" si="7"/>
        <v>12412</v>
      </c>
      <c r="KX34" s="36">
        <f t="shared" si="31"/>
        <v>16685</v>
      </c>
      <c r="KY34" s="26"/>
      <c r="KZ34" s="101">
        <v>324</v>
      </c>
      <c r="LA34" s="101">
        <v>259</v>
      </c>
      <c r="LB34" s="101">
        <v>324</v>
      </c>
      <c r="LC34" s="101">
        <v>342</v>
      </c>
      <c r="LD34" s="101">
        <v>486</v>
      </c>
      <c r="LE34" s="101">
        <v>458</v>
      </c>
      <c r="LF34" s="101">
        <v>469</v>
      </c>
      <c r="LG34" s="101">
        <v>512</v>
      </c>
      <c r="LH34" s="101">
        <v>598</v>
      </c>
      <c r="LI34" s="101">
        <v>587</v>
      </c>
      <c r="LJ34" s="101">
        <v>610</v>
      </c>
      <c r="LK34" s="115">
        <v>497</v>
      </c>
      <c r="LL34" s="38">
        <f t="shared" si="32"/>
        <v>5466</v>
      </c>
      <c r="LM34" s="26"/>
      <c r="LN34" s="71">
        <v>3656</v>
      </c>
      <c r="LO34" s="71">
        <v>2969</v>
      </c>
      <c r="LP34" s="71">
        <v>3580</v>
      </c>
      <c r="LQ34" s="71">
        <v>3105</v>
      </c>
      <c r="LR34" s="71">
        <v>3212</v>
      </c>
      <c r="LS34" s="71">
        <v>3211</v>
      </c>
      <c r="LT34" s="71">
        <v>3757</v>
      </c>
      <c r="LU34" s="45">
        <v>3412</v>
      </c>
      <c r="LV34" s="45">
        <v>2565</v>
      </c>
      <c r="LW34" s="45">
        <v>3223</v>
      </c>
      <c r="LX34" s="45">
        <v>2864</v>
      </c>
      <c r="LY34" s="45">
        <v>2503</v>
      </c>
      <c r="LZ34" s="38">
        <f t="shared" si="8"/>
        <v>38057</v>
      </c>
      <c r="MA34" s="26"/>
      <c r="MB34" s="45">
        <v>4122</v>
      </c>
      <c r="MC34" s="45">
        <v>2158</v>
      </c>
      <c r="MD34" s="45">
        <v>2680</v>
      </c>
      <c r="ME34" s="45">
        <v>3020</v>
      </c>
      <c r="MF34" s="45">
        <v>3112</v>
      </c>
      <c r="MG34" s="45">
        <v>2822</v>
      </c>
      <c r="MH34" s="45">
        <v>3098</v>
      </c>
      <c r="MI34" s="45">
        <v>2480</v>
      </c>
      <c r="MJ34" s="45">
        <v>2184</v>
      </c>
      <c r="MK34" s="45">
        <v>2251</v>
      </c>
      <c r="ML34" s="45">
        <v>2297</v>
      </c>
      <c r="MM34" s="45">
        <v>2068</v>
      </c>
      <c r="MN34" s="38">
        <f t="shared" si="9"/>
        <v>32292</v>
      </c>
      <c r="MO34" s="32">
        <v>2537</v>
      </c>
      <c r="MP34" s="32">
        <v>2673</v>
      </c>
      <c r="MQ34" s="32">
        <v>2903</v>
      </c>
      <c r="MR34" s="32">
        <v>1620</v>
      </c>
      <c r="MS34" s="32">
        <v>2912</v>
      </c>
      <c r="MT34" s="32">
        <v>2483</v>
      </c>
      <c r="MU34" s="32">
        <v>3087</v>
      </c>
      <c r="MV34" s="32">
        <v>2304</v>
      </c>
      <c r="MW34" s="32">
        <v>2798</v>
      </c>
      <c r="MX34" s="32">
        <v>2840</v>
      </c>
      <c r="MY34" s="32">
        <v>2266</v>
      </c>
      <c r="MZ34" s="32">
        <v>2991</v>
      </c>
      <c r="NA34" s="38">
        <f t="shared" si="10"/>
        <v>31414</v>
      </c>
      <c r="NB34" s="36">
        <f t="shared" si="33"/>
        <v>63706</v>
      </c>
      <c r="NC34" s="26"/>
      <c r="ND34" s="32">
        <v>748</v>
      </c>
      <c r="NE34" s="32">
        <v>756</v>
      </c>
      <c r="NF34" s="32">
        <v>573</v>
      </c>
      <c r="NG34" s="32">
        <v>696</v>
      </c>
      <c r="NH34" s="32">
        <v>731</v>
      </c>
      <c r="NI34" s="32">
        <v>806</v>
      </c>
      <c r="NJ34" s="32">
        <v>727</v>
      </c>
      <c r="NK34" s="32">
        <v>966</v>
      </c>
      <c r="NL34" s="32">
        <v>231</v>
      </c>
      <c r="NM34" s="32">
        <v>546</v>
      </c>
      <c r="NN34" s="32">
        <v>409</v>
      </c>
      <c r="NO34" s="32">
        <v>592</v>
      </c>
      <c r="NP34" s="118">
        <f t="shared" si="11"/>
        <v>7781</v>
      </c>
      <c r="NQ34" s="36">
        <f t="shared" si="34"/>
        <v>51494</v>
      </c>
      <c r="NR34" s="36">
        <f t="shared" si="35"/>
        <v>252614.81818181818</v>
      </c>
      <c r="NS34" s="36">
        <f t="shared" si="36"/>
        <v>104172</v>
      </c>
      <c r="NT34" s="36">
        <f t="shared" si="37"/>
        <v>408280.81818181818</v>
      </c>
      <c r="NU34" s="18"/>
      <c r="NV34" s="18"/>
      <c r="NW34" s="18"/>
      <c r="NX34" s="19"/>
      <c r="NY34" s="19"/>
      <c r="NZ34" s="19"/>
      <c r="OA34" s="19"/>
      <c r="OB34" s="19"/>
      <c r="OC34" s="19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8"/>
      <c r="OR34" s="18"/>
      <c r="OS34" s="18"/>
      <c r="OT34" s="18"/>
      <c r="OU34" s="18"/>
      <c r="OV34" s="18"/>
      <c r="OW34" s="18"/>
      <c r="OX34" s="19"/>
      <c r="OY34" s="19"/>
      <c r="OZ34" s="19"/>
      <c r="PA34" s="19"/>
      <c r="PB34" s="19"/>
      <c r="PC34" s="19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8"/>
      <c r="PR34" s="18"/>
      <c r="PS34" s="18"/>
      <c r="PT34" s="18"/>
      <c r="PU34" s="18"/>
      <c r="PV34" s="18"/>
      <c r="PW34" s="18"/>
      <c r="PX34" s="19"/>
      <c r="PY34" s="19"/>
      <c r="PZ34" s="19"/>
      <c r="QA34" s="19"/>
      <c r="QB34" s="19"/>
      <c r="QC34" s="19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</row>
    <row r="35" spans="1:458" s="1" customFormat="1" ht="50.1" customHeight="1" x14ac:dyDescent="0.25">
      <c r="A35" s="120"/>
      <c r="B35" s="6" t="s">
        <v>18</v>
      </c>
      <c r="C35" s="23"/>
      <c r="D35" s="41">
        <v>58</v>
      </c>
      <c r="E35" s="41">
        <v>98</v>
      </c>
      <c r="F35" s="41">
        <v>141</v>
      </c>
      <c r="G35" s="41">
        <v>101</v>
      </c>
      <c r="H35" s="41">
        <v>207</v>
      </c>
      <c r="I35" s="41">
        <v>215</v>
      </c>
      <c r="J35" s="41">
        <v>331</v>
      </c>
      <c r="K35" s="41">
        <v>258</v>
      </c>
      <c r="L35" s="41">
        <v>268</v>
      </c>
      <c r="M35" s="41">
        <v>246</v>
      </c>
      <c r="N35" s="41">
        <v>307</v>
      </c>
      <c r="O35" s="41">
        <v>459</v>
      </c>
      <c r="P35" s="38">
        <f t="shared" si="12"/>
        <v>2689</v>
      </c>
      <c r="Q35" s="49">
        <v>1434</v>
      </c>
      <c r="R35" s="49">
        <v>1319</v>
      </c>
      <c r="S35" s="49">
        <v>1901</v>
      </c>
      <c r="T35" s="49">
        <v>1831</v>
      </c>
      <c r="U35" s="49">
        <v>2116</v>
      </c>
      <c r="V35" s="49">
        <v>2567</v>
      </c>
      <c r="W35" s="49">
        <v>3798</v>
      </c>
      <c r="X35" s="49">
        <v>3328</v>
      </c>
      <c r="Y35" s="49">
        <v>1829</v>
      </c>
      <c r="Z35" s="49">
        <v>1604</v>
      </c>
      <c r="AA35" s="49">
        <v>1750</v>
      </c>
      <c r="AB35" s="49">
        <v>1801</v>
      </c>
      <c r="AC35" s="38">
        <f t="shared" si="38"/>
        <v>25278</v>
      </c>
      <c r="AD35" s="36">
        <f t="shared" si="13"/>
        <v>27967</v>
      </c>
      <c r="AE35" s="26"/>
      <c r="AF35" s="32">
        <v>14</v>
      </c>
      <c r="AG35" s="32">
        <v>6</v>
      </c>
      <c r="AH35" s="32">
        <v>1</v>
      </c>
      <c r="AI35" s="32">
        <v>4</v>
      </c>
      <c r="AJ35" s="32">
        <v>1</v>
      </c>
      <c r="AK35" s="32">
        <v>7</v>
      </c>
      <c r="AL35" s="32">
        <v>5</v>
      </c>
      <c r="AM35" s="32">
        <v>6</v>
      </c>
      <c r="AN35" s="32">
        <v>8</v>
      </c>
      <c r="AO35" s="32">
        <v>5</v>
      </c>
      <c r="AP35" s="32">
        <v>9</v>
      </c>
      <c r="AQ35" s="32">
        <v>23</v>
      </c>
      <c r="AR35" s="38">
        <f t="shared" si="14"/>
        <v>89</v>
      </c>
      <c r="AS35" s="32">
        <v>223</v>
      </c>
      <c r="AT35" s="32">
        <v>245</v>
      </c>
      <c r="AU35" s="32">
        <v>152</v>
      </c>
      <c r="AV35" s="32">
        <v>205</v>
      </c>
      <c r="AW35" s="32">
        <v>168</v>
      </c>
      <c r="AX35" s="32">
        <v>312</v>
      </c>
      <c r="AY35" s="32">
        <v>248</v>
      </c>
      <c r="AZ35" s="32">
        <v>305</v>
      </c>
      <c r="BA35" s="32">
        <v>209</v>
      </c>
      <c r="BB35" s="32">
        <v>187</v>
      </c>
      <c r="BC35" s="32">
        <v>262</v>
      </c>
      <c r="BD35" s="32">
        <v>201</v>
      </c>
      <c r="BE35" s="38">
        <f t="shared" si="15"/>
        <v>2717</v>
      </c>
      <c r="BF35" s="36">
        <f t="shared" si="16"/>
        <v>2806</v>
      </c>
      <c r="BG35" s="26"/>
      <c r="BH35" s="41">
        <v>0</v>
      </c>
      <c r="BI35" s="41">
        <v>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  <c r="BO35" s="41">
        <v>0</v>
      </c>
      <c r="BP35" s="41">
        <v>0</v>
      </c>
      <c r="BQ35" s="41">
        <v>0</v>
      </c>
      <c r="BR35" s="41">
        <v>0</v>
      </c>
      <c r="BS35" s="41">
        <v>0</v>
      </c>
      <c r="BT35" s="38">
        <f t="shared" si="17"/>
        <v>0</v>
      </c>
      <c r="BU35" s="54">
        <v>34</v>
      </c>
      <c r="BV35" s="54">
        <v>54</v>
      </c>
      <c r="BW35" s="54">
        <v>65</v>
      </c>
      <c r="BX35" s="54">
        <v>50</v>
      </c>
      <c r="BY35" s="54">
        <v>65</v>
      </c>
      <c r="BZ35" s="54">
        <v>62</v>
      </c>
      <c r="CA35" s="54">
        <v>49</v>
      </c>
      <c r="CB35" s="54">
        <v>63</v>
      </c>
      <c r="CC35" s="54">
        <v>75</v>
      </c>
      <c r="CD35" s="54">
        <v>86</v>
      </c>
      <c r="CE35" s="54">
        <v>77.333333333333343</v>
      </c>
      <c r="CF35" s="54">
        <v>60.393939393939391</v>
      </c>
      <c r="CG35" s="38">
        <f t="shared" si="18"/>
        <v>740.72727272727275</v>
      </c>
      <c r="CH35" s="36">
        <f t="shared" si="19"/>
        <v>740.72727272727275</v>
      </c>
      <c r="CI35" s="26"/>
      <c r="CJ35" s="32">
        <v>83</v>
      </c>
      <c r="CK35" s="32">
        <v>72</v>
      </c>
      <c r="CL35" s="32">
        <v>99</v>
      </c>
      <c r="CM35" s="32">
        <v>68</v>
      </c>
      <c r="CN35" s="32">
        <v>117</v>
      </c>
      <c r="CO35" s="32">
        <v>106</v>
      </c>
      <c r="CP35" s="32">
        <v>143</v>
      </c>
      <c r="CQ35" s="32">
        <v>127</v>
      </c>
      <c r="CR35" s="32">
        <v>101</v>
      </c>
      <c r="CS35" s="32">
        <v>125</v>
      </c>
      <c r="CT35" s="32">
        <v>57</v>
      </c>
      <c r="CU35" s="32">
        <v>73</v>
      </c>
      <c r="CV35" s="38">
        <f t="shared" si="20"/>
        <v>1171</v>
      </c>
      <c r="CW35" s="54">
        <v>107</v>
      </c>
      <c r="CX35" s="54">
        <v>107</v>
      </c>
      <c r="CY35" s="54">
        <v>225</v>
      </c>
      <c r="CZ35" s="54">
        <v>201</v>
      </c>
      <c r="DA35" s="54">
        <v>179</v>
      </c>
      <c r="DB35" s="54">
        <v>196</v>
      </c>
      <c r="DC35" s="54">
        <v>167</v>
      </c>
      <c r="DD35" s="54">
        <v>140</v>
      </c>
      <c r="DE35" s="54">
        <v>129</v>
      </c>
      <c r="DF35" s="54">
        <v>163</v>
      </c>
      <c r="DG35" s="54">
        <v>186</v>
      </c>
      <c r="DH35" s="54">
        <v>116</v>
      </c>
      <c r="DI35" s="38">
        <f t="shared" si="21"/>
        <v>1916</v>
      </c>
      <c r="DJ35" s="36">
        <f t="shared" si="22"/>
        <v>3087</v>
      </c>
      <c r="DK35" s="26"/>
      <c r="DL35" s="75">
        <v>0</v>
      </c>
      <c r="DM35" s="75">
        <v>0</v>
      </c>
      <c r="DN35" s="75">
        <v>3</v>
      </c>
      <c r="DO35" s="75">
        <v>5</v>
      </c>
      <c r="DP35" s="75">
        <v>0</v>
      </c>
      <c r="DQ35" s="75">
        <v>3</v>
      </c>
      <c r="DR35" s="75">
        <v>5</v>
      </c>
      <c r="DS35" s="75">
        <v>2</v>
      </c>
      <c r="DT35" s="75">
        <v>5</v>
      </c>
      <c r="DU35" s="75">
        <v>3</v>
      </c>
      <c r="DV35" s="75">
        <v>2</v>
      </c>
      <c r="DW35" s="75">
        <v>1</v>
      </c>
      <c r="DX35" s="38">
        <f t="shared" si="0"/>
        <v>29</v>
      </c>
      <c r="DY35" s="64">
        <v>82</v>
      </c>
      <c r="DZ35" s="64">
        <v>219</v>
      </c>
      <c r="EA35" s="64">
        <v>347</v>
      </c>
      <c r="EB35" s="64">
        <v>215</v>
      </c>
      <c r="EC35" s="64">
        <v>173</v>
      </c>
      <c r="ED35" s="64">
        <v>389</v>
      </c>
      <c r="EE35" s="64">
        <v>384</v>
      </c>
      <c r="EF35" s="64">
        <v>178</v>
      </c>
      <c r="EG35" s="64">
        <v>206</v>
      </c>
      <c r="EH35" s="64">
        <v>337</v>
      </c>
      <c r="EI35" s="64">
        <v>345</v>
      </c>
      <c r="EJ35" s="64">
        <v>241</v>
      </c>
      <c r="EK35" s="38">
        <f t="shared" si="23"/>
        <v>3116</v>
      </c>
      <c r="EL35" s="36">
        <f t="shared" si="1"/>
        <v>3145</v>
      </c>
      <c r="EM35" s="26"/>
      <c r="EN35" s="32">
        <v>70</v>
      </c>
      <c r="EO35" s="32">
        <v>108</v>
      </c>
      <c r="EP35" s="32">
        <v>92</v>
      </c>
      <c r="EQ35" s="32">
        <v>126</v>
      </c>
      <c r="ER35" s="32">
        <v>82</v>
      </c>
      <c r="ES35" s="32">
        <v>92</v>
      </c>
      <c r="ET35" s="32">
        <v>101</v>
      </c>
      <c r="EU35" s="32">
        <v>160</v>
      </c>
      <c r="EV35" s="32">
        <v>187</v>
      </c>
      <c r="EW35" s="32">
        <v>182</v>
      </c>
      <c r="EX35" s="32">
        <v>127</v>
      </c>
      <c r="EY35" s="32">
        <v>97</v>
      </c>
      <c r="EZ35" s="38">
        <f t="shared" si="24"/>
        <v>1424</v>
      </c>
      <c r="FA35" s="26"/>
      <c r="FB35" s="104">
        <v>1039</v>
      </c>
      <c r="FC35" s="104">
        <v>932</v>
      </c>
      <c r="FD35" s="104">
        <v>1133</v>
      </c>
      <c r="FE35" s="104">
        <v>785</v>
      </c>
      <c r="FF35" s="104">
        <v>991</v>
      </c>
      <c r="FG35" s="104">
        <v>975</v>
      </c>
      <c r="FH35" s="104">
        <v>1044</v>
      </c>
      <c r="FI35" s="104">
        <v>900</v>
      </c>
      <c r="FJ35" s="104">
        <v>837</v>
      </c>
      <c r="FK35" s="104">
        <v>725</v>
      </c>
      <c r="FL35" s="104">
        <v>967</v>
      </c>
      <c r="FM35" s="104">
        <v>962</v>
      </c>
      <c r="FN35" s="38">
        <f t="shared" si="25"/>
        <v>11290</v>
      </c>
      <c r="FO35" s="26"/>
      <c r="FP35" s="32">
        <v>35</v>
      </c>
      <c r="FQ35" s="32">
        <v>29</v>
      </c>
      <c r="FR35" s="32">
        <v>40</v>
      </c>
      <c r="FS35" s="32">
        <v>54</v>
      </c>
      <c r="FT35" s="32">
        <v>75</v>
      </c>
      <c r="FU35" s="32">
        <v>50</v>
      </c>
      <c r="FV35" s="32">
        <v>12</v>
      </c>
      <c r="FW35" s="32">
        <v>27</v>
      </c>
      <c r="FX35" s="32">
        <v>29</v>
      </c>
      <c r="FY35" s="32">
        <v>12</v>
      </c>
      <c r="FZ35" s="32">
        <v>34</v>
      </c>
      <c r="GA35" s="32">
        <v>32</v>
      </c>
      <c r="GB35" s="38">
        <f t="shared" si="26"/>
        <v>429</v>
      </c>
      <c r="GC35" s="26"/>
      <c r="GD35" s="101">
        <v>205</v>
      </c>
      <c r="GE35" s="101">
        <v>146</v>
      </c>
      <c r="GF35" s="101">
        <v>192</v>
      </c>
      <c r="GG35" s="101">
        <v>173</v>
      </c>
      <c r="GH35" s="101">
        <v>172</v>
      </c>
      <c r="GI35" s="101">
        <v>164</v>
      </c>
      <c r="GJ35" s="101">
        <v>183</v>
      </c>
      <c r="GK35" s="101">
        <v>131</v>
      </c>
      <c r="GL35" s="101">
        <v>89</v>
      </c>
      <c r="GM35" s="101">
        <v>91</v>
      </c>
      <c r="GN35" s="101">
        <v>177</v>
      </c>
      <c r="GO35" s="101">
        <v>118</v>
      </c>
      <c r="GP35" s="38">
        <f t="shared" si="27"/>
        <v>1841</v>
      </c>
      <c r="GQ35" s="26"/>
      <c r="GR35" s="32">
        <v>68</v>
      </c>
      <c r="GS35" s="32">
        <v>66</v>
      </c>
      <c r="GT35" s="32">
        <v>40</v>
      </c>
      <c r="GU35" s="32">
        <v>64</v>
      </c>
      <c r="GV35" s="32">
        <v>73</v>
      </c>
      <c r="GW35" s="32">
        <v>73</v>
      </c>
      <c r="GX35" s="32">
        <v>73</v>
      </c>
      <c r="GY35" s="32">
        <v>38</v>
      </c>
      <c r="GZ35" s="32">
        <v>29</v>
      </c>
      <c r="HA35" s="32">
        <v>58</v>
      </c>
      <c r="HB35" s="32">
        <v>78</v>
      </c>
      <c r="HC35" s="32">
        <v>55</v>
      </c>
      <c r="HD35" s="38">
        <f t="shared" si="28"/>
        <v>715</v>
      </c>
      <c r="HE35" s="26"/>
      <c r="HF35" s="54">
        <v>404</v>
      </c>
      <c r="HG35" s="54">
        <v>467</v>
      </c>
      <c r="HH35" s="54">
        <v>350</v>
      </c>
      <c r="HI35" s="54">
        <v>405</v>
      </c>
      <c r="HJ35" s="54">
        <v>429</v>
      </c>
      <c r="HK35" s="54">
        <v>482</v>
      </c>
      <c r="HL35" s="54">
        <v>414</v>
      </c>
      <c r="HM35" s="54">
        <v>481</v>
      </c>
      <c r="HN35" s="54">
        <v>402</v>
      </c>
      <c r="HO35" s="54">
        <v>473</v>
      </c>
      <c r="HP35" s="54">
        <v>393</v>
      </c>
      <c r="HQ35" s="54">
        <v>289</v>
      </c>
      <c r="HR35" s="38">
        <f t="shared" si="29"/>
        <v>4989</v>
      </c>
      <c r="HS35" s="26"/>
      <c r="HT35" s="32">
        <v>1</v>
      </c>
      <c r="HU35" s="32">
        <v>5</v>
      </c>
      <c r="HV35" s="32">
        <v>15</v>
      </c>
      <c r="HW35" s="32">
        <v>4</v>
      </c>
      <c r="HX35" s="32">
        <v>1</v>
      </c>
      <c r="HY35" s="32">
        <v>1</v>
      </c>
      <c r="HZ35" s="32">
        <v>4</v>
      </c>
      <c r="IA35" s="32">
        <v>7</v>
      </c>
      <c r="IB35" s="32">
        <v>4</v>
      </c>
      <c r="IC35" s="32">
        <v>10</v>
      </c>
      <c r="ID35" s="32">
        <v>2</v>
      </c>
      <c r="IE35" s="69">
        <v>9</v>
      </c>
      <c r="IF35" s="38">
        <f t="shared" si="2"/>
        <v>63</v>
      </c>
      <c r="IG35" s="104">
        <v>133</v>
      </c>
      <c r="IH35" s="104">
        <v>109</v>
      </c>
      <c r="II35" s="104">
        <v>129</v>
      </c>
      <c r="IJ35" s="104">
        <v>153</v>
      </c>
      <c r="IK35" s="104">
        <v>82</v>
      </c>
      <c r="IL35" s="104">
        <v>93</v>
      </c>
      <c r="IM35" s="104">
        <v>120</v>
      </c>
      <c r="IN35" s="104">
        <v>124</v>
      </c>
      <c r="IO35" s="104">
        <v>94</v>
      </c>
      <c r="IP35" s="104">
        <v>108</v>
      </c>
      <c r="IQ35" s="104">
        <v>182</v>
      </c>
      <c r="IR35" s="107">
        <v>145</v>
      </c>
      <c r="IS35" s="38">
        <f t="shared" si="3"/>
        <v>1472</v>
      </c>
      <c r="IT35" s="36">
        <f t="shared" si="39"/>
        <v>1535</v>
      </c>
      <c r="IU35" s="26"/>
      <c r="IV35" s="32">
        <v>95</v>
      </c>
      <c r="IW35" s="32">
        <v>135</v>
      </c>
      <c r="IX35" s="32">
        <v>141</v>
      </c>
      <c r="IY35" s="32">
        <v>98</v>
      </c>
      <c r="IZ35" s="32">
        <v>138</v>
      </c>
      <c r="JA35" s="32">
        <v>146</v>
      </c>
      <c r="JB35" s="32">
        <v>108</v>
      </c>
      <c r="JC35" s="32">
        <v>119</v>
      </c>
      <c r="JD35" s="32">
        <v>96</v>
      </c>
      <c r="JE35" s="32">
        <v>126</v>
      </c>
      <c r="JF35" s="32">
        <v>92</v>
      </c>
      <c r="JG35" s="32">
        <v>89</v>
      </c>
      <c r="JH35" s="38">
        <f t="shared" si="4"/>
        <v>1383</v>
      </c>
      <c r="JI35" s="109">
        <v>940.80000000000007</v>
      </c>
      <c r="JJ35" s="97">
        <v>1058.4000000000001</v>
      </c>
      <c r="JK35" s="97">
        <v>1074.4000000000001</v>
      </c>
      <c r="JL35" s="97">
        <v>1124</v>
      </c>
      <c r="JM35" s="97">
        <v>754.40000000000009</v>
      </c>
      <c r="JN35" s="97">
        <v>796</v>
      </c>
      <c r="JO35" s="97">
        <v>514.4</v>
      </c>
      <c r="JP35" s="97">
        <v>577.6</v>
      </c>
      <c r="JQ35" s="97">
        <v>620.80000000000007</v>
      </c>
      <c r="JR35" s="97">
        <v>902.40000000000009</v>
      </c>
      <c r="JS35" s="97">
        <v>832</v>
      </c>
      <c r="JT35" s="97">
        <v>665.6</v>
      </c>
      <c r="JU35" s="35">
        <f t="shared" si="5"/>
        <v>9860.8000000000011</v>
      </c>
      <c r="JV35" s="40">
        <f t="shared" si="30"/>
        <v>11243.800000000001</v>
      </c>
      <c r="JW35" s="26"/>
      <c r="JX35" s="93">
        <v>31</v>
      </c>
      <c r="JY35" s="93">
        <v>39</v>
      </c>
      <c r="JZ35" s="93">
        <v>27</v>
      </c>
      <c r="KA35" s="93">
        <v>24</v>
      </c>
      <c r="KB35" s="93">
        <v>30</v>
      </c>
      <c r="KC35" s="93">
        <v>29</v>
      </c>
      <c r="KD35" s="93">
        <v>27</v>
      </c>
      <c r="KE35" s="93">
        <v>17</v>
      </c>
      <c r="KF35" s="93">
        <v>33</v>
      </c>
      <c r="KG35" s="93">
        <v>19</v>
      </c>
      <c r="KH35" s="93">
        <v>22</v>
      </c>
      <c r="KI35" s="93">
        <v>35</v>
      </c>
      <c r="KJ35" s="38">
        <f t="shared" si="6"/>
        <v>333</v>
      </c>
      <c r="KK35" s="32">
        <v>95</v>
      </c>
      <c r="KL35" s="32">
        <v>101</v>
      </c>
      <c r="KM35" s="32">
        <v>102</v>
      </c>
      <c r="KN35" s="32">
        <v>68</v>
      </c>
      <c r="KO35" s="32">
        <v>54</v>
      </c>
      <c r="KP35" s="32">
        <v>47</v>
      </c>
      <c r="KQ35" s="32">
        <v>110</v>
      </c>
      <c r="KR35" s="32">
        <v>121</v>
      </c>
      <c r="KS35" s="32">
        <v>128</v>
      </c>
      <c r="KT35" s="32">
        <v>111</v>
      </c>
      <c r="KU35" s="32">
        <v>113</v>
      </c>
      <c r="KV35" s="32">
        <v>112</v>
      </c>
      <c r="KW35" s="38">
        <f t="shared" si="7"/>
        <v>1162</v>
      </c>
      <c r="KX35" s="36">
        <f t="shared" si="31"/>
        <v>1495</v>
      </c>
      <c r="KY35" s="26"/>
      <c r="KZ35" s="101">
        <v>27</v>
      </c>
      <c r="LA35" s="101">
        <v>23</v>
      </c>
      <c r="LB35" s="101">
        <v>30</v>
      </c>
      <c r="LC35" s="101">
        <v>31</v>
      </c>
      <c r="LD35" s="101">
        <v>20</v>
      </c>
      <c r="LE35" s="101">
        <v>57</v>
      </c>
      <c r="LF35" s="101">
        <v>49</v>
      </c>
      <c r="LG35" s="101">
        <v>32</v>
      </c>
      <c r="LH35" s="101">
        <v>15</v>
      </c>
      <c r="LI35" s="101">
        <v>15</v>
      </c>
      <c r="LJ35" s="101">
        <v>23</v>
      </c>
      <c r="LK35" s="115">
        <v>11</v>
      </c>
      <c r="LL35" s="38">
        <f t="shared" si="32"/>
        <v>333</v>
      </c>
      <c r="LM35" s="26"/>
      <c r="LN35" s="71">
        <v>479</v>
      </c>
      <c r="LO35" s="71">
        <v>482</v>
      </c>
      <c r="LP35" s="71">
        <v>601</v>
      </c>
      <c r="LQ35" s="71">
        <v>443</v>
      </c>
      <c r="LR35" s="71">
        <v>380</v>
      </c>
      <c r="LS35" s="71">
        <v>507</v>
      </c>
      <c r="LT35" s="71">
        <v>421</v>
      </c>
      <c r="LU35" s="45">
        <v>601</v>
      </c>
      <c r="LV35" s="45">
        <v>790</v>
      </c>
      <c r="LW35" s="45">
        <v>595</v>
      </c>
      <c r="LX35" s="45">
        <v>579</v>
      </c>
      <c r="LY35" s="45">
        <v>649</v>
      </c>
      <c r="LZ35" s="38">
        <f t="shared" si="8"/>
        <v>6527</v>
      </c>
      <c r="MA35" s="26"/>
      <c r="MB35" s="45">
        <v>223</v>
      </c>
      <c r="MC35" s="45">
        <v>145</v>
      </c>
      <c r="MD35" s="45">
        <v>214</v>
      </c>
      <c r="ME35" s="45">
        <v>237</v>
      </c>
      <c r="MF35" s="45">
        <v>176</v>
      </c>
      <c r="MG35" s="45">
        <v>181</v>
      </c>
      <c r="MH35" s="45">
        <v>257</v>
      </c>
      <c r="MI35" s="45">
        <v>197</v>
      </c>
      <c r="MJ35" s="45">
        <v>409</v>
      </c>
      <c r="MK35" s="45">
        <v>330</v>
      </c>
      <c r="ML35" s="45">
        <v>185</v>
      </c>
      <c r="MM35" s="45">
        <v>271</v>
      </c>
      <c r="MN35" s="38">
        <f t="shared" si="9"/>
        <v>2825</v>
      </c>
      <c r="MO35" s="32">
        <v>897</v>
      </c>
      <c r="MP35" s="32">
        <v>1028</v>
      </c>
      <c r="MQ35" s="32">
        <v>1090</v>
      </c>
      <c r="MR35" s="32">
        <v>885</v>
      </c>
      <c r="MS35" s="32">
        <v>2031</v>
      </c>
      <c r="MT35" s="32">
        <v>1378</v>
      </c>
      <c r="MU35" s="32">
        <v>1254</v>
      </c>
      <c r="MV35" s="32">
        <v>912</v>
      </c>
      <c r="MW35" s="32">
        <v>1168</v>
      </c>
      <c r="MX35" s="32">
        <v>1038</v>
      </c>
      <c r="MY35" s="32">
        <v>1038</v>
      </c>
      <c r="MZ35" s="32">
        <v>1126</v>
      </c>
      <c r="NA35" s="38">
        <f t="shared" si="10"/>
        <v>13845</v>
      </c>
      <c r="NB35" s="36">
        <f t="shared" si="33"/>
        <v>16670</v>
      </c>
      <c r="NC35" s="26"/>
      <c r="ND35" s="32">
        <v>137</v>
      </c>
      <c r="NE35" s="32">
        <v>140</v>
      </c>
      <c r="NF35" s="32">
        <v>90</v>
      </c>
      <c r="NG35" s="32">
        <v>167</v>
      </c>
      <c r="NH35" s="32">
        <v>88</v>
      </c>
      <c r="NI35" s="32">
        <v>113</v>
      </c>
      <c r="NJ35" s="32">
        <v>172</v>
      </c>
      <c r="NK35" s="32">
        <v>144</v>
      </c>
      <c r="NL35" s="32">
        <v>760</v>
      </c>
      <c r="NM35" s="32">
        <v>246</v>
      </c>
      <c r="NN35" s="32">
        <v>172</v>
      </c>
      <c r="NO35" s="32">
        <v>110</v>
      </c>
      <c r="NP35" s="118">
        <f t="shared" si="11"/>
        <v>2339</v>
      </c>
      <c r="NQ35" s="36">
        <f t="shared" si="34"/>
        <v>5089</v>
      </c>
      <c r="NR35" s="36">
        <f t="shared" si="35"/>
        <v>44503.727272727272</v>
      </c>
      <c r="NS35" s="36">
        <f t="shared" si="36"/>
        <v>48983.8</v>
      </c>
      <c r="NT35" s="36">
        <f t="shared" si="37"/>
        <v>98576.527272727282</v>
      </c>
      <c r="NU35" s="18"/>
      <c r="NV35" s="18"/>
      <c r="NW35" s="18"/>
      <c r="NX35" s="19"/>
      <c r="NY35" s="19"/>
      <c r="NZ35" s="19"/>
      <c r="OA35" s="19"/>
      <c r="OB35" s="19"/>
      <c r="OC35" s="19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8"/>
      <c r="OR35" s="18"/>
      <c r="OS35" s="18"/>
      <c r="OT35" s="18"/>
      <c r="OU35" s="18"/>
      <c r="OV35" s="18"/>
      <c r="OW35" s="18"/>
      <c r="OX35" s="19"/>
      <c r="OY35" s="19"/>
      <c r="OZ35" s="19"/>
      <c r="PA35" s="19"/>
      <c r="PB35" s="19"/>
      <c r="PC35" s="19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8"/>
      <c r="PR35" s="18"/>
      <c r="PS35" s="18"/>
      <c r="PT35" s="18"/>
      <c r="PU35" s="18"/>
      <c r="PV35" s="18"/>
      <c r="PW35" s="18"/>
      <c r="PX35" s="19"/>
      <c r="PY35" s="19"/>
      <c r="PZ35" s="19"/>
      <c r="QA35" s="19"/>
      <c r="QB35" s="19"/>
      <c r="QC35" s="19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</row>
    <row r="36" spans="1:458" s="1" customFormat="1" ht="50.1" customHeight="1" x14ac:dyDescent="0.25">
      <c r="A36" s="120"/>
      <c r="B36" s="6" t="s">
        <v>19</v>
      </c>
      <c r="C36" s="23"/>
      <c r="D36" s="41">
        <v>1</v>
      </c>
      <c r="E36" s="41">
        <v>2</v>
      </c>
      <c r="F36" s="41">
        <v>6</v>
      </c>
      <c r="G36" s="41">
        <v>3</v>
      </c>
      <c r="H36" s="41">
        <v>2</v>
      </c>
      <c r="I36" s="41">
        <v>7</v>
      </c>
      <c r="J36" s="41">
        <v>2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38">
        <f t="shared" si="12"/>
        <v>23</v>
      </c>
      <c r="Q36" s="49">
        <v>224</v>
      </c>
      <c r="R36" s="49">
        <v>125</v>
      </c>
      <c r="S36" s="49">
        <v>309</v>
      </c>
      <c r="T36" s="49">
        <v>300</v>
      </c>
      <c r="U36" s="49">
        <v>242</v>
      </c>
      <c r="V36" s="49">
        <v>600</v>
      </c>
      <c r="W36" s="49">
        <v>427</v>
      </c>
      <c r="X36" s="49">
        <v>376</v>
      </c>
      <c r="Y36" s="49">
        <v>573</v>
      </c>
      <c r="Z36" s="49">
        <v>390</v>
      </c>
      <c r="AA36" s="49">
        <v>369</v>
      </c>
      <c r="AB36" s="49">
        <v>227</v>
      </c>
      <c r="AC36" s="38">
        <f t="shared" si="38"/>
        <v>4162</v>
      </c>
      <c r="AD36" s="36">
        <f t="shared" si="13"/>
        <v>4185</v>
      </c>
      <c r="AE36" s="26"/>
      <c r="AF36" s="32">
        <v>6</v>
      </c>
      <c r="AG36" s="32">
        <v>3</v>
      </c>
      <c r="AH36" s="32">
        <v>0</v>
      </c>
      <c r="AI36" s="32">
        <v>2</v>
      </c>
      <c r="AJ36" s="32">
        <v>1</v>
      </c>
      <c r="AK36" s="32">
        <v>3</v>
      </c>
      <c r="AL36" s="32">
        <v>3</v>
      </c>
      <c r="AM36" s="32">
        <v>1</v>
      </c>
      <c r="AN36" s="32">
        <v>4</v>
      </c>
      <c r="AO36" s="32">
        <v>3</v>
      </c>
      <c r="AP36" s="32">
        <v>0</v>
      </c>
      <c r="AQ36" s="32">
        <v>0</v>
      </c>
      <c r="AR36" s="38">
        <f t="shared" si="14"/>
        <v>26</v>
      </c>
      <c r="AS36" s="32">
        <v>4</v>
      </c>
      <c r="AT36" s="32">
        <v>0</v>
      </c>
      <c r="AU36" s="32">
        <v>6</v>
      </c>
      <c r="AV36" s="32">
        <v>0</v>
      </c>
      <c r="AW36" s="32">
        <v>8</v>
      </c>
      <c r="AX36" s="32">
        <v>3</v>
      </c>
      <c r="AY36" s="32">
        <v>7</v>
      </c>
      <c r="AZ36" s="32">
        <v>0</v>
      </c>
      <c r="BA36" s="32">
        <v>5</v>
      </c>
      <c r="BB36" s="32">
        <v>0</v>
      </c>
      <c r="BC36" s="32">
        <v>3</v>
      </c>
      <c r="BD36" s="32">
        <v>9</v>
      </c>
      <c r="BE36" s="38">
        <f t="shared" si="15"/>
        <v>45</v>
      </c>
      <c r="BF36" s="36">
        <f t="shared" si="16"/>
        <v>71</v>
      </c>
      <c r="BG36" s="26"/>
      <c r="BH36" s="41">
        <v>0</v>
      </c>
      <c r="BI36" s="41">
        <v>0</v>
      </c>
      <c r="BJ36" s="41">
        <v>0</v>
      </c>
      <c r="BK36" s="41">
        <v>0</v>
      </c>
      <c r="BL36" s="41">
        <v>0</v>
      </c>
      <c r="BM36" s="41">
        <v>0</v>
      </c>
      <c r="BN36" s="41">
        <v>0</v>
      </c>
      <c r="BO36" s="41">
        <v>0</v>
      </c>
      <c r="BP36" s="41">
        <v>0</v>
      </c>
      <c r="BQ36" s="41">
        <v>0</v>
      </c>
      <c r="BR36" s="41">
        <v>0</v>
      </c>
      <c r="BS36" s="41">
        <v>0</v>
      </c>
      <c r="BT36" s="38">
        <f t="shared" si="17"/>
        <v>0</v>
      </c>
      <c r="BU36" s="54">
        <v>19</v>
      </c>
      <c r="BV36" s="54">
        <v>29</v>
      </c>
      <c r="BW36" s="54">
        <v>26</v>
      </c>
      <c r="BX36" s="54">
        <v>4</v>
      </c>
      <c r="BY36" s="54">
        <v>8</v>
      </c>
      <c r="BZ36" s="54">
        <v>6</v>
      </c>
      <c r="CA36" s="54">
        <v>11</v>
      </c>
      <c r="CB36" s="54">
        <v>14</v>
      </c>
      <c r="CC36" s="54">
        <v>9</v>
      </c>
      <c r="CD36" s="54">
        <v>15</v>
      </c>
      <c r="CE36" s="54">
        <v>13.666666666666666</v>
      </c>
      <c r="CF36" s="54">
        <v>14.969696969696969</v>
      </c>
      <c r="CG36" s="38">
        <f t="shared" si="18"/>
        <v>169.63636363636363</v>
      </c>
      <c r="CH36" s="36">
        <f t="shared" si="19"/>
        <v>169.63636363636363</v>
      </c>
      <c r="CI36" s="26"/>
      <c r="CJ36" s="32">
        <v>6</v>
      </c>
      <c r="CK36" s="32">
        <v>12</v>
      </c>
      <c r="CL36" s="32">
        <v>7</v>
      </c>
      <c r="CM36" s="32">
        <v>7</v>
      </c>
      <c r="CN36" s="32">
        <v>13</v>
      </c>
      <c r="CO36" s="32">
        <v>23</v>
      </c>
      <c r="CP36" s="32">
        <v>8</v>
      </c>
      <c r="CQ36" s="32">
        <v>14</v>
      </c>
      <c r="CR36" s="32">
        <v>1</v>
      </c>
      <c r="CS36" s="32">
        <v>3</v>
      </c>
      <c r="CT36" s="32">
        <v>11</v>
      </c>
      <c r="CU36" s="32">
        <v>9</v>
      </c>
      <c r="CV36" s="38">
        <f t="shared" si="20"/>
        <v>114</v>
      </c>
      <c r="CW36" s="54">
        <v>48</v>
      </c>
      <c r="CX36" s="54">
        <v>42</v>
      </c>
      <c r="CY36" s="54">
        <v>178</v>
      </c>
      <c r="CZ36" s="54">
        <v>178</v>
      </c>
      <c r="DA36" s="54">
        <v>89</v>
      </c>
      <c r="DB36" s="54">
        <v>143</v>
      </c>
      <c r="DC36" s="54">
        <v>126</v>
      </c>
      <c r="DD36" s="54">
        <v>59</v>
      </c>
      <c r="DE36" s="54">
        <v>71</v>
      </c>
      <c r="DF36" s="54">
        <v>91</v>
      </c>
      <c r="DG36" s="54">
        <v>124</v>
      </c>
      <c r="DH36" s="54">
        <v>49</v>
      </c>
      <c r="DI36" s="38">
        <f t="shared" si="21"/>
        <v>1198</v>
      </c>
      <c r="DJ36" s="36">
        <f t="shared" si="22"/>
        <v>1312</v>
      </c>
      <c r="DK36" s="26"/>
      <c r="DL36" s="75">
        <v>0</v>
      </c>
      <c r="DM36" s="75">
        <v>0</v>
      </c>
      <c r="DN36" s="75">
        <v>0</v>
      </c>
      <c r="DO36" s="75">
        <v>0</v>
      </c>
      <c r="DP36" s="75">
        <v>0</v>
      </c>
      <c r="DQ36" s="75">
        <v>0</v>
      </c>
      <c r="DR36" s="75">
        <v>2</v>
      </c>
      <c r="DS36" s="75">
        <v>0</v>
      </c>
      <c r="DT36" s="75">
        <v>0</v>
      </c>
      <c r="DU36" s="75">
        <v>0</v>
      </c>
      <c r="DV36" s="75">
        <v>0</v>
      </c>
      <c r="DW36" s="75">
        <v>0</v>
      </c>
      <c r="DX36" s="38">
        <f t="shared" si="0"/>
        <v>2</v>
      </c>
      <c r="DY36" s="64">
        <v>0</v>
      </c>
      <c r="DZ36" s="64">
        <v>3</v>
      </c>
      <c r="EA36" s="64">
        <v>61</v>
      </c>
      <c r="EB36" s="64">
        <v>57</v>
      </c>
      <c r="EC36" s="64">
        <v>20</v>
      </c>
      <c r="ED36" s="64">
        <v>73</v>
      </c>
      <c r="EE36" s="64">
        <v>154</v>
      </c>
      <c r="EF36" s="64">
        <v>22</v>
      </c>
      <c r="EG36" s="64">
        <v>61</v>
      </c>
      <c r="EH36" s="64">
        <v>111</v>
      </c>
      <c r="EI36" s="64">
        <v>65</v>
      </c>
      <c r="EJ36" s="64">
        <v>33</v>
      </c>
      <c r="EK36" s="38">
        <f t="shared" si="23"/>
        <v>660</v>
      </c>
      <c r="EL36" s="36">
        <f t="shared" si="1"/>
        <v>662</v>
      </c>
      <c r="EM36" s="26"/>
      <c r="EN36" s="32">
        <v>31</v>
      </c>
      <c r="EO36" s="32">
        <v>47</v>
      </c>
      <c r="EP36" s="32">
        <v>7</v>
      </c>
      <c r="EQ36" s="32">
        <v>37</v>
      </c>
      <c r="ER36" s="32">
        <v>24</v>
      </c>
      <c r="ES36" s="32">
        <v>30</v>
      </c>
      <c r="ET36" s="32">
        <v>47</v>
      </c>
      <c r="EU36" s="32">
        <v>60</v>
      </c>
      <c r="EV36" s="32">
        <v>138</v>
      </c>
      <c r="EW36" s="32">
        <v>112</v>
      </c>
      <c r="EX36" s="32">
        <v>94</v>
      </c>
      <c r="EY36" s="32">
        <v>83</v>
      </c>
      <c r="EZ36" s="38">
        <f t="shared" si="24"/>
        <v>710</v>
      </c>
      <c r="FA36" s="26"/>
      <c r="FB36" s="104">
        <v>37</v>
      </c>
      <c r="FC36" s="104">
        <v>30</v>
      </c>
      <c r="FD36" s="104">
        <v>13</v>
      </c>
      <c r="FE36" s="104">
        <v>21</v>
      </c>
      <c r="FF36" s="104">
        <v>40</v>
      </c>
      <c r="FG36" s="104">
        <v>40</v>
      </c>
      <c r="FH36" s="104">
        <v>60</v>
      </c>
      <c r="FI36" s="104">
        <v>19</v>
      </c>
      <c r="FJ36" s="104">
        <v>40</v>
      </c>
      <c r="FK36" s="104">
        <v>13</v>
      </c>
      <c r="FL36" s="104">
        <v>7</v>
      </c>
      <c r="FM36" s="104">
        <v>11</v>
      </c>
      <c r="FN36" s="38">
        <f t="shared" si="25"/>
        <v>331</v>
      </c>
      <c r="FO36" s="26"/>
      <c r="FP36" s="32">
        <v>3</v>
      </c>
      <c r="FQ36" s="32">
        <v>2</v>
      </c>
      <c r="FR36" s="32">
        <v>6</v>
      </c>
      <c r="FS36" s="32">
        <v>2</v>
      </c>
      <c r="FT36" s="32">
        <v>8</v>
      </c>
      <c r="FU36" s="32">
        <v>0</v>
      </c>
      <c r="FV36" s="32">
        <v>0</v>
      </c>
      <c r="FW36" s="32">
        <v>1</v>
      </c>
      <c r="FX36" s="32">
        <v>0</v>
      </c>
      <c r="FY36" s="32">
        <v>0</v>
      </c>
      <c r="FZ36" s="32">
        <v>0</v>
      </c>
      <c r="GA36" s="32">
        <v>0</v>
      </c>
      <c r="GB36" s="38">
        <f t="shared" si="26"/>
        <v>22</v>
      </c>
      <c r="GC36" s="26"/>
      <c r="GD36" s="101">
        <v>85</v>
      </c>
      <c r="GE36" s="101">
        <v>71</v>
      </c>
      <c r="GF36" s="101">
        <v>102</v>
      </c>
      <c r="GG36" s="101">
        <v>72</v>
      </c>
      <c r="GH36" s="101">
        <v>76</v>
      </c>
      <c r="GI36" s="101">
        <v>162</v>
      </c>
      <c r="GJ36" s="101">
        <v>69</v>
      </c>
      <c r="GK36" s="101">
        <v>57</v>
      </c>
      <c r="GL36" s="101">
        <v>66</v>
      </c>
      <c r="GM36" s="101">
        <v>53</v>
      </c>
      <c r="GN36" s="101">
        <v>65</v>
      </c>
      <c r="GO36" s="101">
        <v>40</v>
      </c>
      <c r="GP36" s="38">
        <f t="shared" si="27"/>
        <v>918</v>
      </c>
      <c r="GQ36" s="26"/>
      <c r="GR36" s="32">
        <v>4</v>
      </c>
      <c r="GS36" s="32">
        <v>8</v>
      </c>
      <c r="GT36" s="32">
        <v>4</v>
      </c>
      <c r="GU36" s="32">
        <v>6</v>
      </c>
      <c r="GV36" s="32">
        <v>4</v>
      </c>
      <c r="GW36" s="32">
        <v>5</v>
      </c>
      <c r="GX36" s="32">
        <v>4</v>
      </c>
      <c r="GY36" s="32">
        <v>2</v>
      </c>
      <c r="GZ36" s="32">
        <v>5</v>
      </c>
      <c r="HA36" s="32">
        <v>1</v>
      </c>
      <c r="HB36" s="32">
        <v>35</v>
      </c>
      <c r="HC36" s="32">
        <v>5</v>
      </c>
      <c r="HD36" s="38">
        <f t="shared" si="28"/>
        <v>83</v>
      </c>
      <c r="HE36" s="26"/>
      <c r="HF36" s="54">
        <v>53</v>
      </c>
      <c r="HG36" s="54">
        <v>63</v>
      </c>
      <c r="HH36" s="54">
        <v>54</v>
      </c>
      <c r="HI36" s="54">
        <v>85</v>
      </c>
      <c r="HJ36" s="54">
        <v>141</v>
      </c>
      <c r="HK36" s="54">
        <v>156</v>
      </c>
      <c r="HL36" s="54">
        <v>72</v>
      </c>
      <c r="HM36" s="54">
        <v>45</v>
      </c>
      <c r="HN36" s="54">
        <v>49</v>
      </c>
      <c r="HO36" s="54">
        <v>89</v>
      </c>
      <c r="HP36" s="54">
        <v>64</v>
      </c>
      <c r="HQ36" s="54">
        <v>58</v>
      </c>
      <c r="HR36" s="38">
        <f t="shared" si="29"/>
        <v>929</v>
      </c>
      <c r="HS36" s="26"/>
      <c r="HT36" s="32">
        <v>0</v>
      </c>
      <c r="HU36" s="32">
        <v>1</v>
      </c>
      <c r="HV36" s="32">
        <v>1</v>
      </c>
      <c r="HW36" s="32">
        <v>2</v>
      </c>
      <c r="HX36" s="32">
        <v>1</v>
      </c>
      <c r="HY36" s="32">
        <v>1</v>
      </c>
      <c r="HZ36" s="32">
        <v>1</v>
      </c>
      <c r="IA36" s="32">
        <v>1</v>
      </c>
      <c r="IB36" s="32">
        <v>0</v>
      </c>
      <c r="IC36" s="32">
        <v>0</v>
      </c>
      <c r="ID36" s="32">
        <v>4</v>
      </c>
      <c r="IE36" s="69">
        <v>0</v>
      </c>
      <c r="IF36" s="38">
        <f t="shared" si="2"/>
        <v>12</v>
      </c>
      <c r="IG36" s="104">
        <v>48</v>
      </c>
      <c r="IH36" s="104">
        <v>34</v>
      </c>
      <c r="II36" s="104">
        <v>72</v>
      </c>
      <c r="IJ36" s="104">
        <v>84</v>
      </c>
      <c r="IK36" s="104">
        <v>21</v>
      </c>
      <c r="IL36" s="104">
        <v>38</v>
      </c>
      <c r="IM36" s="104">
        <v>57</v>
      </c>
      <c r="IN36" s="104">
        <v>62</v>
      </c>
      <c r="IO36" s="104">
        <v>76</v>
      </c>
      <c r="IP36" s="104">
        <v>29</v>
      </c>
      <c r="IQ36" s="104">
        <v>20</v>
      </c>
      <c r="IR36" s="107">
        <v>20</v>
      </c>
      <c r="IS36" s="38">
        <f t="shared" si="3"/>
        <v>561</v>
      </c>
      <c r="IT36" s="36">
        <f t="shared" si="39"/>
        <v>573</v>
      </c>
      <c r="IU36" s="26"/>
      <c r="IV36" s="32">
        <v>40</v>
      </c>
      <c r="IW36" s="32">
        <v>32</v>
      </c>
      <c r="IX36" s="32">
        <v>36</v>
      </c>
      <c r="IY36" s="32">
        <v>30</v>
      </c>
      <c r="IZ36" s="32">
        <v>48</v>
      </c>
      <c r="JA36" s="32">
        <v>35</v>
      </c>
      <c r="JB36" s="32">
        <v>46</v>
      </c>
      <c r="JC36" s="32">
        <v>25</v>
      </c>
      <c r="JD36" s="32">
        <v>39</v>
      </c>
      <c r="JE36" s="32">
        <v>49</v>
      </c>
      <c r="JF36" s="32">
        <v>40</v>
      </c>
      <c r="JG36" s="32">
        <v>32</v>
      </c>
      <c r="JH36" s="38">
        <f t="shared" si="4"/>
        <v>452</v>
      </c>
      <c r="JI36" s="109">
        <v>274.40000000000003</v>
      </c>
      <c r="JJ36" s="97">
        <v>456</v>
      </c>
      <c r="JK36" s="97">
        <v>246.4</v>
      </c>
      <c r="JL36" s="97">
        <v>367.20000000000005</v>
      </c>
      <c r="JM36" s="97">
        <v>183.20000000000002</v>
      </c>
      <c r="JN36" s="97">
        <v>140.80000000000001</v>
      </c>
      <c r="JO36" s="97">
        <v>122.4</v>
      </c>
      <c r="JP36" s="97">
        <v>140</v>
      </c>
      <c r="JQ36" s="97">
        <v>155.20000000000002</v>
      </c>
      <c r="JR36" s="97">
        <v>172</v>
      </c>
      <c r="JS36" s="97">
        <v>236</v>
      </c>
      <c r="JT36" s="97">
        <v>83.2</v>
      </c>
      <c r="JU36" s="35">
        <f t="shared" si="5"/>
        <v>2576.7999999999997</v>
      </c>
      <c r="JV36" s="40">
        <f t="shared" si="30"/>
        <v>3028.7999999999997</v>
      </c>
      <c r="JW36" s="26"/>
      <c r="JX36" s="93">
        <v>13</v>
      </c>
      <c r="JY36" s="93">
        <v>39</v>
      </c>
      <c r="JZ36" s="93">
        <v>25</v>
      </c>
      <c r="KA36" s="93">
        <v>52</v>
      </c>
      <c r="KB36" s="93">
        <v>20</v>
      </c>
      <c r="KC36" s="93">
        <v>15</v>
      </c>
      <c r="KD36" s="93">
        <v>8</v>
      </c>
      <c r="KE36" s="93">
        <v>8</v>
      </c>
      <c r="KF36" s="93">
        <v>16</v>
      </c>
      <c r="KG36" s="93">
        <v>14</v>
      </c>
      <c r="KH36" s="93">
        <v>5</v>
      </c>
      <c r="KI36" s="93">
        <v>17</v>
      </c>
      <c r="KJ36" s="38">
        <f t="shared" si="6"/>
        <v>232</v>
      </c>
      <c r="KK36" s="32">
        <v>1</v>
      </c>
      <c r="KL36" s="32">
        <v>1</v>
      </c>
      <c r="KM36" s="32">
        <v>2</v>
      </c>
      <c r="KN36" s="32">
        <v>0</v>
      </c>
      <c r="KO36" s="32">
        <v>2</v>
      </c>
      <c r="KP36" s="32">
        <v>3</v>
      </c>
      <c r="KQ36" s="32">
        <v>1</v>
      </c>
      <c r="KR36" s="32">
        <v>7</v>
      </c>
      <c r="KS36" s="32">
        <v>11</v>
      </c>
      <c r="KT36" s="32">
        <v>10</v>
      </c>
      <c r="KU36" s="32">
        <v>1</v>
      </c>
      <c r="KV36" s="32">
        <v>43</v>
      </c>
      <c r="KW36" s="38">
        <f t="shared" si="7"/>
        <v>82</v>
      </c>
      <c r="KX36" s="36">
        <f t="shared" si="31"/>
        <v>314</v>
      </c>
      <c r="KY36" s="26"/>
      <c r="KZ36" s="101">
        <v>10</v>
      </c>
      <c r="LA36" s="101">
        <v>1</v>
      </c>
      <c r="LB36" s="101">
        <v>2</v>
      </c>
      <c r="LC36" s="101">
        <v>14</v>
      </c>
      <c r="LD36" s="101">
        <v>4</v>
      </c>
      <c r="LE36" s="101">
        <v>30</v>
      </c>
      <c r="LF36" s="101">
        <v>10</v>
      </c>
      <c r="LG36" s="101">
        <v>10</v>
      </c>
      <c r="LH36" s="101">
        <v>2</v>
      </c>
      <c r="LI36" s="101">
        <v>1</v>
      </c>
      <c r="LJ36" s="101">
        <v>2</v>
      </c>
      <c r="LK36" s="115">
        <v>1</v>
      </c>
      <c r="LL36" s="38">
        <f t="shared" si="32"/>
        <v>87</v>
      </c>
      <c r="LM36" s="26"/>
      <c r="LN36" s="71">
        <v>35</v>
      </c>
      <c r="LO36" s="71">
        <v>28</v>
      </c>
      <c r="LP36" s="71">
        <v>39</v>
      </c>
      <c r="LQ36" s="71">
        <v>25</v>
      </c>
      <c r="LR36" s="71">
        <v>25</v>
      </c>
      <c r="LS36" s="71">
        <v>26</v>
      </c>
      <c r="LT36" s="71">
        <v>27</v>
      </c>
      <c r="LU36" s="45">
        <v>34</v>
      </c>
      <c r="LV36" s="45">
        <v>12</v>
      </c>
      <c r="LW36" s="45">
        <v>8</v>
      </c>
      <c r="LX36" s="45">
        <v>5</v>
      </c>
      <c r="LY36" s="45">
        <v>44</v>
      </c>
      <c r="LZ36" s="38">
        <f t="shared" si="8"/>
        <v>308</v>
      </c>
      <c r="MA36" s="26"/>
      <c r="MB36" s="45">
        <v>19</v>
      </c>
      <c r="MC36" s="45">
        <v>23</v>
      </c>
      <c r="MD36" s="45">
        <v>21</v>
      </c>
      <c r="ME36" s="45">
        <v>51</v>
      </c>
      <c r="MF36" s="45">
        <v>30</v>
      </c>
      <c r="MG36" s="45">
        <v>22</v>
      </c>
      <c r="MH36" s="45">
        <v>34</v>
      </c>
      <c r="MI36" s="45">
        <v>42</v>
      </c>
      <c r="MJ36" s="45">
        <v>84</v>
      </c>
      <c r="MK36" s="45">
        <v>29</v>
      </c>
      <c r="ML36" s="45">
        <v>11</v>
      </c>
      <c r="MM36" s="45">
        <v>142</v>
      </c>
      <c r="MN36" s="38">
        <f t="shared" si="9"/>
        <v>508</v>
      </c>
      <c r="MO36" s="32">
        <v>220</v>
      </c>
      <c r="MP36" s="32">
        <v>207</v>
      </c>
      <c r="MQ36" s="32">
        <v>198</v>
      </c>
      <c r="MR36" s="32">
        <v>507</v>
      </c>
      <c r="MS36" s="32">
        <v>521</v>
      </c>
      <c r="MT36" s="32">
        <v>288</v>
      </c>
      <c r="MU36" s="32">
        <v>651</v>
      </c>
      <c r="MV36" s="32">
        <v>398</v>
      </c>
      <c r="MW36" s="32">
        <v>548</v>
      </c>
      <c r="MX36" s="32">
        <v>553</v>
      </c>
      <c r="MY36" s="32">
        <v>442</v>
      </c>
      <c r="MZ36" s="32">
        <v>467</v>
      </c>
      <c r="NA36" s="38">
        <f t="shared" si="10"/>
        <v>5000</v>
      </c>
      <c r="NB36" s="36">
        <f t="shared" si="33"/>
        <v>5508</v>
      </c>
      <c r="NC36" s="26"/>
      <c r="ND36" s="32">
        <v>52</v>
      </c>
      <c r="NE36" s="32">
        <v>57</v>
      </c>
      <c r="NF36" s="32">
        <v>77</v>
      </c>
      <c r="NG36" s="32">
        <v>112</v>
      </c>
      <c r="NH36" s="32">
        <v>48</v>
      </c>
      <c r="NI36" s="32">
        <v>98</v>
      </c>
      <c r="NJ36" s="32">
        <v>119</v>
      </c>
      <c r="NK36" s="32">
        <v>74</v>
      </c>
      <c r="NL36" s="32">
        <v>167</v>
      </c>
      <c r="NM36" s="32">
        <v>85</v>
      </c>
      <c r="NN36" s="32">
        <v>71</v>
      </c>
      <c r="NO36" s="32">
        <v>27</v>
      </c>
      <c r="NP36" s="118">
        <f t="shared" si="11"/>
        <v>987</v>
      </c>
      <c r="NQ36" s="36">
        <f t="shared" si="34"/>
        <v>492</v>
      </c>
      <c r="NR36" s="36">
        <f t="shared" si="35"/>
        <v>7967.636363636364</v>
      </c>
      <c r="NS36" s="36">
        <f t="shared" si="36"/>
        <v>11738.8</v>
      </c>
      <c r="NT36" s="36">
        <f t="shared" si="37"/>
        <v>20198.436363636363</v>
      </c>
      <c r="NU36" s="18"/>
      <c r="NV36" s="18"/>
      <c r="NW36" s="18"/>
      <c r="NX36" s="19"/>
      <c r="NY36" s="19"/>
      <c r="NZ36" s="19"/>
      <c r="OA36" s="19"/>
      <c r="OB36" s="19"/>
      <c r="OC36" s="19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8"/>
      <c r="OR36" s="18"/>
      <c r="OS36" s="18"/>
      <c r="OT36" s="18"/>
      <c r="OU36" s="18"/>
      <c r="OV36" s="18"/>
      <c r="OW36" s="18"/>
      <c r="OX36" s="19"/>
      <c r="OY36" s="19"/>
      <c r="OZ36" s="19"/>
      <c r="PA36" s="19"/>
      <c r="PB36" s="19"/>
      <c r="PC36" s="19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8"/>
      <c r="PR36" s="18"/>
      <c r="PS36" s="18"/>
      <c r="PT36" s="18"/>
      <c r="PU36" s="18"/>
      <c r="PV36" s="18"/>
      <c r="PW36" s="18"/>
      <c r="PX36" s="19"/>
      <c r="PY36" s="19"/>
      <c r="PZ36" s="19"/>
      <c r="QA36" s="19"/>
      <c r="QB36" s="19"/>
      <c r="QC36" s="19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</row>
    <row r="37" spans="1:458" s="1" customFormat="1" ht="50.1" customHeight="1" x14ac:dyDescent="0.25">
      <c r="A37" s="120"/>
      <c r="B37" s="6" t="s">
        <v>20</v>
      </c>
      <c r="C37" s="23"/>
      <c r="D37" s="41">
        <f>SUM(D34:D36)</f>
        <v>1462</v>
      </c>
      <c r="E37" s="41">
        <f t="shared" ref="E37:O37" si="178">SUM(E34:E36)</f>
        <v>1616</v>
      </c>
      <c r="F37" s="41">
        <f t="shared" si="178"/>
        <v>2034</v>
      </c>
      <c r="G37" s="41">
        <f t="shared" si="178"/>
        <v>1685</v>
      </c>
      <c r="H37" s="41">
        <f t="shared" si="178"/>
        <v>2068</v>
      </c>
      <c r="I37" s="41">
        <f t="shared" si="178"/>
        <v>2030</v>
      </c>
      <c r="J37" s="41">
        <f t="shared" si="178"/>
        <v>2507</v>
      </c>
      <c r="K37" s="41">
        <f t="shared" si="178"/>
        <v>2329</v>
      </c>
      <c r="L37" s="41">
        <f t="shared" si="178"/>
        <v>1724</v>
      </c>
      <c r="M37" s="41">
        <f t="shared" si="178"/>
        <v>1445</v>
      </c>
      <c r="N37" s="41">
        <f t="shared" si="178"/>
        <v>2046</v>
      </c>
      <c r="O37" s="41">
        <f t="shared" si="178"/>
        <v>1993</v>
      </c>
      <c r="P37" s="38">
        <f t="shared" si="12"/>
        <v>22939</v>
      </c>
      <c r="Q37" s="45">
        <f>SUM(Q34:Q36)</f>
        <v>3606</v>
      </c>
      <c r="R37" s="45">
        <f t="shared" ref="R37:AB37" si="179">SUM(R34:R36)</f>
        <v>3530</v>
      </c>
      <c r="S37" s="45">
        <f t="shared" si="179"/>
        <v>6402</v>
      </c>
      <c r="T37" s="45">
        <f t="shared" si="179"/>
        <v>6085</v>
      </c>
      <c r="U37" s="45">
        <f t="shared" si="179"/>
        <v>7052</v>
      </c>
      <c r="V37" s="45">
        <f t="shared" si="179"/>
        <v>8140</v>
      </c>
      <c r="W37" s="45">
        <f t="shared" si="179"/>
        <v>8214</v>
      </c>
      <c r="X37" s="45">
        <f t="shared" si="179"/>
        <v>6711</v>
      </c>
      <c r="Y37" s="45">
        <f t="shared" si="179"/>
        <v>6837</v>
      </c>
      <c r="Z37" s="45">
        <f t="shared" si="179"/>
        <v>7599</v>
      </c>
      <c r="AA37" s="45">
        <f t="shared" si="179"/>
        <v>6493</v>
      </c>
      <c r="AB37" s="45">
        <f t="shared" si="179"/>
        <v>7085</v>
      </c>
      <c r="AC37" s="38">
        <f t="shared" si="38"/>
        <v>77754</v>
      </c>
      <c r="AD37" s="36">
        <f t="shared" si="13"/>
        <v>100693</v>
      </c>
      <c r="AE37" s="26"/>
      <c r="AF37" s="32">
        <f>SUM(AF34:AF36)</f>
        <v>156</v>
      </c>
      <c r="AG37" s="32">
        <f t="shared" ref="AG37:AQ37" si="180">SUM(AG34:AG36)</f>
        <v>149</v>
      </c>
      <c r="AH37" s="32">
        <f t="shared" si="180"/>
        <v>186</v>
      </c>
      <c r="AI37" s="32">
        <f t="shared" si="180"/>
        <v>214</v>
      </c>
      <c r="AJ37" s="32">
        <f t="shared" si="180"/>
        <v>225</v>
      </c>
      <c r="AK37" s="32">
        <f t="shared" si="180"/>
        <v>252</v>
      </c>
      <c r="AL37" s="32">
        <f t="shared" si="180"/>
        <v>262</v>
      </c>
      <c r="AM37" s="32">
        <f t="shared" si="180"/>
        <v>253</v>
      </c>
      <c r="AN37" s="32">
        <f t="shared" si="180"/>
        <v>224</v>
      </c>
      <c r="AO37" s="32">
        <f t="shared" si="180"/>
        <v>231</v>
      </c>
      <c r="AP37" s="32">
        <f t="shared" si="180"/>
        <v>229</v>
      </c>
      <c r="AQ37" s="32">
        <f t="shared" si="180"/>
        <v>219</v>
      </c>
      <c r="AR37" s="38">
        <f t="shared" si="14"/>
        <v>2600</v>
      </c>
      <c r="AS37" s="32">
        <f>SUM(AS34:AS36)</f>
        <v>548</v>
      </c>
      <c r="AT37" s="32">
        <f t="shared" ref="AT37:BD37" si="181">SUM(AT34:AT36)</f>
        <v>923</v>
      </c>
      <c r="AU37" s="32">
        <f t="shared" si="181"/>
        <v>747</v>
      </c>
      <c r="AV37" s="32">
        <f t="shared" si="181"/>
        <v>1018</v>
      </c>
      <c r="AW37" s="32">
        <f t="shared" si="181"/>
        <v>821</v>
      </c>
      <c r="AX37" s="32">
        <f t="shared" si="181"/>
        <v>1061</v>
      </c>
      <c r="AY37" s="32">
        <f t="shared" si="181"/>
        <v>987</v>
      </c>
      <c r="AZ37" s="32">
        <f t="shared" si="181"/>
        <v>994</v>
      </c>
      <c r="BA37" s="32">
        <f t="shared" si="181"/>
        <v>1459</v>
      </c>
      <c r="BB37" s="32">
        <f t="shared" si="181"/>
        <v>1219</v>
      </c>
      <c r="BC37" s="32">
        <f t="shared" si="181"/>
        <v>1155</v>
      </c>
      <c r="BD37" s="32">
        <f t="shared" si="181"/>
        <v>971</v>
      </c>
      <c r="BE37" s="38">
        <f>SUM(AS37:BD37)</f>
        <v>11903</v>
      </c>
      <c r="BF37" s="36">
        <f t="shared" si="16"/>
        <v>14503</v>
      </c>
      <c r="BG37" s="26"/>
      <c r="BH37" s="41">
        <f>SUM(BH34:BH36)</f>
        <v>0</v>
      </c>
      <c r="BI37" s="41">
        <f t="shared" ref="BI37:CF37" si="182">SUM(BI34:BI36)</f>
        <v>0</v>
      </c>
      <c r="BJ37" s="41">
        <f t="shared" si="182"/>
        <v>0</v>
      </c>
      <c r="BK37" s="41">
        <f t="shared" si="182"/>
        <v>0</v>
      </c>
      <c r="BL37" s="41">
        <f t="shared" si="182"/>
        <v>0</v>
      </c>
      <c r="BM37" s="41">
        <f t="shared" si="182"/>
        <v>0</v>
      </c>
      <c r="BN37" s="41">
        <f t="shared" si="182"/>
        <v>0</v>
      </c>
      <c r="BO37" s="41">
        <f t="shared" si="182"/>
        <v>0</v>
      </c>
      <c r="BP37" s="41">
        <f t="shared" si="182"/>
        <v>0</v>
      </c>
      <c r="BQ37" s="41">
        <f t="shared" si="182"/>
        <v>0</v>
      </c>
      <c r="BR37" s="41">
        <f t="shared" si="182"/>
        <v>0</v>
      </c>
      <c r="BS37" s="41">
        <f t="shared" si="182"/>
        <v>0</v>
      </c>
      <c r="BT37" s="38">
        <f t="shared" si="17"/>
        <v>0</v>
      </c>
      <c r="BU37" s="41">
        <f t="shared" si="182"/>
        <v>557</v>
      </c>
      <c r="BV37" s="41">
        <f t="shared" si="182"/>
        <v>650</v>
      </c>
      <c r="BW37" s="41">
        <f t="shared" si="182"/>
        <v>697</v>
      </c>
      <c r="BX37" s="41">
        <f t="shared" si="182"/>
        <v>696</v>
      </c>
      <c r="BY37" s="41">
        <f t="shared" si="182"/>
        <v>774</v>
      </c>
      <c r="BZ37" s="41">
        <f t="shared" si="182"/>
        <v>742</v>
      </c>
      <c r="CA37" s="41">
        <f t="shared" si="182"/>
        <v>778</v>
      </c>
      <c r="CB37" s="41">
        <f t="shared" si="182"/>
        <v>922</v>
      </c>
      <c r="CC37" s="41">
        <f t="shared" si="182"/>
        <v>697</v>
      </c>
      <c r="CD37" s="41">
        <f t="shared" si="182"/>
        <v>913</v>
      </c>
      <c r="CE37" s="41">
        <f t="shared" si="182"/>
        <v>810.33333333333326</v>
      </c>
      <c r="CF37" s="41">
        <f t="shared" si="182"/>
        <v>754.84848484848487</v>
      </c>
      <c r="CG37" s="38">
        <f t="shared" si="18"/>
        <v>8991.181818181818</v>
      </c>
      <c r="CH37" s="36">
        <f t="shared" si="19"/>
        <v>8991.181818181818</v>
      </c>
      <c r="CI37" s="26"/>
      <c r="CJ37" s="32">
        <f>SUM(CJ34:CJ36)</f>
        <v>715</v>
      </c>
      <c r="CK37" s="32">
        <f t="shared" ref="CK37:CU37" si="183">SUM(CK34:CK36)</f>
        <v>564</v>
      </c>
      <c r="CL37" s="32">
        <f t="shared" si="183"/>
        <v>753</v>
      </c>
      <c r="CM37" s="32">
        <f t="shared" si="183"/>
        <v>562</v>
      </c>
      <c r="CN37" s="32">
        <f t="shared" si="183"/>
        <v>631</v>
      </c>
      <c r="CO37" s="32">
        <f t="shared" si="183"/>
        <v>496</v>
      </c>
      <c r="CP37" s="32">
        <f t="shared" si="183"/>
        <v>553</v>
      </c>
      <c r="CQ37" s="32">
        <f t="shared" si="183"/>
        <v>625</v>
      </c>
      <c r="CR37" s="32">
        <f t="shared" si="183"/>
        <v>411</v>
      </c>
      <c r="CS37" s="32">
        <f t="shared" si="183"/>
        <v>347</v>
      </c>
      <c r="CT37" s="32">
        <f t="shared" si="183"/>
        <v>641</v>
      </c>
      <c r="CU37" s="32">
        <f t="shared" si="183"/>
        <v>743</v>
      </c>
      <c r="CV37" s="38">
        <f t="shared" si="20"/>
        <v>7041</v>
      </c>
      <c r="CW37" s="54">
        <v>1370</v>
      </c>
      <c r="CX37" s="54">
        <v>1269</v>
      </c>
      <c r="CY37" s="54">
        <v>1587</v>
      </c>
      <c r="CZ37" s="54">
        <v>1312</v>
      </c>
      <c r="DA37" s="54">
        <v>1261</v>
      </c>
      <c r="DB37" s="54">
        <v>1396</v>
      </c>
      <c r="DC37" s="54">
        <v>1534</v>
      </c>
      <c r="DD37" s="54">
        <v>1628</v>
      </c>
      <c r="DE37" s="54">
        <v>1402</v>
      </c>
      <c r="DF37" s="54">
        <v>1379</v>
      </c>
      <c r="DG37" s="54">
        <v>1316</v>
      </c>
      <c r="DH37" s="54">
        <v>1384</v>
      </c>
      <c r="DI37" s="38">
        <f t="shared" si="21"/>
        <v>16838</v>
      </c>
      <c r="DJ37" s="36">
        <f t="shared" si="22"/>
        <v>23879</v>
      </c>
      <c r="DK37" s="26"/>
      <c r="DL37" s="32">
        <f>SUM(DL34:DL36)</f>
        <v>627</v>
      </c>
      <c r="DM37" s="32">
        <f t="shared" ref="DM37:DW37" si="184">SUM(DM34:DM36)</f>
        <v>680</v>
      </c>
      <c r="DN37" s="32">
        <f t="shared" si="184"/>
        <v>891</v>
      </c>
      <c r="DO37" s="32">
        <f t="shared" si="184"/>
        <v>709</v>
      </c>
      <c r="DP37" s="32">
        <f t="shared" si="184"/>
        <v>697</v>
      </c>
      <c r="DQ37" s="32">
        <f t="shared" si="184"/>
        <v>622</v>
      </c>
      <c r="DR37" s="32">
        <f t="shared" si="184"/>
        <v>727</v>
      </c>
      <c r="DS37" s="32">
        <f t="shared" si="184"/>
        <v>808</v>
      </c>
      <c r="DT37" s="32">
        <f t="shared" si="184"/>
        <v>804</v>
      </c>
      <c r="DU37" s="32">
        <f t="shared" si="184"/>
        <v>728</v>
      </c>
      <c r="DV37" s="32">
        <f t="shared" si="184"/>
        <v>914</v>
      </c>
      <c r="DW37" s="32">
        <f t="shared" si="184"/>
        <v>856</v>
      </c>
      <c r="DX37" s="38">
        <f t="shared" si="0"/>
        <v>9063</v>
      </c>
      <c r="DY37" s="62">
        <f>SUM(DY34:DY36)</f>
        <v>1436</v>
      </c>
      <c r="DZ37" s="62">
        <f t="shared" ref="DZ37:EJ37" si="185">SUM(DZ34:DZ36)</f>
        <v>1393</v>
      </c>
      <c r="EA37" s="62">
        <f t="shared" si="185"/>
        <v>1439</v>
      </c>
      <c r="EB37" s="62">
        <f t="shared" si="185"/>
        <v>1721</v>
      </c>
      <c r="EC37" s="62">
        <f t="shared" si="185"/>
        <v>1486</v>
      </c>
      <c r="ED37" s="62">
        <f t="shared" si="185"/>
        <v>1541</v>
      </c>
      <c r="EE37" s="62">
        <f t="shared" si="185"/>
        <v>1808</v>
      </c>
      <c r="EF37" s="62">
        <f t="shared" si="185"/>
        <v>1586</v>
      </c>
      <c r="EG37" s="62">
        <f t="shared" si="185"/>
        <v>1451</v>
      </c>
      <c r="EH37" s="62">
        <f t="shared" si="185"/>
        <v>1488</v>
      </c>
      <c r="EI37" s="62">
        <f t="shared" si="185"/>
        <v>1293</v>
      </c>
      <c r="EJ37" s="62">
        <f t="shared" si="185"/>
        <v>1374</v>
      </c>
      <c r="EK37" s="38">
        <f t="shared" si="23"/>
        <v>18016</v>
      </c>
      <c r="EL37" s="36">
        <f t="shared" si="1"/>
        <v>27079</v>
      </c>
      <c r="EM37" s="26"/>
      <c r="EN37" s="32">
        <f>SUM(EN34:EN36)</f>
        <v>1675</v>
      </c>
      <c r="EO37" s="32">
        <f t="shared" ref="EO37:EY37" si="186">SUM(EO34:EO36)</f>
        <v>1364</v>
      </c>
      <c r="EP37" s="32">
        <f t="shared" si="186"/>
        <v>1663</v>
      </c>
      <c r="EQ37" s="32">
        <f t="shared" si="186"/>
        <v>1487</v>
      </c>
      <c r="ER37" s="32">
        <f t="shared" si="186"/>
        <v>1572</v>
      </c>
      <c r="ES37" s="32">
        <f t="shared" si="186"/>
        <v>1731</v>
      </c>
      <c r="ET37" s="32">
        <f t="shared" si="186"/>
        <v>2216</v>
      </c>
      <c r="EU37" s="32">
        <f t="shared" si="186"/>
        <v>1855</v>
      </c>
      <c r="EV37" s="32">
        <f t="shared" si="186"/>
        <v>1665</v>
      </c>
      <c r="EW37" s="32">
        <f t="shared" si="186"/>
        <v>1604</v>
      </c>
      <c r="EX37" s="32">
        <f t="shared" si="186"/>
        <v>1789</v>
      </c>
      <c r="EY37" s="32">
        <f t="shared" si="186"/>
        <v>1745</v>
      </c>
      <c r="EZ37" s="38">
        <f t="shared" si="24"/>
        <v>20366</v>
      </c>
      <c r="FA37" s="26"/>
      <c r="FB37" s="104">
        <f>SUM(FB34:FB36)</f>
        <v>1981</v>
      </c>
      <c r="FC37" s="104">
        <f t="shared" ref="FC37:FM37" si="187">SUM(FC34:FC36)</f>
        <v>2306</v>
      </c>
      <c r="FD37" s="104">
        <f t="shared" si="187"/>
        <v>2933</v>
      </c>
      <c r="FE37" s="104">
        <f t="shared" si="187"/>
        <v>2378</v>
      </c>
      <c r="FF37" s="104">
        <f t="shared" si="187"/>
        <v>2889</v>
      </c>
      <c r="FG37" s="104">
        <f t="shared" si="187"/>
        <v>2810</v>
      </c>
      <c r="FH37" s="104">
        <f t="shared" si="187"/>
        <v>3454</v>
      </c>
      <c r="FI37" s="104">
        <f t="shared" si="187"/>
        <v>3448</v>
      </c>
      <c r="FJ37" s="104">
        <f t="shared" si="187"/>
        <v>3010</v>
      </c>
      <c r="FK37" s="104">
        <f t="shared" si="187"/>
        <v>2303</v>
      </c>
      <c r="FL37" s="104">
        <f t="shared" si="187"/>
        <v>2576</v>
      </c>
      <c r="FM37" s="104">
        <f t="shared" si="187"/>
        <v>2865</v>
      </c>
      <c r="FN37" s="38">
        <f t="shared" si="25"/>
        <v>32953</v>
      </c>
      <c r="FO37" s="26"/>
      <c r="FP37" s="32">
        <f>SUM(FP34:FP36)</f>
        <v>738</v>
      </c>
      <c r="FQ37" s="32">
        <f t="shared" ref="FQ37:GA37" si="188">SUM(FQ34:FQ36)</f>
        <v>488</v>
      </c>
      <c r="FR37" s="32">
        <f t="shared" si="188"/>
        <v>701</v>
      </c>
      <c r="FS37" s="32">
        <f t="shared" si="188"/>
        <v>636</v>
      </c>
      <c r="FT37" s="32">
        <f t="shared" si="188"/>
        <v>751</v>
      </c>
      <c r="FU37" s="32">
        <f t="shared" si="188"/>
        <v>797</v>
      </c>
      <c r="FV37" s="32">
        <f t="shared" si="188"/>
        <v>915</v>
      </c>
      <c r="FW37" s="32">
        <f t="shared" si="188"/>
        <v>772</v>
      </c>
      <c r="FX37" s="32">
        <f t="shared" si="188"/>
        <v>720</v>
      </c>
      <c r="FY37" s="32">
        <f t="shared" si="188"/>
        <v>701</v>
      </c>
      <c r="FZ37" s="32">
        <f t="shared" si="188"/>
        <v>670</v>
      </c>
      <c r="GA37" s="32">
        <f t="shared" si="188"/>
        <v>571</v>
      </c>
      <c r="GB37" s="38">
        <f t="shared" si="26"/>
        <v>8460</v>
      </c>
      <c r="GC37" s="26"/>
      <c r="GD37" s="101">
        <f>SUM(GD34:GD36)</f>
        <v>2131</v>
      </c>
      <c r="GE37" s="101">
        <f t="shared" ref="GE37:GO37" si="189">SUM(GE34:GE36)</f>
        <v>1600</v>
      </c>
      <c r="GF37" s="101">
        <f t="shared" si="189"/>
        <v>2051</v>
      </c>
      <c r="GG37" s="101">
        <f t="shared" si="189"/>
        <v>2023</v>
      </c>
      <c r="GH37" s="101">
        <f t="shared" si="189"/>
        <v>1524</v>
      </c>
      <c r="GI37" s="101">
        <f t="shared" si="189"/>
        <v>1730</v>
      </c>
      <c r="GJ37" s="101">
        <f t="shared" si="189"/>
        <v>1920</v>
      </c>
      <c r="GK37" s="101">
        <f t="shared" si="189"/>
        <v>1859</v>
      </c>
      <c r="GL37" s="101">
        <f t="shared" si="189"/>
        <v>1351</v>
      </c>
      <c r="GM37" s="101">
        <f t="shared" si="189"/>
        <v>1311</v>
      </c>
      <c r="GN37" s="101">
        <f t="shared" si="189"/>
        <v>1947</v>
      </c>
      <c r="GO37" s="101">
        <f t="shared" si="189"/>
        <v>1978</v>
      </c>
      <c r="GP37" s="38">
        <f t="shared" si="27"/>
        <v>21425</v>
      </c>
      <c r="GQ37" s="26"/>
      <c r="GR37" s="32">
        <f>SUM(GR34:GR36)</f>
        <v>603</v>
      </c>
      <c r="GS37" s="32">
        <f t="shared" ref="GS37:HC37" si="190">SUM(GS34:GS36)</f>
        <v>525</v>
      </c>
      <c r="GT37" s="32">
        <f t="shared" si="190"/>
        <v>581</v>
      </c>
      <c r="GU37" s="32">
        <f t="shared" si="190"/>
        <v>571</v>
      </c>
      <c r="GV37" s="32">
        <f t="shared" si="190"/>
        <v>614</v>
      </c>
      <c r="GW37" s="32">
        <f t="shared" si="190"/>
        <v>850</v>
      </c>
      <c r="GX37" s="32">
        <f t="shared" si="190"/>
        <v>763</v>
      </c>
      <c r="GY37" s="32">
        <f t="shared" si="190"/>
        <v>554</v>
      </c>
      <c r="GZ37" s="32">
        <f t="shared" si="190"/>
        <v>666</v>
      </c>
      <c r="HA37" s="32">
        <f t="shared" si="190"/>
        <v>670</v>
      </c>
      <c r="HB37" s="32">
        <f t="shared" si="190"/>
        <v>712</v>
      </c>
      <c r="HC37" s="32">
        <f t="shared" si="190"/>
        <v>622</v>
      </c>
      <c r="HD37" s="38">
        <f t="shared" si="28"/>
        <v>7731</v>
      </c>
      <c r="HE37" s="26"/>
      <c r="HF37" s="54">
        <f>SUM(HF34:HF36)</f>
        <v>2103</v>
      </c>
      <c r="HG37" s="54">
        <f t="shared" ref="HG37:HQ37" si="191">SUM(HG34:HG36)</f>
        <v>2425</v>
      </c>
      <c r="HH37" s="54">
        <f t="shared" si="191"/>
        <v>2318</v>
      </c>
      <c r="HI37" s="54">
        <f t="shared" si="191"/>
        <v>2390</v>
      </c>
      <c r="HJ37" s="54">
        <f t="shared" si="191"/>
        <v>2951</v>
      </c>
      <c r="HK37" s="54">
        <f t="shared" si="191"/>
        <v>3426</v>
      </c>
      <c r="HL37" s="54">
        <f t="shared" si="191"/>
        <v>3382</v>
      </c>
      <c r="HM37" s="54">
        <f t="shared" si="191"/>
        <v>3533</v>
      </c>
      <c r="HN37" s="54">
        <f t="shared" si="191"/>
        <v>3464</v>
      </c>
      <c r="HO37" s="54">
        <f t="shared" si="191"/>
        <v>3123</v>
      </c>
      <c r="HP37" s="54">
        <f t="shared" si="191"/>
        <v>3211</v>
      </c>
      <c r="HQ37" s="54">
        <f t="shared" si="191"/>
        <v>2769</v>
      </c>
      <c r="HR37" s="38">
        <f t="shared" si="29"/>
        <v>35095</v>
      </c>
      <c r="HS37" s="26"/>
      <c r="HT37" s="32">
        <f>SUM(HT34:HT36)</f>
        <v>211</v>
      </c>
      <c r="HU37" s="32">
        <f t="shared" ref="HU37:IE37" si="192">SUM(HU34:HU36)</f>
        <v>216</v>
      </c>
      <c r="HV37" s="32">
        <f t="shared" si="192"/>
        <v>346</v>
      </c>
      <c r="HW37" s="32">
        <f t="shared" si="192"/>
        <v>261</v>
      </c>
      <c r="HX37" s="32">
        <f t="shared" si="192"/>
        <v>211</v>
      </c>
      <c r="HY37" s="32">
        <f t="shared" si="192"/>
        <v>234</v>
      </c>
      <c r="HZ37" s="32">
        <f t="shared" si="192"/>
        <v>214</v>
      </c>
      <c r="IA37" s="32">
        <f t="shared" si="192"/>
        <v>274</v>
      </c>
      <c r="IB37" s="32">
        <f t="shared" si="192"/>
        <v>215</v>
      </c>
      <c r="IC37" s="32">
        <f t="shared" si="192"/>
        <v>259</v>
      </c>
      <c r="ID37" s="32">
        <f t="shared" si="192"/>
        <v>167</v>
      </c>
      <c r="IE37" s="69">
        <f t="shared" si="192"/>
        <v>255</v>
      </c>
      <c r="IF37" s="38">
        <f t="shared" si="2"/>
        <v>2863</v>
      </c>
      <c r="IG37" s="104">
        <f>SUM(IG34:IG36)</f>
        <v>897</v>
      </c>
      <c r="IH37" s="104">
        <f t="shared" ref="IH37:IR37" si="193">SUM(IH34:IH36)</f>
        <v>896</v>
      </c>
      <c r="II37" s="104">
        <f t="shared" si="193"/>
        <v>1143</v>
      </c>
      <c r="IJ37" s="104">
        <f t="shared" si="193"/>
        <v>1064</v>
      </c>
      <c r="IK37" s="104">
        <f t="shared" si="193"/>
        <v>1104</v>
      </c>
      <c r="IL37" s="104">
        <f t="shared" si="193"/>
        <v>1129</v>
      </c>
      <c r="IM37" s="104">
        <f t="shared" si="193"/>
        <v>1151</v>
      </c>
      <c r="IN37" s="104">
        <f t="shared" si="193"/>
        <v>1361</v>
      </c>
      <c r="IO37" s="104">
        <f t="shared" si="193"/>
        <v>1302</v>
      </c>
      <c r="IP37" s="104">
        <f t="shared" si="193"/>
        <v>1207</v>
      </c>
      <c r="IQ37" s="104">
        <f t="shared" si="193"/>
        <v>1171</v>
      </c>
      <c r="IR37" s="107">
        <f t="shared" si="193"/>
        <v>963</v>
      </c>
      <c r="IS37" s="38">
        <f t="shared" si="3"/>
        <v>13388</v>
      </c>
      <c r="IT37" s="36">
        <f t="shared" si="39"/>
        <v>16251</v>
      </c>
      <c r="IU37" s="26"/>
      <c r="IV37" s="32">
        <f>SUM(IV34:IV36)</f>
        <v>460</v>
      </c>
      <c r="IW37" s="32">
        <f t="shared" ref="IW37:JG37" si="194">SUM(IW34:IW36)</f>
        <v>570</v>
      </c>
      <c r="IX37" s="32">
        <f t="shared" si="194"/>
        <v>572</v>
      </c>
      <c r="IY37" s="32">
        <f t="shared" si="194"/>
        <v>460</v>
      </c>
      <c r="IZ37" s="32">
        <f t="shared" si="194"/>
        <v>592</v>
      </c>
      <c r="JA37" s="32">
        <f t="shared" si="194"/>
        <v>562</v>
      </c>
      <c r="JB37" s="32">
        <f t="shared" si="194"/>
        <v>460</v>
      </c>
      <c r="JC37" s="32">
        <f t="shared" si="194"/>
        <v>550</v>
      </c>
      <c r="JD37" s="32">
        <f t="shared" si="194"/>
        <v>534</v>
      </c>
      <c r="JE37" s="32">
        <f t="shared" si="194"/>
        <v>664</v>
      </c>
      <c r="JF37" s="32">
        <f t="shared" si="194"/>
        <v>528</v>
      </c>
      <c r="JG37" s="32">
        <f t="shared" si="194"/>
        <v>533</v>
      </c>
      <c r="JH37" s="38">
        <f t="shared" si="4"/>
        <v>6485</v>
      </c>
      <c r="JI37" s="110">
        <f>SUM(JI34:JI36)</f>
        <v>3740.8000000000006</v>
      </c>
      <c r="JJ37" s="32">
        <f t="shared" ref="JJ37:JT37" si="195">SUM(JJ34:JJ36)</f>
        <v>3201.6000000000004</v>
      </c>
      <c r="JK37" s="32">
        <f t="shared" si="195"/>
        <v>3129.6000000000004</v>
      </c>
      <c r="JL37" s="32">
        <f t="shared" si="195"/>
        <v>3240.8</v>
      </c>
      <c r="JM37" s="32">
        <f t="shared" si="195"/>
        <v>3419.2000000000003</v>
      </c>
      <c r="JN37" s="32">
        <f t="shared" si="195"/>
        <v>3384.8</v>
      </c>
      <c r="JO37" s="32">
        <f t="shared" si="195"/>
        <v>3468.8</v>
      </c>
      <c r="JP37" s="32">
        <f t="shared" si="195"/>
        <v>2392</v>
      </c>
      <c r="JQ37" s="32">
        <f t="shared" si="195"/>
        <v>2829.6</v>
      </c>
      <c r="JR37" s="32">
        <f t="shared" si="195"/>
        <v>2988.8</v>
      </c>
      <c r="JS37" s="32">
        <f t="shared" si="195"/>
        <v>2381.6000000000004</v>
      </c>
      <c r="JT37" s="32">
        <f t="shared" si="195"/>
        <v>2704</v>
      </c>
      <c r="JU37" s="35">
        <f t="shared" si="5"/>
        <v>36881.599999999999</v>
      </c>
      <c r="JV37" s="40">
        <f t="shared" si="30"/>
        <v>43366.6</v>
      </c>
      <c r="JW37" s="26"/>
      <c r="JX37" s="32">
        <f>SUM(JX34:JX36)</f>
        <v>293</v>
      </c>
      <c r="JY37" s="32">
        <f t="shared" ref="JY37:KI37" si="196">SUM(JY34:JY36)</f>
        <v>300</v>
      </c>
      <c r="JZ37" s="32">
        <f t="shared" si="196"/>
        <v>448</v>
      </c>
      <c r="KA37" s="32">
        <f t="shared" si="196"/>
        <v>497</v>
      </c>
      <c r="KB37" s="32">
        <f t="shared" si="196"/>
        <v>486</v>
      </c>
      <c r="KC37" s="32">
        <f t="shared" si="196"/>
        <v>389</v>
      </c>
      <c r="KD37" s="32">
        <f t="shared" si="196"/>
        <v>426</v>
      </c>
      <c r="KE37" s="32">
        <f t="shared" si="196"/>
        <v>423</v>
      </c>
      <c r="KF37" s="32">
        <f t="shared" si="196"/>
        <v>371</v>
      </c>
      <c r="KG37" s="32">
        <f t="shared" si="196"/>
        <v>433</v>
      </c>
      <c r="KH37" s="32">
        <f t="shared" si="196"/>
        <v>449</v>
      </c>
      <c r="KI37" s="32">
        <f t="shared" si="196"/>
        <v>323</v>
      </c>
      <c r="KJ37" s="38">
        <f t="shared" si="6"/>
        <v>4838</v>
      </c>
      <c r="KK37" s="32">
        <f>SUM(KK34:KK36)</f>
        <v>1021</v>
      </c>
      <c r="KL37" s="32">
        <f t="shared" ref="KL37:KV37" si="197">SUM(KL34:KL36)</f>
        <v>924</v>
      </c>
      <c r="KM37" s="32">
        <f t="shared" si="197"/>
        <v>1415</v>
      </c>
      <c r="KN37" s="32">
        <f t="shared" si="197"/>
        <v>1154</v>
      </c>
      <c r="KO37" s="32">
        <f t="shared" si="197"/>
        <v>1241</v>
      </c>
      <c r="KP37" s="32">
        <f t="shared" si="197"/>
        <v>1151</v>
      </c>
      <c r="KQ37" s="32">
        <f t="shared" si="197"/>
        <v>1253</v>
      </c>
      <c r="KR37" s="32">
        <f t="shared" si="197"/>
        <v>1269</v>
      </c>
      <c r="KS37" s="32">
        <f t="shared" si="197"/>
        <v>1386</v>
      </c>
      <c r="KT37" s="32">
        <f t="shared" si="197"/>
        <v>1190</v>
      </c>
      <c r="KU37" s="32">
        <f t="shared" si="197"/>
        <v>881</v>
      </c>
      <c r="KV37" s="32">
        <f t="shared" si="197"/>
        <v>771</v>
      </c>
      <c r="KW37" s="38">
        <f t="shared" si="7"/>
        <v>13656</v>
      </c>
      <c r="KX37" s="36">
        <f t="shared" si="31"/>
        <v>18494</v>
      </c>
      <c r="KY37" s="26"/>
      <c r="KZ37" s="101">
        <f>SUM(KZ34:KZ36)</f>
        <v>361</v>
      </c>
      <c r="LA37" s="101">
        <f t="shared" ref="LA37:LK37" si="198">SUM(LA34:LA36)</f>
        <v>283</v>
      </c>
      <c r="LB37" s="101">
        <f t="shared" si="198"/>
        <v>356</v>
      </c>
      <c r="LC37" s="101">
        <f t="shared" si="198"/>
        <v>387</v>
      </c>
      <c r="LD37" s="101">
        <f t="shared" si="198"/>
        <v>510</v>
      </c>
      <c r="LE37" s="101">
        <f t="shared" si="198"/>
        <v>545</v>
      </c>
      <c r="LF37" s="101">
        <f t="shared" si="198"/>
        <v>528</v>
      </c>
      <c r="LG37" s="101">
        <f t="shared" si="198"/>
        <v>554</v>
      </c>
      <c r="LH37" s="101">
        <f t="shared" si="198"/>
        <v>615</v>
      </c>
      <c r="LI37" s="101">
        <f t="shared" si="198"/>
        <v>603</v>
      </c>
      <c r="LJ37" s="101">
        <f t="shared" si="198"/>
        <v>635</v>
      </c>
      <c r="LK37" s="115">
        <f t="shared" si="198"/>
        <v>509</v>
      </c>
      <c r="LL37" s="38">
        <f t="shared" si="32"/>
        <v>5886</v>
      </c>
      <c r="LM37" s="26"/>
      <c r="LN37" s="71">
        <f>SUM(LN34:LN36)</f>
        <v>4170</v>
      </c>
      <c r="LO37" s="71">
        <f t="shared" ref="LO37:LY37" si="199">SUM(LO34:LO36)</f>
        <v>3479</v>
      </c>
      <c r="LP37" s="71">
        <f t="shared" si="199"/>
        <v>4220</v>
      </c>
      <c r="LQ37" s="71">
        <f t="shared" si="199"/>
        <v>3573</v>
      </c>
      <c r="LR37" s="71">
        <f t="shared" si="199"/>
        <v>3617</v>
      </c>
      <c r="LS37" s="71">
        <f t="shared" si="199"/>
        <v>3744</v>
      </c>
      <c r="LT37" s="71">
        <f t="shared" si="199"/>
        <v>4205</v>
      </c>
      <c r="LU37" s="71">
        <f t="shared" si="199"/>
        <v>4047</v>
      </c>
      <c r="LV37" s="71">
        <f t="shared" si="199"/>
        <v>3367</v>
      </c>
      <c r="LW37" s="71">
        <f t="shared" si="199"/>
        <v>3826</v>
      </c>
      <c r="LX37" s="71">
        <f t="shared" si="199"/>
        <v>3448</v>
      </c>
      <c r="LY37" s="71">
        <f t="shared" si="199"/>
        <v>3196</v>
      </c>
      <c r="LZ37" s="38">
        <f t="shared" si="8"/>
        <v>44892</v>
      </c>
      <c r="MA37" s="26"/>
      <c r="MB37" s="71">
        <f>SUM(MB34:MB36)</f>
        <v>4364</v>
      </c>
      <c r="MC37" s="71">
        <f t="shared" ref="MC37:MM37" si="200">SUM(MC34:MC36)</f>
        <v>2326</v>
      </c>
      <c r="MD37" s="71">
        <f t="shared" si="200"/>
        <v>2915</v>
      </c>
      <c r="ME37" s="71">
        <f t="shared" si="200"/>
        <v>3308</v>
      </c>
      <c r="MF37" s="71">
        <f t="shared" si="200"/>
        <v>3318</v>
      </c>
      <c r="MG37" s="71">
        <f t="shared" si="200"/>
        <v>3025</v>
      </c>
      <c r="MH37" s="71">
        <f t="shared" si="200"/>
        <v>3389</v>
      </c>
      <c r="MI37" s="71">
        <f t="shared" si="200"/>
        <v>2719</v>
      </c>
      <c r="MJ37" s="71">
        <f t="shared" si="200"/>
        <v>2677</v>
      </c>
      <c r="MK37" s="71">
        <f t="shared" si="200"/>
        <v>2610</v>
      </c>
      <c r="ML37" s="71">
        <f t="shared" si="200"/>
        <v>2493</v>
      </c>
      <c r="MM37" s="71">
        <f t="shared" si="200"/>
        <v>2481</v>
      </c>
      <c r="MN37" s="38">
        <f t="shared" si="9"/>
        <v>35625</v>
      </c>
      <c r="MO37" s="32">
        <f>SUM(MO34:MO36)</f>
        <v>3654</v>
      </c>
      <c r="MP37" s="32">
        <f t="shared" ref="MP37:MZ37" si="201">SUM(MP34:MP36)</f>
        <v>3908</v>
      </c>
      <c r="MQ37" s="32">
        <f t="shared" si="201"/>
        <v>4191</v>
      </c>
      <c r="MR37" s="32">
        <f t="shared" si="201"/>
        <v>3012</v>
      </c>
      <c r="MS37" s="32">
        <f t="shared" si="201"/>
        <v>5464</v>
      </c>
      <c r="MT37" s="32">
        <f t="shared" si="201"/>
        <v>4149</v>
      </c>
      <c r="MU37" s="32">
        <f t="shared" si="201"/>
        <v>4992</v>
      </c>
      <c r="MV37" s="32">
        <f t="shared" si="201"/>
        <v>3614</v>
      </c>
      <c r="MW37" s="32">
        <f t="shared" si="201"/>
        <v>4514</v>
      </c>
      <c r="MX37" s="32">
        <f t="shared" si="201"/>
        <v>4431</v>
      </c>
      <c r="MY37" s="32">
        <f t="shared" si="201"/>
        <v>3746</v>
      </c>
      <c r="MZ37" s="32">
        <f t="shared" si="201"/>
        <v>4584</v>
      </c>
      <c r="NA37" s="38">
        <f t="shared" si="10"/>
        <v>50259</v>
      </c>
      <c r="NB37" s="36">
        <f t="shared" si="33"/>
        <v>85884</v>
      </c>
      <c r="NC37" s="26"/>
      <c r="ND37" s="32">
        <f>SUM(ND34:ND36)</f>
        <v>937</v>
      </c>
      <c r="NE37" s="32">
        <f t="shared" ref="NE37:NO37" si="202">SUM(NE34:NE36)</f>
        <v>953</v>
      </c>
      <c r="NF37" s="32">
        <f t="shared" si="202"/>
        <v>740</v>
      </c>
      <c r="NG37" s="32">
        <f t="shared" si="202"/>
        <v>975</v>
      </c>
      <c r="NH37" s="32">
        <f t="shared" si="202"/>
        <v>867</v>
      </c>
      <c r="NI37" s="32">
        <f t="shared" si="202"/>
        <v>1017</v>
      </c>
      <c r="NJ37" s="32">
        <f t="shared" si="202"/>
        <v>1018</v>
      </c>
      <c r="NK37" s="32">
        <f t="shared" si="202"/>
        <v>1184</v>
      </c>
      <c r="NL37" s="32">
        <f t="shared" si="202"/>
        <v>1158</v>
      </c>
      <c r="NM37" s="32">
        <f t="shared" si="202"/>
        <v>877</v>
      </c>
      <c r="NN37" s="32">
        <f t="shared" si="202"/>
        <v>652</v>
      </c>
      <c r="NO37" s="32">
        <f t="shared" si="202"/>
        <v>729</v>
      </c>
      <c r="NP37" s="118">
        <f t="shared" si="11"/>
        <v>11107</v>
      </c>
      <c r="NQ37" s="36">
        <f t="shared" si="34"/>
        <v>57075</v>
      </c>
      <c r="NR37" s="36">
        <f t="shared" si="35"/>
        <v>305086.18181818182</v>
      </c>
      <c r="NS37" s="36">
        <f t="shared" si="36"/>
        <v>164894.6</v>
      </c>
      <c r="NT37" s="36">
        <f t="shared" si="37"/>
        <v>527055.78181818186</v>
      </c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</row>
    <row r="38" spans="1:458" s="1" customFormat="1" ht="50.1" customHeight="1" x14ac:dyDescent="0.25">
      <c r="A38" s="120"/>
      <c r="B38" s="6" t="s">
        <v>21</v>
      </c>
      <c r="C38" s="23"/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38">
        <f t="shared" si="12"/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38">
        <f t="shared" si="38"/>
        <v>0</v>
      </c>
      <c r="AD38" s="36">
        <f t="shared" si="13"/>
        <v>0</v>
      </c>
      <c r="AE38" s="26"/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8">
        <f t="shared" si="14"/>
        <v>0</v>
      </c>
      <c r="AS38" s="32">
        <v>6</v>
      </c>
      <c r="AT38" s="32">
        <v>8</v>
      </c>
      <c r="AU38" s="32">
        <v>4</v>
      </c>
      <c r="AV38" s="32">
        <v>6</v>
      </c>
      <c r="AW38" s="32">
        <v>3</v>
      </c>
      <c r="AX38" s="32">
        <v>4</v>
      </c>
      <c r="AY38" s="32">
        <v>5</v>
      </c>
      <c r="AZ38" s="32">
        <v>9</v>
      </c>
      <c r="BA38" s="32">
        <v>2</v>
      </c>
      <c r="BB38" s="32">
        <v>4</v>
      </c>
      <c r="BC38" s="32">
        <v>7</v>
      </c>
      <c r="BD38" s="32">
        <v>3</v>
      </c>
      <c r="BE38" s="38">
        <f t="shared" si="15"/>
        <v>61</v>
      </c>
      <c r="BF38" s="36">
        <f t="shared" si="16"/>
        <v>61</v>
      </c>
      <c r="BG38" s="26"/>
      <c r="BH38" s="41">
        <v>0</v>
      </c>
      <c r="BI38" s="41">
        <v>0</v>
      </c>
      <c r="BJ38" s="41">
        <v>0</v>
      </c>
      <c r="BK38" s="41">
        <v>0</v>
      </c>
      <c r="BL38" s="41">
        <v>0</v>
      </c>
      <c r="BM38" s="41">
        <v>0</v>
      </c>
      <c r="BN38" s="41">
        <v>0</v>
      </c>
      <c r="BO38" s="41">
        <v>0</v>
      </c>
      <c r="BP38" s="41">
        <v>0</v>
      </c>
      <c r="BQ38" s="41">
        <v>0</v>
      </c>
      <c r="BR38" s="41">
        <v>0</v>
      </c>
      <c r="BS38" s="41">
        <v>0</v>
      </c>
      <c r="BT38" s="38">
        <f t="shared" si="17"/>
        <v>0</v>
      </c>
      <c r="BU38" s="54">
        <v>3</v>
      </c>
      <c r="BV38" s="54">
        <v>2</v>
      </c>
      <c r="BW38" s="54">
        <v>3</v>
      </c>
      <c r="BX38" s="54">
        <v>4</v>
      </c>
      <c r="BY38" s="54">
        <v>5</v>
      </c>
      <c r="BZ38" s="54">
        <v>4</v>
      </c>
      <c r="CA38" s="54">
        <v>3</v>
      </c>
      <c r="CB38" s="54">
        <v>3</v>
      </c>
      <c r="CC38" s="54">
        <v>3</v>
      </c>
      <c r="CD38" s="54">
        <v>5</v>
      </c>
      <c r="CE38" s="54">
        <v>2</v>
      </c>
      <c r="CF38" s="54">
        <v>4</v>
      </c>
      <c r="CG38" s="38">
        <f t="shared" si="18"/>
        <v>41</v>
      </c>
      <c r="CH38" s="36">
        <f t="shared" si="19"/>
        <v>41</v>
      </c>
      <c r="CI38" s="26"/>
      <c r="CJ38" s="32">
        <v>1</v>
      </c>
      <c r="CK38" s="32">
        <v>7</v>
      </c>
      <c r="CL38" s="32">
        <v>7</v>
      </c>
      <c r="CM38" s="32">
        <v>13</v>
      </c>
      <c r="CN38" s="32">
        <v>9</v>
      </c>
      <c r="CO38" s="32">
        <v>18</v>
      </c>
      <c r="CP38" s="32">
        <v>32</v>
      </c>
      <c r="CQ38" s="32">
        <v>64</v>
      </c>
      <c r="CR38" s="32">
        <v>18</v>
      </c>
      <c r="CS38" s="32">
        <v>32</v>
      </c>
      <c r="CT38" s="32">
        <v>17</v>
      </c>
      <c r="CU38" s="32">
        <v>0</v>
      </c>
      <c r="CV38" s="38">
        <f t="shared" si="20"/>
        <v>218</v>
      </c>
      <c r="CW38" s="54">
        <v>22</v>
      </c>
      <c r="CX38" s="54">
        <v>15</v>
      </c>
      <c r="CY38" s="54">
        <v>25</v>
      </c>
      <c r="CZ38" s="54">
        <v>20</v>
      </c>
      <c r="DA38" s="54">
        <v>24</v>
      </c>
      <c r="DB38" s="54">
        <v>31</v>
      </c>
      <c r="DC38" s="54">
        <v>28</v>
      </c>
      <c r="DD38" s="54">
        <v>7</v>
      </c>
      <c r="DE38" s="54">
        <v>26</v>
      </c>
      <c r="DF38" s="54">
        <v>32</v>
      </c>
      <c r="DG38" s="54">
        <v>32</v>
      </c>
      <c r="DH38" s="54">
        <v>37</v>
      </c>
      <c r="DI38" s="38">
        <f t="shared" si="21"/>
        <v>299</v>
      </c>
      <c r="DJ38" s="36">
        <f t="shared" si="22"/>
        <v>517</v>
      </c>
      <c r="DK38" s="26"/>
      <c r="DL38" s="75">
        <v>0</v>
      </c>
      <c r="DM38" s="75">
        <v>0</v>
      </c>
      <c r="DN38" s="75">
        <v>0</v>
      </c>
      <c r="DO38" s="75">
        <v>0</v>
      </c>
      <c r="DP38" s="75">
        <v>0</v>
      </c>
      <c r="DQ38" s="75">
        <v>0</v>
      </c>
      <c r="DR38" s="75">
        <v>0</v>
      </c>
      <c r="DS38" s="75">
        <v>0</v>
      </c>
      <c r="DT38" s="75">
        <v>0</v>
      </c>
      <c r="DU38" s="75">
        <v>0</v>
      </c>
      <c r="DV38" s="75">
        <v>0</v>
      </c>
      <c r="DW38" s="75">
        <v>0</v>
      </c>
      <c r="DX38" s="38">
        <f t="shared" si="0"/>
        <v>0</v>
      </c>
      <c r="DY38" s="64">
        <v>5</v>
      </c>
      <c r="DZ38" s="64">
        <v>6</v>
      </c>
      <c r="EA38" s="64">
        <v>5</v>
      </c>
      <c r="EB38" s="64">
        <v>3</v>
      </c>
      <c r="EC38" s="64">
        <v>7</v>
      </c>
      <c r="ED38" s="64">
        <v>8</v>
      </c>
      <c r="EE38" s="64">
        <v>4</v>
      </c>
      <c r="EF38" s="64">
        <v>3</v>
      </c>
      <c r="EG38" s="64">
        <v>6</v>
      </c>
      <c r="EH38" s="64">
        <v>2</v>
      </c>
      <c r="EI38" s="64">
        <v>3</v>
      </c>
      <c r="EJ38" s="64">
        <v>3</v>
      </c>
      <c r="EK38" s="38">
        <f t="shared" si="23"/>
        <v>55</v>
      </c>
      <c r="EL38" s="36">
        <f t="shared" si="1"/>
        <v>55</v>
      </c>
      <c r="EM38" s="26"/>
      <c r="EN38" s="32">
        <v>0</v>
      </c>
      <c r="EO38" s="32">
        <v>0</v>
      </c>
      <c r="EP38" s="32">
        <v>0</v>
      </c>
      <c r="EQ38" s="32">
        <v>0</v>
      </c>
      <c r="ER38" s="32">
        <v>0</v>
      </c>
      <c r="ES38" s="32">
        <v>0</v>
      </c>
      <c r="ET38" s="32">
        <v>0</v>
      </c>
      <c r="EU38" s="32">
        <v>0</v>
      </c>
      <c r="EV38" s="32">
        <v>0</v>
      </c>
      <c r="EW38" s="32">
        <v>0</v>
      </c>
      <c r="EX38" s="32">
        <v>0</v>
      </c>
      <c r="EY38" s="32">
        <v>0</v>
      </c>
      <c r="EZ38" s="38">
        <f t="shared" si="24"/>
        <v>0</v>
      </c>
      <c r="FA38" s="26"/>
      <c r="FB38" s="104">
        <v>0</v>
      </c>
      <c r="FC38" s="104">
        <v>0</v>
      </c>
      <c r="FD38" s="104">
        <v>0</v>
      </c>
      <c r="FE38" s="104">
        <v>0</v>
      </c>
      <c r="FF38" s="104">
        <v>0</v>
      </c>
      <c r="FG38" s="104">
        <v>0</v>
      </c>
      <c r="FH38" s="104">
        <v>0</v>
      </c>
      <c r="FI38" s="104">
        <v>0</v>
      </c>
      <c r="FJ38" s="104">
        <v>0</v>
      </c>
      <c r="FK38" s="104">
        <v>0</v>
      </c>
      <c r="FL38" s="104">
        <v>0</v>
      </c>
      <c r="FM38" s="104">
        <v>0</v>
      </c>
      <c r="FN38" s="38">
        <f t="shared" si="25"/>
        <v>0</v>
      </c>
      <c r="FO38" s="26"/>
      <c r="FP38" s="32">
        <v>12</v>
      </c>
      <c r="FQ38" s="32">
        <v>18</v>
      </c>
      <c r="FR38" s="32">
        <v>15</v>
      </c>
      <c r="FS38" s="32">
        <v>21</v>
      </c>
      <c r="FT38" s="32">
        <v>12</v>
      </c>
      <c r="FU38" s="32">
        <v>18</v>
      </c>
      <c r="FV38" s="32">
        <v>13</v>
      </c>
      <c r="FW38" s="32">
        <v>10</v>
      </c>
      <c r="FX38" s="32">
        <v>15</v>
      </c>
      <c r="FY38" s="32">
        <v>8</v>
      </c>
      <c r="FZ38" s="32">
        <v>16</v>
      </c>
      <c r="GA38" s="32">
        <v>12</v>
      </c>
      <c r="GB38" s="38">
        <f t="shared" si="26"/>
        <v>170</v>
      </c>
      <c r="GC38" s="26"/>
      <c r="GD38" s="101">
        <v>9</v>
      </c>
      <c r="GE38" s="101">
        <v>12</v>
      </c>
      <c r="GF38" s="101">
        <v>19</v>
      </c>
      <c r="GG38" s="101">
        <v>24</v>
      </c>
      <c r="GH38" s="101">
        <v>32</v>
      </c>
      <c r="GI38" s="101">
        <v>30</v>
      </c>
      <c r="GJ38" s="101">
        <v>21</v>
      </c>
      <c r="GK38" s="101">
        <v>19</v>
      </c>
      <c r="GL38" s="101">
        <v>17</v>
      </c>
      <c r="GM38" s="101">
        <v>29</v>
      </c>
      <c r="GN38" s="101">
        <v>35</v>
      </c>
      <c r="GO38" s="101">
        <v>24</v>
      </c>
      <c r="GP38" s="38">
        <f t="shared" si="27"/>
        <v>271</v>
      </c>
      <c r="GQ38" s="26"/>
      <c r="GR38" s="32">
        <v>0</v>
      </c>
      <c r="GS38" s="32">
        <v>0</v>
      </c>
      <c r="GT38" s="32">
        <v>0</v>
      </c>
      <c r="GU38" s="32">
        <v>0</v>
      </c>
      <c r="GV38" s="32">
        <v>0</v>
      </c>
      <c r="GW38" s="32">
        <v>0</v>
      </c>
      <c r="GX38" s="32">
        <v>0</v>
      </c>
      <c r="GY38" s="32">
        <v>0</v>
      </c>
      <c r="GZ38" s="32">
        <v>0</v>
      </c>
      <c r="HA38" s="32">
        <v>0</v>
      </c>
      <c r="HB38" s="32">
        <v>0</v>
      </c>
      <c r="HC38" s="32">
        <v>0</v>
      </c>
      <c r="HD38" s="38">
        <f t="shared" si="28"/>
        <v>0</v>
      </c>
      <c r="HE38" s="26"/>
      <c r="HF38" s="54">
        <v>0</v>
      </c>
      <c r="HG38" s="54">
        <v>0</v>
      </c>
      <c r="HH38" s="54">
        <v>0</v>
      </c>
      <c r="HI38" s="54">
        <v>0</v>
      </c>
      <c r="HJ38" s="54">
        <v>0</v>
      </c>
      <c r="HK38" s="54">
        <v>0</v>
      </c>
      <c r="HL38" s="54">
        <v>0</v>
      </c>
      <c r="HM38" s="54">
        <v>0</v>
      </c>
      <c r="HN38" s="54">
        <v>0</v>
      </c>
      <c r="HO38" s="54">
        <v>0</v>
      </c>
      <c r="HP38" s="54">
        <v>0</v>
      </c>
      <c r="HQ38" s="54">
        <v>0</v>
      </c>
      <c r="HR38" s="38">
        <f t="shared" si="29"/>
        <v>0</v>
      </c>
      <c r="HS38" s="26"/>
      <c r="HT38" s="32">
        <v>2</v>
      </c>
      <c r="HU38" s="32">
        <v>2</v>
      </c>
      <c r="HV38" s="32">
        <v>2</v>
      </c>
      <c r="HW38" s="32">
        <v>4</v>
      </c>
      <c r="HX38" s="32">
        <v>3</v>
      </c>
      <c r="HY38" s="32">
        <v>2</v>
      </c>
      <c r="HZ38" s="32">
        <v>1</v>
      </c>
      <c r="IA38" s="32">
        <v>2</v>
      </c>
      <c r="IB38" s="32">
        <v>3</v>
      </c>
      <c r="IC38" s="32">
        <v>3</v>
      </c>
      <c r="ID38" s="32">
        <v>2</v>
      </c>
      <c r="IE38" s="69">
        <v>1</v>
      </c>
      <c r="IF38" s="38">
        <f t="shared" si="2"/>
        <v>27</v>
      </c>
      <c r="IG38" s="104">
        <v>11</v>
      </c>
      <c r="IH38" s="104">
        <v>16</v>
      </c>
      <c r="II38" s="104">
        <v>17</v>
      </c>
      <c r="IJ38" s="104">
        <v>15</v>
      </c>
      <c r="IK38" s="104">
        <v>14</v>
      </c>
      <c r="IL38" s="104">
        <v>19</v>
      </c>
      <c r="IM38" s="104">
        <v>16</v>
      </c>
      <c r="IN38" s="104">
        <v>18</v>
      </c>
      <c r="IO38" s="104">
        <v>17</v>
      </c>
      <c r="IP38" s="104">
        <v>15</v>
      </c>
      <c r="IQ38" s="104">
        <v>18</v>
      </c>
      <c r="IR38" s="107">
        <v>22</v>
      </c>
      <c r="IS38" s="38">
        <f t="shared" si="3"/>
        <v>198</v>
      </c>
      <c r="IT38" s="36">
        <f t="shared" si="39"/>
        <v>225</v>
      </c>
      <c r="IU38" s="26"/>
      <c r="IV38" s="32">
        <v>3</v>
      </c>
      <c r="IW38" s="32">
        <v>4</v>
      </c>
      <c r="IX38" s="32">
        <v>2</v>
      </c>
      <c r="IY38" s="32">
        <v>4</v>
      </c>
      <c r="IZ38" s="32">
        <v>3</v>
      </c>
      <c r="JA38" s="32">
        <v>8</v>
      </c>
      <c r="JB38" s="32">
        <v>6</v>
      </c>
      <c r="JC38" s="32">
        <v>4</v>
      </c>
      <c r="JD38" s="32">
        <v>8</v>
      </c>
      <c r="JE38" s="32">
        <v>6</v>
      </c>
      <c r="JF38" s="32">
        <v>4</v>
      </c>
      <c r="JG38" s="32">
        <v>6</v>
      </c>
      <c r="JH38" s="38">
        <f t="shared" si="4"/>
        <v>58</v>
      </c>
      <c r="JI38" s="110">
        <v>25</v>
      </c>
      <c r="JJ38" s="32">
        <v>17</v>
      </c>
      <c r="JK38" s="32">
        <v>13</v>
      </c>
      <c r="JL38" s="32">
        <v>11</v>
      </c>
      <c r="JM38" s="32">
        <v>16</v>
      </c>
      <c r="JN38" s="32">
        <v>24</v>
      </c>
      <c r="JO38" s="32">
        <v>11</v>
      </c>
      <c r="JP38" s="32">
        <v>13</v>
      </c>
      <c r="JQ38" s="32">
        <v>16</v>
      </c>
      <c r="JR38" s="32">
        <v>18</v>
      </c>
      <c r="JS38" s="32">
        <v>23</v>
      </c>
      <c r="JT38" s="32">
        <v>15</v>
      </c>
      <c r="JU38" s="35">
        <f t="shared" si="5"/>
        <v>202</v>
      </c>
      <c r="JV38" s="40">
        <f t="shared" si="30"/>
        <v>260</v>
      </c>
      <c r="JW38" s="26"/>
      <c r="JX38" s="32">
        <v>0</v>
      </c>
      <c r="JY38" s="32">
        <v>0</v>
      </c>
      <c r="JZ38" s="32">
        <v>0</v>
      </c>
      <c r="KA38" s="32">
        <v>0</v>
      </c>
      <c r="KB38" s="32">
        <v>0</v>
      </c>
      <c r="KC38" s="32">
        <v>0</v>
      </c>
      <c r="KD38" s="32">
        <v>0</v>
      </c>
      <c r="KE38" s="32">
        <v>0</v>
      </c>
      <c r="KF38" s="32">
        <v>0</v>
      </c>
      <c r="KG38" s="32">
        <v>0</v>
      </c>
      <c r="KH38" s="32">
        <v>0</v>
      </c>
      <c r="KI38" s="32">
        <v>0</v>
      </c>
      <c r="KJ38" s="38">
        <f t="shared" si="6"/>
        <v>0</v>
      </c>
      <c r="KK38" s="32">
        <v>3</v>
      </c>
      <c r="KL38" s="32">
        <v>21</v>
      </c>
      <c r="KM38" s="32">
        <v>44</v>
      </c>
      <c r="KN38" s="32">
        <v>26</v>
      </c>
      <c r="KO38" s="32">
        <v>21</v>
      </c>
      <c r="KP38" s="32">
        <v>10</v>
      </c>
      <c r="KQ38" s="32">
        <v>16</v>
      </c>
      <c r="KR38" s="32">
        <v>21</v>
      </c>
      <c r="KS38" s="32">
        <v>38</v>
      </c>
      <c r="KT38" s="32">
        <v>21</v>
      </c>
      <c r="KU38" s="32">
        <v>30</v>
      </c>
      <c r="KV38" s="32">
        <v>41</v>
      </c>
      <c r="KW38" s="38">
        <f t="shared" si="7"/>
        <v>292</v>
      </c>
      <c r="KX38" s="36">
        <f t="shared" si="31"/>
        <v>292</v>
      </c>
      <c r="KY38" s="26"/>
      <c r="KZ38" s="101">
        <v>5</v>
      </c>
      <c r="LA38" s="101">
        <v>8</v>
      </c>
      <c r="LB38" s="101">
        <v>15</v>
      </c>
      <c r="LC38" s="101">
        <v>7</v>
      </c>
      <c r="LD38" s="101">
        <v>0</v>
      </c>
      <c r="LE38" s="101">
        <v>8</v>
      </c>
      <c r="LF38" s="101">
        <v>6</v>
      </c>
      <c r="LG38" s="101">
        <v>3</v>
      </c>
      <c r="LH38" s="101">
        <v>12</v>
      </c>
      <c r="LI38" s="101">
        <v>19</v>
      </c>
      <c r="LJ38" s="101">
        <v>8</v>
      </c>
      <c r="LK38" s="115">
        <v>15</v>
      </c>
      <c r="LL38" s="38">
        <f t="shared" si="32"/>
        <v>106</v>
      </c>
      <c r="LM38" s="26"/>
      <c r="LN38" s="71">
        <v>42</v>
      </c>
      <c r="LO38" s="71">
        <v>44</v>
      </c>
      <c r="LP38" s="71">
        <v>47</v>
      </c>
      <c r="LQ38" s="71">
        <v>54</v>
      </c>
      <c r="LR38" s="71">
        <v>77</v>
      </c>
      <c r="LS38" s="71">
        <v>68</v>
      </c>
      <c r="LT38" s="71">
        <v>53</v>
      </c>
      <c r="LU38" s="45">
        <v>90</v>
      </c>
      <c r="LV38" s="45">
        <v>54</v>
      </c>
      <c r="LW38" s="45">
        <v>58</v>
      </c>
      <c r="LX38" s="45">
        <v>94</v>
      </c>
      <c r="LY38" s="45">
        <v>67</v>
      </c>
      <c r="LZ38" s="38">
        <f t="shared" si="8"/>
        <v>748</v>
      </c>
      <c r="MA38" s="26"/>
      <c r="MB38" s="45">
        <v>3</v>
      </c>
      <c r="MC38" s="45">
        <v>4</v>
      </c>
      <c r="MD38" s="45">
        <v>0</v>
      </c>
      <c r="ME38" s="45">
        <v>0</v>
      </c>
      <c r="MF38" s="45">
        <v>10</v>
      </c>
      <c r="MG38" s="45">
        <v>5</v>
      </c>
      <c r="MH38" s="45">
        <v>6</v>
      </c>
      <c r="MI38" s="45">
        <v>3</v>
      </c>
      <c r="MJ38" s="45">
        <v>7</v>
      </c>
      <c r="MK38" s="45">
        <v>3</v>
      </c>
      <c r="ML38" s="45">
        <v>4</v>
      </c>
      <c r="MM38" s="45">
        <v>3</v>
      </c>
      <c r="MN38" s="38">
        <f t="shared" si="9"/>
        <v>48</v>
      </c>
      <c r="MO38" s="32">
        <v>26</v>
      </c>
      <c r="MP38" s="32">
        <v>54</v>
      </c>
      <c r="MQ38" s="32">
        <v>46</v>
      </c>
      <c r="MR38" s="32">
        <v>32</v>
      </c>
      <c r="MS38" s="32">
        <v>53</v>
      </c>
      <c r="MT38" s="32">
        <v>15</v>
      </c>
      <c r="MU38" s="32">
        <v>20</v>
      </c>
      <c r="MV38" s="32">
        <v>14</v>
      </c>
      <c r="MW38" s="32">
        <v>27</v>
      </c>
      <c r="MX38" s="32">
        <v>33</v>
      </c>
      <c r="MY38" s="32">
        <v>34</v>
      </c>
      <c r="MZ38" s="32">
        <v>44</v>
      </c>
      <c r="NA38" s="38">
        <f t="shared" si="10"/>
        <v>398</v>
      </c>
      <c r="NB38" s="36">
        <f t="shared" si="33"/>
        <v>446</v>
      </c>
      <c r="NC38" s="26"/>
      <c r="ND38" s="32">
        <v>0</v>
      </c>
      <c r="NE38" s="32">
        <v>0</v>
      </c>
      <c r="NF38" s="32">
        <v>0</v>
      </c>
      <c r="NG38" s="32">
        <v>0</v>
      </c>
      <c r="NH38" s="32">
        <v>0</v>
      </c>
      <c r="NI38" s="32">
        <v>0</v>
      </c>
      <c r="NJ38" s="32">
        <v>0</v>
      </c>
      <c r="NK38" s="32">
        <v>0</v>
      </c>
      <c r="NL38" s="32">
        <v>0</v>
      </c>
      <c r="NM38" s="32">
        <v>0</v>
      </c>
      <c r="NN38" s="32">
        <v>0</v>
      </c>
      <c r="NO38" s="32">
        <v>0</v>
      </c>
      <c r="NP38" s="118">
        <f t="shared" si="11"/>
        <v>0</v>
      </c>
      <c r="NQ38" s="36">
        <f t="shared" si="34"/>
        <v>245</v>
      </c>
      <c r="NR38" s="36">
        <f t="shared" si="35"/>
        <v>2347</v>
      </c>
      <c r="NS38" s="36">
        <f t="shared" si="36"/>
        <v>600</v>
      </c>
      <c r="NT38" s="36">
        <f t="shared" si="37"/>
        <v>3192</v>
      </c>
      <c r="NU38" s="18"/>
      <c r="NV38" s="18"/>
      <c r="NW38" s="18"/>
      <c r="NX38" s="19"/>
      <c r="NY38" s="19"/>
      <c r="NZ38" s="19"/>
      <c r="OA38" s="19"/>
      <c r="OB38" s="19"/>
      <c r="OC38" s="19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8"/>
      <c r="OR38" s="18"/>
      <c r="OS38" s="18"/>
      <c r="OT38" s="18"/>
      <c r="OU38" s="18"/>
      <c r="OV38" s="18"/>
      <c r="OW38" s="18"/>
      <c r="OX38" s="19"/>
      <c r="OY38" s="19"/>
      <c r="OZ38" s="19"/>
      <c r="PA38" s="19"/>
      <c r="PB38" s="19"/>
      <c r="PC38" s="19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8"/>
      <c r="PR38" s="18"/>
      <c r="PS38" s="18"/>
      <c r="PT38" s="18"/>
      <c r="PU38" s="18"/>
      <c r="PV38" s="18"/>
      <c r="PW38" s="18"/>
      <c r="PX38" s="19"/>
      <c r="PY38" s="19"/>
      <c r="PZ38" s="19"/>
      <c r="QA38" s="19"/>
      <c r="QB38" s="19"/>
      <c r="QC38" s="19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</row>
    <row r="39" spans="1:458" s="1" customFormat="1" ht="50.1" customHeight="1" x14ac:dyDescent="0.25">
      <c r="A39" s="120"/>
      <c r="B39" s="6" t="s">
        <v>22</v>
      </c>
      <c r="C39" s="23"/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38">
        <f t="shared" si="12"/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38">
        <f t="shared" si="38"/>
        <v>0</v>
      </c>
      <c r="AD39" s="36">
        <f t="shared" si="13"/>
        <v>0</v>
      </c>
      <c r="AE39" s="26"/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8">
        <f t="shared" si="14"/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v>0</v>
      </c>
      <c r="BE39" s="38">
        <f t="shared" si="15"/>
        <v>0</v>
      </c>
      <c r="BF39" s="36">
        <f t="shared" si="16"/>
        <v>0</v>
      </c>
      <c r="BG39" s="26"/>
      <c r="BH39" s="41">
        <v>0</v>
      </c>
      <c r="BI39" s="41">
        <v>0</v>
      </c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  <c r="BQ39" s="41">
        <v>0</v>
      </c>
      <c r="BR39" s="41">
        <v>0</v>
      </c>
      <c r="BS39" s="41">
        <v>0</v>
      </c>
      <c r="BT39" s="38">
        <f t="shared" si="17"/>
        <v>0</v>
      </c>
      <c r="BU39" s="54">
        <v>0</v>
      </c>
      <c r="BV39" s="54">
        <v>0</v>
      </c>
      <c r="BW39" s="54">
        <v>0</v>
      </c>
      <c r="BX39" s="54">
        <v>0</v>
      </c>
      <c r="BY39" s="54">
        <v>0</v>
      </c>
      <c r="BZ39" s="54">
        <v>0</v>
      </c>
      <c r="CA39" s="54">
        <v>0</v>
      </c>
      <c r="CB39" s="54">
        <v>0</v>
      </c>
      <c r="CC39" s="54">
        <v>0</v>
      </c>
      <c r="CD39" s="54">
        <v>0</v>
      </c>
      <c r="CE39" s="54">
        <v>0</v>
      </c>
      <c r="CF39" s="54">
        <v>0</v>
      </c>
      <c r="CG39" s="38">
        <f t="shared" si="18"/>
        <v>0</v>
      </c>
      <c r="CH39" s="36">
        <f t="shared" si="19"/>
        <v>0</v>
      </c>
      <c r="CI39" s="26"/>
      <c r="CJ39" s="32">
        <v>0</v>
      </c>
      <c r="CK39" s="32">
        <v>0</v>
      </c>
      <c r="CL39" s="32">
        <v>0</v>
      </c>
      <c r="CM39" s="32">
        <v>0</v>
      </c>
      <c r="CN39" s="32">
        <v>0</v>
      </c>
      <c r="CO39" s="32">
        <v>0</v>
      </c>
      <c r="CP39" s="32">
        <v>0</v>
      </c>
      <c r="CQ39" s="32">
        <v>0</v>
      </c>
      <c r="CR39" s="32">
        <v>0</v>
      </c>
      <c r="CS39" s="32">
        <v>0</v>
      </c>
      <c r="CT39" s="32">
        <v>0</v>
      </c>
      <c r="CU39" s="32">
        <v>0</v>
      </c>
      <c r="CV39" s="38">
        <f t="shared" si="20"/>
        <v>0</v>
      </c>
      <c r="CW39" s="54">
        <v>0</v>
      </c>
      <c r="CX39" s="54">
        <v>0</v>
      </c>
      <c r="CY39" s="54">
        <v>0</v>
      </c>
      <c r="CZ39" s="54">
        <v>0</v>
      </c>
      <c r="DA39" s="54">
        <v>0</v>
      </c>
      <c r="DB39" s="54">
        <v>0</v>
      </c>
      <c r="DC39" s="54">
        <v>0</v>
      </c>
      <c r="DD39" s="54">
        <v>0</v>
      </c>
      <c r="DE39" s="54">
        <v>0</v>
      </c>
      <c r="DF39" s="54">
        <v>0</v>
      </c>
      <c r="DG39" s="54">
        <v>0</v>
      </c>
      <c r="DH39" s="54">
        <v>0</v>
      </c>
      <c r="DI39" s="38">
        <f t="shared" si="21"/>
        <v>0</v>
      </c>
      <c r="DJ39" s="36">
        <f t="shared" si="22"/>
        <v>0</v>
      </c>
      <c r="DK39" s="26"/>
      <c r="DL39" s="75">
        <v>0</v>
      </c>
      <c r="DM39" s="75">
        <v>0</v>
      </c>
      <c r="DN39" s="75">
        <v>0</v>
      </c>
      <c r="DO39" s="75">
        <v>0</v>
      </c>
      <c r="DP39" s="75">
        <v>0</v>
      </c>
      <c r="DQ39" s="75">
        <v>0</v>
      </c>
      <c r="DR39" s="75">
        <v>0</v>
      </c>
      <c r="DS39" s="75">
        <v>0</v>
      </c>
      <c r="DT39" s="75">
        <v>0</v>
      </c>
      <c r="DU39" s="75">
        <v>0</v>
      </c>
      <c r="DV39" s="75">
        <v>0</v>
      </c>
      <c r="DW39" s="75">
        <v>0</v>
      </c>
      <c r="DX39" s="38">
        <f t="shared" si="0"/>
        <v>0</v>
      </c>
      <c r="DY39" s="63">
        <v>0</v>
      </c>
      <c r="DZ39" s="63">
        <v>0</v>
      </c>
      <c r="EA39" s="63">
        <v>0</v>
      </c>
      <c r="EB39" s="63">
        <v>0</v>
      </c>
      <c r="EC39" s="63">
        <v>0</v>
      </c>
      <c r="ED39" s="63">
        <v>0</v>
      </c>
      <c r="EE39" s="63">
        <v>0</v>
      </c>
      <c r="EF39" s="63">
        <v>0</v>
      </c>
      <c r="EG39" s="63">
        <v>0</v>
      </c>
      <c r="EH39" s="63">
        <v>0</v>
      </c>
      <c r="EI39" s="63">
        <v>0</v>
      </c>
      <c r="EJ39" s="63">
        <v>0</v>
      </c>
      <c r="EK39" s="38">
        <f t="shared" si="23"/>
        <v>0</v>
      </c>
      <c r="EL39" s="36">
        <f t="shared" si="1"/>
        <v>0</v>
      </c>
      <c r="EM39" s="26"/>
      <c r="EN39" s="32">
        <v>0</v>
      </c>
      <c r="EO39" s="32">
        <v>0</v>
      </c>
      <c r="EP39" s="32">
        <v>0</v>
      </c>
      <c r="EQ39" s="32">
        <v>0</v>
      </c>
      <c r="ER39" s="32">
        <v>0</v>
      </c>
      <c r="ES39" s="32">
        <v>0</v>
      </c>
      <c r="ET39" s="32">
        <v>0</v>
      </c>
      <c r="EU39" s="32">
        <v>0</v>
      </c>
      <c r="EV39" s="32">
        <v>0</v>
      </c>
      <c r="EW39" s="32">
        <v>0</v>
      </c>
      <c r="EX39" s="32">
        <v>0</v>
      </c>
      <c r="EY39" s="32">
        <v>0</v>
      </c>
      <c r="EZ39" s="38">
        <f t="shared" si="24"/>
        <v>0</v>
      </c>
      <c r="FA39" s="26"/>
      <c r="FB39" s="104">
        <v>0</v>
      </c>
      <c r="FC39" s="104">
        <v>0</v>
      </c>
      <c r="FD39" s="104">
        <v>0</v>
      </c>
      <c r="FE39" s="104">
        <v>0</v>
      </c>
      <c r="FF39" s="104">
        <v>0</v>
      </c>
      <c r="FG39" s="104">
        <v>0</v>
      </c>
      <c r="FH39" s="104">
        <v>0</v>
      </c>
      <c r="FI39" s="104">
        <v>0</v>
      </c>
      <c r="FJ39" s="104">
        <v>0</v>
      </c>
      <c r="FK39" s="104">
        <v>0</v>
      </c>
      <c r="FL39" s="104">
        <v>0</v>
      </c>
      <c r="FM39" s="104">
        <v>0</v>
      </c>
      <c r="FN39" s="38">
        <f t="shared" si="25"/>
        <v>0</v>
      </c>
      <c r="FO39" s="26"/>
      <c r="FP39" s="32">
        <v>0</v>
      </c>
      <c r="FQ39" s="32">
        <v>0</v>
      </c>
      <c r="FR39" s="32">
        <v>0</v>
      </c>
      <c r="FS39" s="32">
        <v>0</v>
      </c>
      <c r="FT39" s="32">
        <v>0</v>
      </c>
      <c r="FU39" s="32">
        <v>0</v>
      </c>
      <c r="FV39" s="32">
        <v>0</v>
      </c>
      <c r="FW39" s="32">
        <v>0</v>
      </c>
      <c r="FX39" s="32">
        <v>0</v>
      </c>
      <c r="FY39" s="32">
        <v>0</v>
      </c>
      <c r="FZ39" s="32">
        <v>0</v>
      </c>
      <c r="GA39" s="32">
        <v>0</v>
      </c>
      <c r="GB39" s="38">
        <f t="shared" si="26"/>
        <v>0</v>
      </c>
      <c r="GC39" s="26"/>
      <c r="GD39" s="32">
        <v>0</v>
      </c>
      <c r="GE39" s="32">
        <v>0</v>
      </c>
      <c r="GF39" s="32">
        <v>0</v>
      </c>
      <c r="GG39" s="32">
        <v>0</v>
      </c>
      <c r="GH39" s="32">
        <v>0</v>
      </c>
      <c r="GI39" s="32">
        <v>0</v>
      </c>
      <c r="GJ39" s="32">
        <v>0</v>
      </c>
      <c r="GK39" s="32">
        <v>0</v>
      </c>
      <c r="GL39" s="32">
        <v>0</v>
      </c>
      <c r="GM39" s="32">
        <v>0</v>
      </c>
      <c r="GN39" s="32">
        <v>0</v>
      </c>
      <c r="GO39" s="32">
        <v>0</v>
      </c>
      <c r="GP39" s="38">
        <f t="shared" si="27"/>
        <v>0</v>
      </c>
      <c r="GQ39" s="26"/>
      <c r="GR39" s="32">
        <v>0</v>
      </c>
      <c r="GS39" s="32">
        <v>0</v>
      </c>
      <c r="GT39" s="32">
        <v>0</v>
      </c>
      <c r="GU39" s="32">
        <v>0</v>
      </c>
      <c r="GV39" s="32">
        <v>0</v>
      </c>
      <c r="GW39" s="32">
        <v>0</v>
      </c>
      <c r="GX39" s="32">
        <v>0</v>
      </c>
      <c r="GY39" s="32">
        <v>0</v>
      </c>
      <c r="GZ39" s="32">
        <v>0</v>
      </c>
      <c r="HA39" s="32">
        <v>0</v>
      </c>
      <c r="HB39" s="32">
        <v>0</v>
      </c>
      <c r="HC39" s="32">
        <v>0</v>
      </c>
      <c r="HD39" s="38">
        <f t="shared" si="28"/>
        <v>0</v>
      </c>
      <c r="HE39" s="26"/>
      <c r="HF39" s="54">
        <v>0</v>
      </c>
      <c r="HG39" s="54">
        <v>0</v>
      </c>
      <c r="HH39" s="54">
        <v>0</v>
      </c>
      <c r="HI39" s="54">
        <v>0</v>
      </c>
      <c r="HJ39" s="54">
        <v>0</v>
      </c>
      <c r="HK39" s="54">
        <v>0</v>
      </c>
      <c r="HL39" s="54">
        <v>0</v>
      </c>
      <c r="HM39" s="54">
        <v>0</v>
      </c>
      <c r="HN39" s="54">
        <v>0</v>
      </c>
      <c r="HO39" s="54">
        <v>0</v>
      </c>
      <c r="HP39" s="54">
        <v>0</v>
      </c>
      <c r="HQ39" s="54">
        <v>0</v>
      </c>
      <c r="HR39" s="38">
        <f t="shared" si="29"/>
        <v>0</v>
      </c>
      <c r="HS39" s="26"/>
      <c r="HT39" s="32">
        <v>0</v>
      </c>
      <c r="HU39" s="32">
        <v>0</v>
      </c>
      <c r="HV39" s="32">
        <v>0</v>
      </c>
      <c r="HW39" s="32">
        <v>0</v>
      </c>
      <c r="HX39" s="32">
        <v>0</v>
      </c>
      <c r="HY39" s="32">
        <v>0</v>
      </c>
      <c r="HZ39" s="32">
        <v>0</v>
      </c>
      <c r="IA39" s="32">
        <v>0</v>
      </c>
      <c r="IB39" s="32">
        <v>0</v>
      </c>
      <c r="IC39" s="32">
        <v>0</v>
      </c>
      <c r="ID39" s="32">
        <v>0</v>
      </c>
      <c r="IE39" s="69">
        <v>0</v>
      </c>
      <c r="IF39" s="38">
        <f t="shared" si="2"/>
        <v>0</v>
      </c>
      <c r="IG39" s="104">
        <v>0</v>
      </c>
      <c r="IH39" s="104">
        <v>0</v>
      </c>
      <c r="II39" s="104">
        <v>0</v>
      </c>
      <c r="IJ39" s="104">
        <v>0</v>
      </c>
      <c r="IK39" s="104">
        <v>0</v>
      </c>
      <c r="IL39" s="104">
        <v>0</v>
      </c>
      <c r="IM39" s="104">
        <v>0</v>
      </c>
      <c r="IN39" s="104">
        <v>0</v>
      </c>
      <c r="IO39" s="104">
        <v>0</v>
      </c>
      <c r="IP39" s="104">
        <v>0</v>
      </c>
      <c r="IQ39" s="104">
        <v>0</v>
      </c>
      <c r="IR39" s="107">
        <v>0</v>
      </c>
      <c r="IS39" s="38">
        <f t="shared" si="3"/>
        <v>0</v>
      </c>
      <c r="IT39" s="36">
        <f t="shared" si="39"/>
        <v>0</v>
      </c>
      <c r="IU39" s="26"/>
      <c r="IV39" s="32">
        <v>0</v>
      </c>
      <c r="IW39" s="32">
        <v>0</v>
      </c>
      <c r="IX39" s="32">
        <v>0</v>
      </c>
      <c r="IY39" s="32">
        <v>0</v>
      </c>
      <c r="IZ39" s="32">
        <v>0</v>
      </c>
      <c r="JA39" s="32">
        <v>0</v>
      </c>
      <c r="JB39" s="32">
        <v>0</v>
      </c>
      <c r="JC39" s="32">
        <v>0</v>
      </c>
      <c r="JD39" s="32">
        <v>0</v>
      </c>
      <c r="JE39" s="32">
        <v>0</v>
      </c>
      <c r="JF39" s="32">
        <v>0</v>
      </c>
      <c r="JG39" s="32">
        <v>0</v>
      </c>
      <c r="JH39" s="38">
        <f t="shared" si="4"/>
        <v>0</v>
      </c>
      <c r="JI39" s="110">
        <v>0</v>
      </c>
      <c r="JJ39" s="32">
        <v>0</v>
      </c>
      <c r="JK39" s="32">
        <v>0</v>
      </c>
      <c r="JL39" s="32">
        <v>0</v>
      </c>
      <c r="JM39" s="32">
        <v>0</v>
      </c>
      <c r="JN39" s="32">
        <v>0</v>
      </c>
      <c r="JO39" s="32">
        <v>0</v>
      </c>
      <c r="JP39" s="32">
        <v>0</v>
      </c>
      <c r="JQ39" s="32">
        <v>0</v>
      </c>
      <c r="JR39" s="32">
        <v>0</v>
      </c>
      <c r="JS39" s="32">
        <v>0</v>
      </c>
      <c r="JT39" s="32">
        <v>0</v>
      </c>
      <c r="JU39" s="35">
        <f t="shared" si="5"/>
        <v>0</v>
      </c>
      <c r="JV39" s="40">
        <f t="shared" si="30"/>
        <v>0</v>
      </c>
      <c r="JW39" s="26"/>
      <c r="JX39" s="32">
        <v>0</v>
      </c>
      <c r="JY39" s="32">
        <v>0</v>
      </c>
      <c r="JZ39" s="32">
        <v>0</v>
      </c>
      <c r="KA39" s="32">
        <v>0</v>
      </c>
      <c r="KB39" s="32">
        <v>0</v>
      </c>
      <c r="KC39" s="32">
        <v>0</v>
      </c>
      <c r="KD39" s="32">
        <v>0</v>
      </c>
      <c r="KE39" s="32">
        <v>0</v>
      </c>
      <c r="KF39" s="32">
        <v>0</v>
      </c>
      <c r="KG39" s="32">
        <v>0</v>
      </c>
      <c r="KH39" s="32">
        <v>0</v>
      </c>
      <c r="KI39" s="32">
        <v>0</v>
      </c>
      <c r="KJ39" s="38">
        <f t="shared" si="6"/>
        <v>0</v>
      </c>
      <c r="KK39" s="32">
        <v>0</v>
      </c>
      <c r="KL39" s="32">
        <v>0</v>
      </c>
      <c r="KM39" s="32">
        <v>0</v>
      </c>
      <c r="KN39" s="32">
        <v>0</v>
      </c>
      <c r="KO39" s="32">
        <v>0</v>
      </c>
      <c r="KP39" s="32">
        <v>0</v>
      </c>
      <c r="KQ39" s="32">
        <v>0</v>
      </c>
      <c r="KR39" s="32">
        <v>0</v>
      </c>
      <c r="KS39" s="32">
        <v>0</v>
      </c>
      <c r="KT39" s="32">
        <v>0</v>
      </c>
      <c r="KU39" s="32">
        <v>0</v>
      </c>
      <c r="KV39" s="32">
        <v>0</v>
      </c>
      <c r="KW39" s="38">
        <f t="shared" si="7"/>
        <v>0</v>
      </c>
      <c r="KX39" s="36">
        <f t="shared" si="31"/>
        <v>0</v>
      </c>
      <c r="KY39" s="26"/>
      <c r="KZ39" s="32">
        <v>0</v>
      </c>
      <c r="LA39" s="32">
        <v>0</v>
      </c>
      <c r="LB39" s="32">
        <v>0</v>
      </c>
      <c r="LC39" s="32">
        <v>0</v>
      </c>
      <c r="LD39" s="32">
        <v>0</v>
      </c>
      <c r="LE39" s="32">
        <v>0</v>
      </c>
      <c r="LF39" s="32">
        <v>0</v>
      </c>
      <c r="LG39" s="32">
        <v>0</v>
      </c>
      <c r="LH39" s="32">
        <v>0</v>
      </c>
      <c r="LI39" s="32">
        <v>0</v>
      </c>
      <c r="LJ39" s="32">
        <v>0</v>
      </c>
      <c r="LK39" s="69">
        <v>0</v>
      </c>
      <c r="LL39" s="38">
        <f t="shared" si="32"/>
        <v>0</v>
      </c>
      <c r="LM39" s="26"/>
      <c r="LN39" s="71">
        <v>0</v>
      </c>
      <c r="LO39" s="71">
        <v>0</v>
      </c>
      <c r="LP39" s="71">
        <v>0</v>
      </c>
      <c r="LQ39" s="71">
        <v>0</v>
      </c>
      <c r="LR39" s="71">
        <v>0</v>
      </c>
      <c r="LS39" s="71">
        <v>0</v>
      </c>
      <c r="LT39" s="71">
        <v>0</v>
      </c>
      <c r="LU39" s="45">
        <v>0</v>
      </c>
      <c r="LV39" s="45">
        <v>0</v>
      </c>
      <c r="LW39" s="45">
        <v>0</v>
      </c>
      <c r="LX39" s="45">
        <v>0</v>
      </c>
      <c r="LY39" s="45">
        <v>0</v>
      </c>
      <c r="LZ39" s="38">
        <f t="shared" si="8"/>
        <v>0</v>
      </c>
      <c r="MA39" s="26"/>
      <c r="MB39" s="45">
        <v>0</v>
      </c>
      <c r="MC39" s="45">
        <v>0</v>
      </c>
      <c r="MD39" s="45">
        <v>0</v>
      </c>
      <c r="ME39" s="45">
        <v>0</v>
      </c>
      <c r="MF39" s="45">
        <v>0</v>
      </c>
      <c r="MG39" s="45">
        <v>0</v>
      </c>
      <c r="MH39" s="45">
        <v>0</v>
      </c>
      <c r="MI39" s="45">
        <v>0</v>
      </c>
      <c r="MJ39" s="45">
        <v>0</v>
      </c>
      <c r="MK39" s="45">
        <v>0</v>
      </c>
      <c r="ML39" s="45">
        <v>0</v>
      </c>
      <c r="MM39" s="45">
        <v>0</v>
      </c>
      <c r="MN39" s="38">
        <f t="shared" si="9"/>
        <v>0</v>
      </c>
      <c r="MO39" s="32">
        <v>0</v>
      </c>
      <c r="MP39" s="32">
        <v>0</v>
      </c>
      <c r="MQ39" s="32">
        <v>0</v>
      </c>
      <c r="MR39" s="32">
        <v>0</v>
      </c>
      <c r="MS39" s="32">
        <v>0</v>
      </c>
      <c r="MT39" s="32">
        <v>0</v>
      </c>
      <c r="MU39" s="32">
        <v>0</v>
      </c>
      <c r="MV39" s="32">
        <v>0</v>
      </c>
      <c r="MW39" s="32">
        <v>0</v>
      </c>
      <c r="MX39" s="32">
        <v>0</v>
      </c>
      <c r="MY39" s="32">
        <v>0</v>
      </c>
      <c r="MZ39" s="32">
        <v>0</v>
      </c>
      <c r="NA39" s="38">
        <f t="shared" si="10"/>
        <v>0</v>
      </c>
      <c r="NB39" s="36">
        <f t="shared" si="33"/>
        <v>0</v>
      </c>
      <c r="NC39" s="26"/>
      <c r="ND39" s="32">
        <v>0</v>
      </c>
      <c r="NE39" s="32">
        <v>0</v>
      </c>
      <c r="NF39" s="32">
        <v>0</v>
      </c>
      <c r="NG39" s="32">
        <v>0</v>
      </c>
      <c r="NH39" s="32">
        <v>0</v>
      </c>
      <c r="NI39" s="32">
        <v>0</v>
      </c>
      <c r="NJ39" s="32">
        <v>0</v>
      </c>
      <c r="NK39" s="32">
        <v>0</v>
      </c>
      <c r="NL39" s="32">
        <v>0</v>
      </c>
      <c r="NM39" s="32">
        <v>0</v>
      </c>
      <c r="NN39" s="32">
        <v>0</v>
      </c>
      <c r="NO39" s="32">
        <v>0</v>
      </c>
      <c r="NP39" s="118">
        <f t="shared" si="11"/>
        <v>0</v>
      </c>
      <c r="NQ39" s="36">
        <f t="shared" si="34"/>
        <v>0</v>
      </c>
      <c r="NR39" s="36">
        <f t="shared" si="35"/>
        <v>0</v>
      </c>
      <c r="NS39" s="36">
        <f t="shared" si="36"/>
        <v>0</v>
      </c>
      <c r="NT39" s="36">
        <f t="shared" si="37"/>
        <v>0</v>
      </c>
      <c r="NU39" s="18"/>
      <c r="NV39" s="18"/>
      <c r="NW39" s="18"/>
      <c r="NX39" s="19"/>
      <c r="NY39" s="19"/>
      <c r="NZ39" s="19"/>
      <c r="OA39" s="19"/>
      <c r="OB39" s="19"/>
      <c r="OC39" s="19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8"/>
      <c r="OR39" s="18"/>
      <c r="OS39" s="18"/>
      <c r="OT39" s="18"/>
      <c r="OU39" s="18"/>
      <c r="OV39" s="18"/>
      <c r="OW39" s="18"/>
      <c r="OX39" s="19"/>
      <c r="OY39" s="19"/>
      <c r="OZ39" s="19"/>
      <c r="PA39" s="19"/>
      <c r="PB39" s="19"/>
      <c r="PC39" s="19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8"/>
      <c r="PR39" s="18"/>
      <c r="PS39" s="18"/>
      <c r="PT39" s="18"/>
      <c r="PU39" s="18"/>
      <c r="PV39" s="18"/>
      <c r="PW39" s="18"/>
      <c r="PX39" s="19"/>
      <c r="PY39" s="19"/>
      <c r="PZ39" s="19"/>
      <c r="QA39" s="19"/>
      <c r="QB39" s="19"/>
      <c r="QC39" s="19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</row>
    <row r="40" spans="1:458" s="1" customFormat="1" ht="50.1" customHeight="1" x14ac:dyDescent="0.25">
      <c r="A40" s="120">
        <v>2022</v>
      </c>
      <c r="B40" s="6" t="s">
        <v>17</v>
      </c>
      <c r="C40" s="23"/>
      <c r="D40" s="41">
        <v>1747</v>
      </c>
      <c r="E40" s="41">
        <v>1281</v>
      </c>
      <c r="F40" s="41">
        <v>1802</v>
      </c>
      <c r="G40" s="41">
        <v>1745</v>
      </c>
      <c r="H40" s="41">
        <v>2346</v>
      </c>
      <c r="I40" s="41">
        <v>2265</v>
      </c>
      <c r="J40" s="41">
        <v>2525</v>
      </c>
      <c r="K40" s="41">
        <v>1895</v>
      </c>
      <c r="L40" s="41">
        <v>2010</v>
      </c>
      <c r="M40" s="41">
        <v>2385</v>
      </c>
      <c r="N40" s="41">
        <v>2122</v>
      </c>
      <c r="O40" s="41">
        <v>2164</v>
      </c>
      <c r="P40" s="38">
        <f t="shared" si="12"/>
        <v>24287</v>
      </c>
      <c r="Q40" s="49">
        <v>4922</v>
      </c>
      <c r="R40" s="49">
        <v>4848</v>
      </c>
      <c r="S40" s="49">
        <v>5116</v>
      </c>
      <c r="T40" s="49">
        <v>4427</v>
      </c>
      <c r="U40" s="49">
        <v>4869</v>
      </c>
      <c r="V40" s="49">
        <v>5621</v>
      </c>
      <c r="W40" s="49">
        <v>4132</v>
      </c>
      <c r="X40" s="49">
        <v>5129</v>
      </c>
      <c r="Y40" s="49">
        <v>5468</v>
      </c>
      <c r="Z40" s="49">
        <v>6154</v>
      </c>
      <c r="AA40" s="49">
        <v>5419</v>
      </c>
      <c r="AB40" s="49">
        <v>4750</v>
      </c>
      <c r="AC40" s="38">
        <f t="shared" si="38"/>
        <v>60855</v>
      </c>
      <c r="AD40" s="36">
        <f t="shared" si="13"/>
        <v>85142</v>
      </c>
      <c r="AE40" s="26"/>
      <c r="AF40" s="32">
        <v>188</v>
      </c>
      <c r="AG40" s="32">
        <v>165</v>
      </c>
      <c r="AH40" s="32">
        <v>211</v>
      </c>
      <c r="AI40" s="32">
        <v>179</v>
      </c>
      <c r="AJ40" s="32">
        <v>208</v>
      </c>
      <c r="AK40" s="32">
        <v>273</v>
      </c>
      <c r="AL40" s="32">
        <v>240</v>
      </c>
      <c r="AM40" s="32">
        <v>204</v>
      </c>
      <c r="AN40" s="32">
        <v>212</v>
      </c>
      <c r="AO40" s="32">
        <v>213</v>
      </c>
      <c r="AP40" s="32">
        <v>243</v>
      </c>
      <c r="AQ40" s="32">
        <v>167</v>
      </c>
      <c r="AR40" s="38">
        <f t="shared" si="14"/>
        <v>2503</v>
      </c>
      <c r="AS40" s="32">
        <v>636</v>
      </c>
      <c r="AT40" s="32">
        <v>568</v>
      </c>
      <c r="AU40" s="32">
        <v>860</v>
      </c>
      <c r="AV40" s="32">
        <v>845</v>
      </c>
      <c r="AW40" s="32">
        <v>873</v>
      </c>
      <c r="AX40" s="32">
        <v>800</v>
      </c>
      <c r="AY40" s="32">
        <v>712</v>
      </c>
      <c r="AZ40" s="32">
        <v>702</v>
      </c>
      <c r="BA40" s="32">
        <v>1153</v>
      </c>
      <c r="BB40" s="32">
        <v>1072</v>
      </c>
      <c r="BC40" s="32">
        <v>909</v>
      </c>
      <c r="BD40" s="32">
        <v>846</v>
      </c>
      <c r="BE40" s="38">
        <f t="shared" si="15"/>
        <v>9976</v>
      </c>
      <c r="BF40" s="36">
        <f t="shared" si="16"/>
        <v>12479</v>
      </c>
      <c r="BG40" s="26"/>
      <c r="BH40" s="41">
        <v>40</v>
      </c>
      <c r="BI40" s="41">
        <v>41</v>
      </c>
      <c r="BJ40" s="41">
        <v>35</v>
      </c>
      <c r="BK40" s="41">
        <v>28</v>
      </c>
      <c r="BL40" s="41">
        <v>41</v>
      </c>
      <c r="BM40" s="41">
        <v>81</v>
      </c>
      <c r="BN40" s="41">
        <v>39</v>
      </c>
      <c r="BO40" s="41">
        <v>55</v>
      </c>
      <c r="BP40" s="41">
        <v>81</v>
      </c>
      <c r="BQ40" s="41">
        <v>74</v>
      </c>
      <c r="BR40" s="41">
        <v>95</v>
      </c>
      <c r="BS40" s="41">
        <v>79</v>
      </c>
      <c r="BT40" s="38">
        <f t="shared" si="17"/>
        <v>689</v>
      </c>
      <c r="BU40" s="54">
        <v>647</v>
      </c>
      <c r="BV40" s="54">
        <v>716</v>
      </c>
      <c r="BW40" s="54">
        <v>652</v>
      </c>
      <c r="BX40" s="54">
        <v>635</v>
      </c>
      <c r="BY40" s="54">
        <v>693</v>
      </c>
      <c r="BZ40" s="54">
        <v>908</v>
      </c>
      <c r="CA40" s="54">
        <v>817</v>
      </c>
      <c r="CB40" s="54">
        <v>904</v>
      </c>
      <c r="CC40" s="54">
        <v>860</v>
      </c>
      <c r="CD40" s="54">
        <v>1056</v>
      </c>
      <c r="CE40" s="54">
        <v>884</v>
      </c>
      <c r="CF40" s="54">
        <v>905</v>
      </c>
      <c r="CG40" s="38">
        <f t="shared" si="18"/>
        <v>9677</v>
      </c>
      <c r="CH40" s="36">
        <f t="shared" si="19"/>
        <v>10366</v>
      </c>
      <c r="CI40" s="26"/>
      <c r="CJ40" s="32">
        <v>325</v>
      </c>
      <c r="CK40" s="32">
        <v>254</v>
      </c>
      <c r="CL40" s="32">
        <v>340</v>
      </c>
      <c r="CM40" s="32">
        <v>341</v>
      </c>
      <c r="CN40" s="32">
        <v>504</v>
      </c>
      <c r="CO40" s="32">
        <v>578</v>
      </c>
      <c r="CP40" s="32">
        <v>714</v>
      </c>
      <c r="CQ40" s="32">
        <v>724</v>
      </c>
      <c r="CR40" s="32">
        <v>754</v>
      </c>
      <c r="CS40" s="32">
        <v>661</v>
      </c>
      <c r="CT40" s="32">
        <v>548</v>
      </c>
      <c r="CU40" s="32">
        <v>677</v>
      </c>
      <c r="CV40" s="38">
        <f t="shared" si="20"/>
        <v>6420</v>
      </c>
      <c r="CW40" s="54">
        <v>1296</v>
      </c>
      <c r="CX40" s="54">
        <v>1391</v>
      </c>
      <c r="CY40" s="54">
        <v>1229</v>
      </c>
      <c r="CZ40" s="54">
        <v>1330</v>
      </c>
      <c r="DA40" s="54">
        <v>1554</v>
      </c>
      <c r="DB40" s="54">
        <v>1506</v>
      </c>
      <c r="DC40" s="54">
        <v>1695</v>
      </c>
      <c r="DD40" s="54">
        <v>1522</v>
      </c>
      <c r="DE40" s="54">
        <v>1542</v>
      </c>
      <c r="DF40" s="54">
        <v>1555</v>
      </c>
      <c r="DG40" s="54">
        <v>1389</v>
      </c>
      <c r="DH40" s="54">
        <v>1308</v>
      </c>
      <c r="DI40" s="38">
        <f t="shared" si="21"/>
        <v>17317</v>
      </c>
      <c r="DJ40" s="36">
        <f t="shared" si="22"/>
        <v>23737</v>
      </c>
      <c r="DK40" s="26"/>
      <c r="DL40" s="75">
        <v>412</v>
      </c>
      <c r="DM40" s="75">
        <v>405</v>
      </c>
      <c r="DN40" s="75">
        <v>549</v>
      </c>
      <c r="DO40" s="75">
        <v>473</v>
      </c>
      <c r="DP40" s="75">
        <v>602</v>
      </c>
      <c r="DQ40" s="75">
        <v>662</v>
      </c>
      <c r="DR40" s="75">
        <v>722</v>
      </c>
      <c r="DS40" s="75">
        <v>755</v>
      </c>
      <c r="DT40" s="75">
        <v>785</v>
      </c>
      <c r="DU40" s="75">
        <v>806</v>
      </c>
      <c r="DV40" s="75">
        <v>826</v>
      </c>
      <c r="DW40" s="75">
        <v>654</v>
      </c>
      <c r="DX40" s="38">
        <f t="shared" si="0"/>
        <v>7651</v>
      </c>
      <c r="DY40" s="64">
        <v>1365</v>
      </c>
      <c r="DZ40" s="64">
        <v>1058</v>
      </c>
      <c r="EA40" s="64">
        <v>1433</v>
      </c>
      <c r="EB40" s="64">
        <v>1421</v>
      </c>
      <c r="EC40" s="64">
        <v>1290</v>
      </c>
      <c r="ED40" s="64">
        <v>1475</v>
      </c>
      <c r="EE40" s="64">
        <v>1444</v>
      </c>
      <c r="EF40" s="64">
        <v>1256</v>
      </c>
      <c r="EG40" s="64">
        <v>1420</v>
      </c>
      <c r="EH40" s="64">
        <v>1480</v>
      </c>
      <c r="EI40" s="64">
        <v>1849</v>
      </c>
      <c r="EJ40" s="64">
        <v>1191</v>
      </c>
      <c r="EK40" s="38">
        <f t="shared" si="23"/>
        <v>16682</v>
      </c>
      <c r="EL40" s="36">
        <f t="shared" si="1"/>
        <v>24333</v>
      </c>
      <c r="EM40" s="26"/>
      <c r="EN40" s="32">
        <v>1823</v>
      </c>
      <c r="EO40" s="32">
        <v>1468</v>
      </c>
      <c r="EP40" s="32">
        <v>1785</v>
      </c>
      <c r="EQ40" s="32">
        <v>1586</v>
      </c>
      <c r="ER40" s="32">
        <v>1782</v>
      </c>
      <c r="ES40" s="32">
        <v>1938</v>
      </c>
      <c r="ET40" s="32">
        <v>1916</v>
      </c>
      <c r="EU40" s="32">
        <v>1976</v>
      </c>
      <c r="EV40" s="32">
        <v>1935</v>
      </c>
      <c r="EW40" s="32">
        <v>1962</v>
      </c>
      <c r="EX40" s="32">
        <v>1740</v>
      </c>
      <c r="EY40" s="32">
        <v>1620</v>
      </c>
      <c r="EZ40" s="38">
        <f t="shared" si="24"/>
        <v>21531</v>
      </c>
      <c r="FA40" s="26"/>
      <c r="FB40" s="104">
        <v>1918</v>
      </c>
      <c r="FC40" s="104">
        <v>1699</v>
      </c>
      <c r="FD40" s="104">
        <v>2013</v>
      </c>
      <c r="FE40" s="104">
        <v>1494</v>
      </c>
      <c r="FF40" s="104">
        <v>2270</v>
      </c>
      <c r="FG40" s="104">
        <v>2639</v>
      </c>
      <c r="FH40" s="104">
        <v>2664</v>
      </c>
      <c r="FI40" s="104">
        <v>3094</v>
      </c>
      <c r="FJ40" s="104">
        <v>3008</v>
      </c>
      <c r="FK40" s="104">
        <v>3092</v>
      </c>
      <c r="FL40" s="104">
        <v>2712</v>
      </c>
      <c r="FM40" s="104">
        <v>2375</v>
      </c>
      <c r="FN40" s="38">
        <f t="shared" si="25"/>
        <v>28978</v>
      </c>
      <c r="FO40" s="26"/>
      <c r="FP40" s="32">
        <v>1253</v>
      </c>
      <c r="FQ40" s="32">
        <v>783</v>
      </c>
      <c r="FR40" s="32">
        <v>894</v>
      </c>
      <c r="FS40" s="32">
        <v>769</v>
      </c>
      <c r="FT40" s="32">
        <v>948</v>
      </c>
      <c r="FU40" s="32">
        <v>1096</v>
      </c>
      <c r="FV40" s="32">
        <v>1090</v>
      </c>
      <c r="FW40" s="32">
        <v>1158</v>
      </c>
      <c r="FX40" s="32">
        <v>1163</v>
      </c>
      <c r="FY40" s="32">
        <v>1246</v>
      </c>
      <c r="FZ40" s="32">
        <v>875</v>
      </c>
      <c r="GA40" s="32">
        <v>931</v>
      </c>
      <c r="GB40" s="38">
        <f t="shared" si="26"/>
        <v>12206</v>
      </c>
      <c r="GC40" s="26"/>
      <c r="GD40" s="101">
        <v>1782</v>
      </c>
      <c r="GE40" s="101">
        <v>1319</v>
      </c>
      <c r="GF40" s="101">
        <v>1270</v>
      </c>
      <c r="GG40" s="101">
        <v>1421</v>
      </c>
      <c r="GH40" s="101">
        <v>1515</v>
      </c>
      <c r="GI40" s="101">
        <v>1593</v>
      </c>
      <c r="GJ40" s="101">
        <v>1720</v>
      </c>
      <c r="GK40" s="101">
        <v>1570</v>
      </c>
      <c r="GL40" s="101">
        <v>1503</v>
      </c>
      <c r="GM40" s="101">
        <v>1907</v>
      </c>
      <c r="GN40" s="101">
        <v>1869</v>
      </c>
      <c r="GO40" s="101">
        <v>1413</v>
      </c>
      <c r="GP40" s="38">
        <f t="shared" si="27"/>
        <v>18882</v>
      </c>
      <c r="GQ40" s="26"/>
      <c r="GR40" s="32">
        <v>885</v>
      </c>
      <c r="GS40" s="32">
        <v>577</v>
      </c>
      <c r="GT40" s="32">
        <v>698</v>
      </c>
      <c r="GU40" s="32">
        <v>535</v>
      </c>
      <c r="GV40" s="32">
        <v>617</v>
      </c>
      <c r="GW40" s="32">
        <v>829</v>
      </c>
      <c r="GX40" s="32">
        <v>820</v>
      </c>
      <c r="GY40" s="32">
        <v>785</v>
      </c>
      <c r="GZ40" s="32">
        <v>936</v>
      </c>
      <c r="HA40" s="32">
        <v>758</v>
      </c>
      <c r="HB40" s="32">
        <v>629</v>
      </c>
      <c r="HC40" s="32">
        <v>536</v>
      </c>
      <c r="HD40" s="38">
        <f t="shared" si="28"/>
        <v>8605</v>
      </c>
      <c r="HE40" s="26"/>
      <c r="HF40" s="54">
        <v>2469</v>
      </c>
      <c r="HG40" s="54">
        <v>2622</v>
      </c>
      <c r="HH40" s="54">
        <v>2613</v>
      </c>
      <c r="HI40" s="54">
        <v>2723</v>
      </c>
      <c r="HJ40" s="54">
        <v>2937</v>
      </c>
      <c r="HK40" s="54">
        <v>3376</v>
      </c>
      <c r="HL40" s="54">
        <v>3254</v>
      </c>
      <c r="HM40" s="54">
        <v>3428</v>
      </c>
      <c r="HN40" s="54">
        <v>3479</v>
      </c>
      <c r="HO40" s="54">
        <v>3718</v>
      </c>
      <c r="HP40" s="54">
        <v>3602</v>
      </c>
      <c r="HQ40" s="54">
        <v>3052</v>
      </c>
      <c r="HR40" s="38">
        <f t="shared" si="29"/>
        <v>37273</v>
      </c>
      <c r="HS40" s="26"/>
      <c r="HT40" s="32">
        <v>220</v>
      </c>
      <c r="HU40" s="32">
        <v>222</v>
      </c>
      <c r="HV40" s="32">
        <v>218</v>
      </c>
      <c r="HW40" s="32">
        <v>217</v>
      </c>
      <c r="HX40" s="32">
        <v>223</v>
      </c>
      <c r="HY40" s="32">
        <v>226</v>
      </c>
      <c r="HZ40" s="32">
        <v>255</v>
      </c>
      <c r="IA40" s="32">
        <v>203</v>
      </c>
      <c r="IB40" s="32">
        <v>281</v>
      </c>
      <c r="IC40" s="32">
        <v>228</v>
      </c>
      <c r="ID40" s="32">
        <v>182</v>
      </c>
      <c r="IE40" s="69">
        <v>158</v>
      </c>
      <c r="IF40" s="38">
        <f t="shared" si="2"/>
        <v>2633</v>
      </c>
      <c r="IG40" s="104">
        <v>1099</v>
      </c>
      <c r="IH40" s="104">
        <v>1205</v>
      </c>
      <c r="II40" s="104">
        <v>1352</v>
      </c>
      <c r="IJ40" s="104">
        <v>1227</v>
      </c>
      <c r="IK40" s="104">
        <v>1174</v>
      </c>
      <c r="IL40" s="104">
        <v>1681</v>
      </c>
      <c r="IM40" s="104">
        <v>1367</v>
      </c>
      <c r="IN40" s="104">
        <v>1578</v>
      </c>
      <c r="IO40" s="104">
        <v>1331</v>
      </c>
      <c r="IP40" s="104">
        <v>1294</v>
      </c>
      <c r="IQ40" s="104">
        <v>1382</v>
      </c>
      <c r="IR40" s="107">
        <v>1091</v>
      </c>
      <c r="IS40" s="38">
        <f t="shared" si="3"/>
        <v>15781</v>
      </c>
      <c r="IT40" s="36">
        <f t="shared" si="39"/>
        <v>18414</v>
      </c>
      <c r="IU40" s="26"/>
      <c r="IV40" s="32">
        <v>432</v>
      </c>
      <c r="IW40" s="32">
        <v>250</v>
      </c>
      <c r="IX40" s="32">
        <v>370</v>
      </c>
      <c r="IY40" s="32">
        <v>325</v>
      </c>
      <c r="IZ40" s="32">
        <v>379</v>
      </c>
      <c r="JA40" s="32">
        <v>462</v>
      </c>
      <c r="JB40" s="32">
        <v>373</v>
      </c>
      <c r="JC40" s="32">
        <v>346</v>
      </c>
      <c r="JD40" s="32">
        <v>517</v>
      </c>
      <c r="JE40" s="32">
        <v>538</v>
      </c>
      <c r="JF40" s="32">
        <v>483</v>
      </c>
      <c r="JG40" s="32">
        <v>517</v>
      </c>
      <c r="JH40" s="38">
        <f t="shared" si="4"/>
        <v>4992</v>
      </c>
      <c r="JI40" s="109">
        <v>2660</v>
      </c>
      <c r="JJ40" s="97">
        <v>1641.6000000000001</v>
      </c>
      <c r="JK40" s="97">
        <v>1678.4</v>
      </c>
      <c r="JL40" s="97">
        <v>1222.4000000000001</v>
      </c>
      <c r="JM40" s="97">
        <v>1336</v>
      </c>
      <c r="JN40" s="97">
        <v>1763.2</v>
      </c>
      <c r="JO40" s="97">
        <v>1685.6000000000001</v>
      </c>
      <c r="JP40" s="97">
        <v>1391.2</v>
      </c>
      <c r="JQ40" s="97">
        <v>1728</v>
      </c>
      <c r="JR40" s="97">
        <v>1815.2</v>
      </c>
      <c r="JS40" s="97">
        <v>1548.8000000000002</v>
      </c>
      <c r="JT40" s="97">
        <v>1163.2</v>
      </c>
      <c r="JU40" s="35">
        <f t="shared" si="5"/>
        <v>19633.600000000002</v>
      </c>
      <c r="JV40" s="40">
        <f t="shared" si="30"/>
        <v>24625.600000000002</v>
      </c>
      <c r="JW40" s="26"/>
      <c r="JX40" s="93">
        <v>275</v>
      </c>
      <c r="JY40" s="93">
        <v>215</v>
      </c>
      <c r="JZ40" s="93">
        <v>306</v>
      </c>
      <c r="KA40" s="93">
        <v>235</v>
      </c>
      <c r="KB40" s="93">
        <v>221</v>
      </c>
      <c r="KC40" s="93">
        <v>289</v>
      </c>
      <c r="KD40" s="93">
        <v>287</v>
      </c>
      <c r="KE40" s="93">
        <v>365</v>
      </c>
      <c r="KF40" s="93">
        <v>325</v>
      </c>
      <c r="KG40" s="93">
        <v>305</v>
      </c>
      <c r="KH40" s="93">
        <v>338</v>
      </c>
      <c r="KI40" s="93">
        <v>284</v>
      </c>
      <c r="KJ40" s="38">
        <f t="shared" si="6"/>
        <v>3445</v>
      </c>
      <c r="KK40" s="32">
        <v>993</v>
      </c>
      <c r="KL40" s="32">
        <v>921</v>
      </c>
      <c r="KM40" s="32">
        <v>963</v>
      </c>
      <c r="KN40" s="32">
        <v>839</v>
      </c>
      <c r="KO40" s="32">
        <v>933</v>
      </c>
      <c r="KP40" s="32">
        <v>898</v>
      </c>
      <c r="KQ40" s="32">
        <v>915</v>
      </c>
      <c r="KR40" s="32">
        <v>1097</v>
      </c>
      <c r="KS40" s="32">
        <v>1296</v>
      </c>
      <c r="KT40" s="32">
        <v>1296</v>
      </c>
      <c r="KU40" s="32">
        <v>1178</v>
      </c>
      <c r="KV40" s="32">
        <v>993</v>
      </c>
      <c r="KW40" s="38">
        <f t="shared" si="7"/>
        <v>12322</v>
      </c>
      <c r="KX40" s="36">
        <f t="shared" si="31"/>
        <v>15767</v>
      </c>
      <c r="KY40" s="26"/>
      <c r="KZ40" s="101">
        <v>757</v>
      </c>
      <c r="LA40" s="101">
        <v>700</v>
      </c>
      <c r="LB40" s="101">
        <v>745</v>
      </c>
      <c r="LC40" s="101">
        <v>712</v>
      </c>
      <c r="LD40" s="101">
        <v>1029</v>
      </c>
      <c r="LE40" s="101">
        <v>1127</v>
      </c>
      <c r="LF40" s="101">
        <v>1192</v>
      </c>
      <c r="LG40" s="101">
        <v>1151</v>
      </c>
      <c r="LH40" s="101">
        <v>1081</v>
      </c>
      <c r="LI40" s="101">
        <v>1250</v>
      </c>
      <c r="LJ40" s="101">
        <v>1159</v>
      </c>
      <c r="LK40" s="115">
        <v>1183</v>
      </c>
      <c r="LL40" s="38">
        <f t="shared" si="32"/>
        <v>12086</v>
      </c>
      <c r="LM40" s="26"/>
      <c r="LN40" s="71">
        <v>3388</v>
      </c>
      <c r="LO40" s="71">
        <v>2946</v>
      </c>
      <c r="LP40" s="71">
        <v>3613</v>
      </c>
      <c r="LQ40" s="71">
        <v>3076</v>
      </c>
      <c r="LR40" s="71">
        <v>4049</v>
      </c>
      <c r="LS40" s="71">
        <v>3900</v>
      </c>
      <c r="LT40" s="71">
        <v>3872</v>
      </c>
      <c r="LU40" s="45">
        <v>4242</v>
      </c>
      <c r="LV40" s="45">
        <v>4250</v>
      </c>
      <c r="LW40" s="45">
        <v>4244</v>
      </c>
      <c r="LX40" s="45">
        <v>4129</v>
      </c>
      <c r="LY40" s="45">
        <v>3927</v>
      </c>
      <c r="LZ40" s="38">
        <f t="shared" si="8"/>
        <v>45636</v>
      </c>
      <c r="MA40" s="26"/>
      <c r="MB40" s="45">
        <v>2453</v>
      </c>
      <c r="MC40" s="45">
        <v>2113</v>
      </c>
      <c r="MD40" s="45">
        <v>3154</v>
      </c>
      <c r="ME40" s="45">
        <v>3209</v>
      </c>
      <c r="MF40" s="45">
        <v>3453</v>
      </c>
      <c r="MG40" s="45">
        <v>3585</v>
      </c>
      <c r="MH40" s="45">
        <v>3696</v>
      </c>
      <c r="MI40" s="45">
        <v>4235</v>
      </c>
      <c r="MJ40" s="45">
        <v>4798</v>
      </c>
      <c r="MK40" s="45">
        <v>4113</v>
      </c>
      <c r="ML40" s="45">
        <v>4416</v>
      </c>
      <c r="MM40" s="45">
        <v>3607</v>
      </c>
      <c r="MN40" s="38">
        <f t="shared" si="9"/>
        <v>42832</v>
      </c>
      <c r="MO40" s="32">
        <v>3534</v>
      </c>
      <c r="MP40" s="32">
        <v>2296</v>
      </c>
      <c r="MQ40" s="32">
        <v>3266</v>
      </c>
      <c r="MR40" s="32">
        <v>2341</v>
      </c>
      <c r="MS40" s="32">
        <v>2703</v>
      </c>
      <c r="MT40" s="32">
        <v>3917</v>
      </c>
      <c r="MU40" s="32">
        <v>2745</v>
      </c>
      <c r="MV40" s="32">
        <v>5775</v>
      </c>
      <c r="MW40" s="32">
        <v>6279</v>
      </c>
      <c r="MX40" s="32">
        <v>7350</v>
      </c>
      <c r="MY40" s="32">
        <v>6949</v>
      </c>
      <c r="MZ40" s="32">
        <v>5720</v>
      </c>
      <c r="NA40" s="38">
        <f t="shared" si="10"/>
        <v>52875</v>
      </c>
      <c r="NB40" s="36">
        <f t="shared" si="33"/>
        <v>95707</v>
      </c>
      <c r="NC40" s="26"/>
      <c r="ND40" s="32">
        <v>577</v>
      </c>
      <c r="NE40" s="32">
        <v>510</v>
      </c>
      <c r="NF40" s="32">
        <v>705</v>
      </c>
      <c r="NG40" s="32">
        <v>588</v>
      </c>
      <c r="NH40" s="32">
        <v>798</v>
      </c>
      <c r="NI40" s="32">
        <v>760</v>
      </c>
      <c r="NJ40" s="32">
        <v>827</v>
      </c>
      <c r="NK40" s="32">
        <v>898</v>
      </c>
      <c r="NL40" s="32">
        <v>999</v>
      </c>
      <c r="NM40" s="32">
        <v>910</v>
      </c>
      <c r="NN40" s="32">
        <v>643</v>
      </c>
      <c r="NO40" s="32">
        <v>745</v>
      </c>
      <c r="NP40" s="118">
        <f t="shared" si="11"/>
        <v>8960</v>
      </c>
      <c r="NQ40" s="36">
        <f t="shared" si="34"/>
        <v>56233</v>
      </c>
      <c r="NR40" s="36">
        <f t="shared" si="35"/>
        <v>315131</v>
      </c>
      <c r="NS40" s="36">
        <f t="shared" si="36"/>
        <v>133363.6</v>
      </c>
      <c r="NT40" s="36">
        <f t="shared" si="37"/>
        <v>504727.6</v>
      </c>
      <c r="NU40" s="18"/>
      <c r="NV40" s="18"/>
      <c r="NW40" s="18"/>
      <c r="NX40" s="19"/>
      <c r="NY40" s="19"/>
      <c r="NZ40" s="19"/>
      <c r="OA40" s="19"/>
      <c r="OB40" s="19"/>
      <c r="OC40" s="19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8"/>
      <c r="OR40" s="18"/>
      <c r="OS40" s="18"/>
      <c r="OT40" s="18"/>
      <c r="OU40" s="18"/>
      <c r="OV40" s="18"/>
      <c r="OW40" s="18"/>
      <c r="OX40" s="19"/>
      <c r="OY40" s="19"/>
      <c r="OZ40" s="19"/>
      <c r="PA40" s="19"/>
      <c r="PB40" s="19"/>
      <c r="PC40" s="19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8"/>
      <c r="PR40" s="18"/>
      <c r="PS40" s="18"/>
      <c r="PT40" s="18"/>
      <c r="PU40" s="18"/>
      <c r="PV40" s="18"/>
      <c r="PW40" s="18"/>
      <c r="PX40" s="19"/>
      <c r="PY40" s="19"/>
      <c r="PZ40" s="19"/>
      <c r="QA40" s="19"/>
      <c r="QB40" s="19"/>
      <c r="QC40" s="19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</row>
    <row r="41" spans="1:458" s="1" customFormat="1" ht="50.1" customHeight="1" x14ac:dyDescent="0.25">
      <c r="A41" s="120"/>
      <c r="B41" s="6" t="s">
        <v>18</v>
      </c>
      <c r="C41" s="23"/>
      <c r="D41" s="41">
        <v>381</v>
      </c>
      <c r="E41" s="41">
        <v>296</v>
      </c>
      <c r="F41" s="41">
        <v>330</v>
      </c>
      <c r="G41" s="41">
        <v>245</v>
      </c>
      <c r="H41" s="41">
        <v>478</v>
      </c>
      <c r="I41" s="41">
        <v>246</v>
      </c>
      <c r="J41" s="41">
        <v>149</v>
      </c>
      <c r="K41" s="41">
        <v>222</v>
      </c>
      <c r="L41" s="41">
        <v>323</v>
      </c>
      <c r="M41" s="41">
        <v>268</v>
      </c>
      <c r="N41" s="41">
        <v>255</v>
      </c>
      <c r="O41" s="41">
        <v>310</v>
      </c>
      <c r="P41" s="38">
        <f t="shared" si="12"/>
        <v>3503</v>
      </c>
      <c r="Q41" s="49">
        <v>2882</v>
      </c>
      <c r="R41" s="49">
        <v>2272</v>
      </c>
      <c r="S41" s="49">
        <v>2002</v>
      </c>
      <c r="T41" s="49">
        <v>2082</v>
      </c>
      <c r="U41" s="49">
        <v>1215</v>
      </c>
      <c r="V41" s="49">
        <v>3921</v>
      </c>
      <c r="W41" s="49">
        <v>4003</v>
      </c>
      <c r="X41" s="49">
        <v>4307</v>
      </c>
      <c r="Y41" s="49">
        <v>3975</v>
      </c>
      <c r="Z41" s="49">
        <v>3068</v>
      </c>
      <c r="AA41" s="49">
        <v>2193</v>
      </c>
      <c r="AB41" s="49">
        <v>2269</v>
      </c>
      <c r="AC41" s="38">
        <f t="shared" si="38"/>
        <v>34189</v>
      </c>
      <c r="AD41" s="36">
        <f t="shared" si="13"/>
        <v>37692</v>
      </c>
      <c r="AE41" s="26"/>
      <c r="AF41" s="32">
        <v>29</v>
      </c>
      <c r="AG41" s="32">
        <v>13</v>
      </c>
      <c r="AH41" s="32">
        <v>6</v>
      </c>
      <c r="AI41" s="32">
        <v>2</v>
      </c>
      <c r="AJ41" s="32">
        <v>13</v>
      </c>
      <c r="AK41" s="32">
        <v>2</v>
      </c>
      <c r="AL41" s="32">
        <v>13</v>
      </c>
      <c r="AM41" s="32">
        <v>8</v>
      </c>
      <c r="AN41" s="32">
        <v>24</v>
      </c>
      <c r="AO41" s="32">
        <v>10</v>
      </c>
      <c r="AP41" s="32">
        <v>29</v>
      </c>
      <c r="AQ41" s="32">
        <v>15</v>
      </c>
      <c r="AR41" s="38">
        <f t="shared" si="14"/>
        <v>164</v>
      </c>
      <c r="AS41" s="32">
        <v>215</v>
      </c>
      <c r="AT41" s="32">
        <v>211</v>
      </c>
      <c r="AU41" s="32">
        <v>133</v>
      </c>
      <c r="AV41" s="32">
        <v>184</v>
      </c>
      <c r="AW41" s="32">
        <v>145</v>
      </c>
      <c r="AX41" s="32">
        <v>343</v>
      </c>
      <c r="AY41" s="32">
        <v>243</v>
      </c>
      <c r="AZ41" s="32">
        <v>322</v>
      </c>
      <c r="BA41" s="32">
        <v>197</v>
      </c>
      <c r="BB41" s="32">
        <v>180</v>
      </c>
      <c r="BC41" s="32">
        <v>259</v>
      </c>
      <c r="BD41" s="32">
        <v>200</v>
      </c>
      <c r="BE41" s="38">
        <f t="shared" si="15"/>
        <v>2632</v>
      </c>
      <c r="BF41" s="36">
        <f t="shared" si="16"/>
        <v>2796</v>
      </c>
      <c r="BG41" s="26"/>
      <c r="BH41" s="41">
        <v>0</v>
      </c>
      <c r="BI41" s="41">
        <v>5</v>
      </c>
      <c r="BJ41" s="41">
        <v>3</v>
      </c>
      <c r="BK41" s="41">
        <v>1</v>
      </c>
      <c r="BL41" s="41">
        <v>4</v>
      </c>
      <c r="BM41" s="41">
        <v>3</v>
      </c>
      <c r="BN41" s="41">
        <v>0</v>
      </c>
      <c r="BO41" s="41">
        <v>3</v>
      </c>
      <c r="BP41" s="41">
        <v>0</v>
      </c>
      <c r="BQ41" s="41">
        <v>2</v>
      </c>
      <c r="BR41" s="41">
        <v>8</v>
      </c>
      <c r="BS41" s="41">
        <v>1</v>
      </c>
      <c r="BT41" s="38">
        <f t="shared" si="17"/>
        <v>30</v>
      </c>
      <c r="BU41" s="54">
        <v>65</v>
      </c>
      <c r="BV41" s="54">
        <v>68</v>
      </c>
      <c r="BW41" s="54">
        <v>61</v>
      </c>
      <c r="BX41" s="54">
        <v>48</v>
      </c>
      <c r="BY41" s="54">
        <v>75</v>
      </c>
      <c r="BZ41" s="54">
        <v>73</v>
      </c>
      <c r="CA41" s="54">
        <v>118</v>
      </c>
      <c r="CB41" s="54">
        <v>54</v>
      </c>
      <c r="CC41" s="54">
        <v>46</v>
      </c>
      <c r="CD41" s="54">
        <v>64</v>
      </c>
      <c r="CE41" s="54">
        <v>98</v>
      </c>
      <c r="CF41" s="54">
        <v>143</v>
      </c>
      <c r="CG41" s="38">
        <f t="shared" si="18"/>
        <v>913</v>
      </c>
      <c r="CH41" s="36">
        <f t="shared" si="19"/>
        <v>943</v>
      </c>
      <c r="CI41" s="26"/>
      <c r="CJ41" s="32">
        <v>172</v>
      </c>
      <c r="CK41" s="32">
        <v>122</v>
      </c>
      <c r="CL41" s="32">
        <v>103</v>
      </c>
      <c r="CM41" s="32">
        <v>76</v>
      </c>
      <c r="CN41" s="32">
        <v>66</v>
      </c>
      <c r="CO41" s="32">
        <v>67</v>
      </c>
      <c r="CP41" s="32">
        <v>88</v>
      </c>
      <c r="CQ41" s="32">
        <v>70</v>
      </c>
      <c r="CR41" s="32">
        <v>62</v>
      </c>
      <c r="CS41" s="32">
        <v>73</v>
      </c>
      <c r="CT41" s="32">
        <v>69</v>
      </c>
      <c r="CU41" s="32">
        <v>86</v>
      </c>
      <c r="CV41" s="38">
        <f t="shared" si="20"/>
        <v>1054</v>
      </c>
      <c r="CW41" s="54">
        <v>122</v>
      </c>
      <c r="CX41" s="54">
        <v>98</v>
      </c>
      <c r="CY41" s="54">
        <v>136</v>
      </c>
      <c r="CZ41" s="54">
        <v>168</v>
      </c>
      <c r="DA41" s="54">
        <v>138</v>
      </c>
      <c r="DB41" s="54">
        <v>149</v>
      </c>
      <c r="DC41" s="54">
        <v>152</v>
      </c>
      <c r="DD41" s="54">
        <v>202</v>
      </c>
      <c r="DE41" s="54">
        <v>173</v>
      </c>
      <c r="DF41" s="54">
        <v>151</v>
      </c>
      <c r="DG41" s="54">
        <v>121</v>
      </c>
      <c r="DH41" s="54">
        <v>116</v>
      </c>
      <c r="DI41" s="38">
        <f t="shared" si="21"/>
        <v>1726</v>
      </c>
      <c r="DJ41" s="36">
        <f t="shared" si="22"/>
        <v>2780</v>
      </c>
      <c r="DK41" s="26"/>
      <c r="DL41" s="75">
        <v>22</v>
      </c>
      <c r="DM41" s="75">
        <v>32</v>
      </c>
      <c r="DN41" s="75">
        <v>28</v>
      </c>
      <c r="DO41" s="75">
        <v>18</v>
      </c>
      <c r="DP41" s="75">
        <v>12</v>
      </c>
      <c r="DQ41" s="75">
        <v>4</v>
      </c>
      <c r="DR41" s="75">
        <v>1</v>
      </c>
      <c r="DS41" s="75">
        <v>0</v>
      </c>
      <c r="DT41" s="75">
        <v>0</v>
      </c>
      <c r="DU41" s="75">
        <v>15</v>
      </c>
      <c r="DV41" s="75">
        <v>5</v>
      </c>
      <c r="DW41" s="75">
        <v>0</v>
      </c>
      <c r="DX41" s="38">
        <f t="shared" si="0"/>
        <v>137</v>
      </c>
      <c r="DY41" s="64">
        <v>147</v>
      </c>
      <c r="DZ41" s="64">
        <v>92</v>
      </c>
      <c r="EA41" s="64">
        <v>78</v>
      </c>
      <c r="EB41" s="64">
        <v>64</v>
      </c>
      <c r="EC41" s="64">
        <v>111</v>
      </c>
      <c r="ED41" s="64">
        <v>67</v>
      </c>
      <c r="EE41" s="64">
        <v>141</v>
      </c>
      <c r="EF41" s="64">
        <v>214</v>
      </c>
      <c r="EG41" s="64">
        <v>153</v>
      </c>
      <c r="EH41" s="64">
        <v>231</v>
      </c>
      <c r="EI41" s="64">
        <v>134</v>
      </c>
      <c r="EJ41" s="64">
        <v>98</v>
      </c>
      <c r="EK41" s="38">
        <f t="shared" si="23"/>
        <v>1530</v>
      </c>
      <c r="EL41" s="36">
        <f t="shared" si="1"/>
        <v>1667</v>
      </c>
      <c r="EM41" s="26"/>
      <c r="EN41" s="32">
        <v>154</v>
      </c>
      <c r="EO41" s="32">
        <v>113</v>
      </c>
      <c r="EP41" s="32">
        <v>119</v>
      </c>
      <c r="EQ41" s="32">
        <v>118</v>
      </c>
      <c r="ER41" s="32">
        <v>150</v>
      </c>
      <c r="ES41" s="32">
        <v>219</v>
      </c>
      <c r="ET41" s="32">
        <v>148</v>
      </c>
      <c r="EU41" s="32">
        <v>115</v>
      </c>
      <c r="EV41" s="32">
        <v>174</v>
      </c>
      <c r="EW41" s="32">
        <v>215</v>
      </c>
      <c r="EX41" s="32">
        <v>207</v>
      </c>
      <c r="EY41" s="32">
        <v>119</v>
      </c>
      <c r="EZ41" s="38">
        <f t="shared" si="24"/>
        <v>1851</v>
      </c>
      <c r="FA41" s="26"/>
      <c r="FB41" s="104">
        <v>1077</v>
      </c>
      <c r="FC41" s="104">
        <v>878</v>
      </c>
      <c r="FD41" s="104">
        <v>938</v>
      </c>
      <c r="FE41" s="104">
        <v>918</v>
      </c>
      <c r="FF41" s="104">
        <v>922</v>
      </c>
      <c r="FG41" s="104">
        <v>721</v>
      </c>
      <c r="FH41" s="104">
        <v>727</v>
      </c>
      <c r="FI41" s="104">
        <v>610</v>
      </c>
      <c r="FJ41" s="104">
        <v>473</v>
      </c>
      <c r="FK41" s="104">
        <v>627</v>
      </c>
      <c r="FL41" s="104">
        <v>703</v>
      </c>
      <c r="FM41" s="104">
        <v>817</v>
      </c>
      <c r="FN41" s="38">
        <f t="shared" si="25"/>
        <v>9411</v>
      </c>
      <c r="FO41" s="26"/>
      <c r="FP41" s="32">
        <v>58</v>
      </c>
      <c r="FQ41" s="32">
        <v>68</v>
      </c>
      <c r="FR41" s="32">
        <v>77</v>
      </c>
      <c r="FS41" s="32">
        <v>96</v>
      </c>
      <c r="FT41" s="32">
        <v>52</v>
      </c>
      <c r="FU41" s="32">
        <v>53</v>
      </c>
      <c r="FV41" s="32">
        <v>64</v>
      </c>
      <c r="FW41" s="32">
        <v>37</v>
      </c>
      <c r="FX41" s="32">
        <v>46</v>
      </c>
      <c r="FY41" s="32">
        <v>46</v>
      </c>
      <c r="FZ41" s="32">
        <v>84</v>
      </c>
      <c r="GA41" s="32">
        <v>35</v>
      </c>
      <c r="GB41" s="38">
        <f t="shared" si="26"/>
        <v>716</v>
      </c>
      <c r="GC41" s="26"/>
      <c r="GD41" s="101">
        <v>144</v>
      </c>
      <c r="GE41" s="101">
        <v>145</v>
      </c>
      <c r="GF41" s="101">
        <v>122</v>
      </c>
      <c r="GG41" s="101">
        <v>157</v>
      </c>
      <c r="GH41" s="101">
        <v>104</v>
      </c>
      <c r="GI41" s="101">
        <v>120</v>
      </c>
      <c r="GJ41" s="101">
        <v>226</v>
      </c>
      <c r="GK41" s="101">
        <v>133</v>
      </c>
      <c r="GL41" s="101">
        <v>142</v>
      </c>
      <c r="GM41" s="101">
        <v>208</v>
      </c>
      <c r="GN41" s="101">
        <v>133</v>
      </c>
      <c r="GO41" s="101">
        <v>143</v>
      </c>
      <c r="GP41" s="38">
        <f t="shared" si="27"/>
        <v>1777</v>
      </c>
      <c r="GQ41" s="26"/>
      <c r="GR41" s="32">
        <v>31</v>
      </c>
      <c r="GS41" s="32">
        <v>51</v>
      </c>
      <c r="GT41" s="32">
        <v>74</v>
      </c>
      <c r="GU41" s="32">
        <v>66</v>
      </c>
      <c r="GV41" s="32">
        <v>92</v>
      </c>
      <c r="GW41" s="32">
        <v>41</v>
      </c>
      <c r="GX41" s="32">
        <v>54</v>
      </c>
      <c r="GY41" s="32">
        <v>63</v>
      </c>
      <c r="GZ41" s="32">
        <v>76</v>
      </c>
      <c r="HA41" s="32">
        <v>103</v>
      </c>
      <c r="HB41" s="32">
        <v>136</v>
      </c>
      <c r="HC41" s="32">
        <v>148</v>
      </c>
      <c r="HD41" s="38">
        <f t="shared" si="28"/>
        <v>935</v>
      </c>
      <c r="HE41" s="26"/>
      <c r="HF41" s="54">
        <v>432</v>
      </c>
      <c r="HG41" s="54">
        <v>463</v>
      </c>
      <c r="HH41" s="54">
        <v>315</v>
      </c>
      <c r="HI41" s="54">
        <v>214</v>
      </c>
      <c r="HJ41" s="54">
        <v>296</v>
      </c>
      <c r="HK41" s="54">
        <v>363</v>
      </c>
      <c r="HL41" s="54">
        <v>474</v>
      </c>
      <c r="HM41" s="54">
        <v>308</v>
      </c>
      <c r="HN41" s="54">
        <v>190</v>
      </c>
      <c r="HO41" s="54">
        <v>261</v>
      </c>
      <c r="HP41" s="54">
        <v>263</v>
      </c>
      <c r="HQ41" s="54">
        <v>233</v>
      </c>
      <c r="HR41" s="38">
        <f t="shared" si="29"/>
        <v>3812</v>
      </c>
      <c r="HS41" s="26"/>
      <c r="HT41" s="32">
        <v>5</v>
      </c>
      <c r="HU41" s="32">
        <v>10</v>
      </c>
      <c r="HV41" s="32">
        <v>20</v>
      </c>
      <c r="HW41" s="32">
        <v>23</v>
      </c>
      <c r="HX41" s="32">
        <v>16</v>
      </c>
      <c r="HY41" s="32">
        <v>10</v>
      </c>
      <c r="HZ41" s="32">
        <v>7</v>
      </c>
      <c r="IA41" s="32">
        <v>18</v>
      </c>
      <c r="IB41" s="32">
        <v>13</v>
      </c>
      <c r="IC41" s="32">
        <v>9</v>
      </c>
      <c r="ID41" s="32">
        <v>13</v>
      </c>
      <c r="IE41" s="69">
        <v>9</v>
      </c>
      <c r="IF41" s="38">
        <f t="shared" si="2"/>
        <v>153</v>
      </c>
      <c r="IG41" s="104">
        <v>374</v>
      </c>
      <c r="IH41" s="104">
        <v>192</v>
      </c>
      <c r="II41" s="104">
        <v>180</v>
      </c>
      <c r="IJ41" s="104">
        <v>151</v>
      </c>
      <c r="IK41" s="104">
        <v>195</v>
      </c>
      <c r="IL41" s="104">
        <v>176</v>
      </c>
      <c r="IM41" s="104">
        <v>199</v>
      </c>
      <c r="IN41" s="104">
        <v>219</v>
      </c>
      <c r="IO41" s="104">
        <v>317</v>
      </c>
      <c r="IP41" s="104">
        <v>311</v>
      </c>
      <c r="IQ41" s="104">
        <v>360</v>
      </c>
      <c r="IR41" s="107">
        <v>400</v>
      </c>
      <c r="IS41" s="38">
        <f t="shared" si="3"/>
        <v>3074</v>
      </c>
      <c r="IT41" s="36">
        <f t="shared" si="39"/>
        <v>3227</v>
      </c>
      <c r="IU41" s="26"/>
      <c r="IV41" s="32">
        <v>110</v>
      </c>
      <c r="IW41" s="32">
        <v>134</v>
      </c>
      <c r="IX41" s="32">
        <v>132</v>
      </c>
      <c r="IY41" s="32">
        <v>85</v>
      </c>
      <c r="IZ41" s="32">
        <v>51</v>
      </c>
      <c r="JA41" s="32">
        <v>70</v>
      </c>
      <c r="JB41" s="32">
        <v>61</v>
      </c>
      <c r="JC41" s="32">
        <v>180</v>
      </c>
      <c r="JD41" s="32">
        <v>150</v>
      </c>
      <c r="JE41" s="32">
        <v>117</v>
      </c>
      <c r="JF41" s="32">
        <v>120</v>
      </c>
      <c r="JG41" s="32">
        <v>150</v>
      </c>
      <c r="JH41" s="38">
        <f t="shared" si="4"/>
        <v>1360</v>
      </c>
      <c r="JI41" s="109">
        <v>676</v>
      </c>
      <c r="JJ41" s="97">
        <v>662.40000000000009</v>
      </c>
      <c r="JK41" s="97">
        <v>540.80000000000007</v>
      </c>
      <c r="JL41" s="97">
        <v>793.6</v>
      </c>
      <c r="JM41" s="97">
        <v>787.2</v>
      </c>
      <c r="JN41" s="97">
        <v>804</v>
      </c>
      <c r="JO41" s="97">
        <v>816.80000000000007</v>
      </c>
      <c r="JP41" s="97">
        <v>829.6</v>
      </c>
      <c r="JQ41" s="97">
        <v>905.6</v>
      </c>
      <c r="JR41" s="97">
        <v>1030.4000000000001</v>
      </c>
      <c r="JS41" s="97">
        <v>1198.4000000000001</v>
      </c>
      <c r="JT41" s="97">
        <v>928.80000000000007</v>
      </c>
      <c r="JU41" s="35">
        <f t="shared" si="5"/>
        <v>9973.6</v>
      </c>
      <c r="JV41" s="40">
        <f t="shared" si="30"/>
        <v>11333.6</v>
      </c>
      <c r="JW41" s="26"/>
      <c r="JX41" s="93">
        <v>25</v>
      </c>
      <c r="JY41" s="93">
        <v>29</v>
      </c>
      <c r="JZ41" s="93">
        <v>16</v>
      </c>
      <c r="KA41" s="93">
        <v>19</v>
      </c>
      <c r="KB41" s="93">
        <v>18</v>
      </c>
      <c r="KC41" s="93">
        <v>10</v>
      </c>
      <c r="KD41" s="93">
        <v>9</v>
      </c>
      <c r="KE41" s="93">
        <v>15</v>
      </c>
      <c r="KF41" s="93">
        <v>18</v>
      </c>
      <c r="KG41" s="93">
        <v>12</v>
      </c>
      <c r="KH41" s="93">
        <v>23</v>
      </c>
      <c r="KI41" s="93">
        <v>21</v>
      </c>
      <c r="KJ41" s="38">
        <f t="shared" si="6"/>
        <v>215</v>
      </c>
      <c r="KK41" s="32">
        <v>238</v>
      </c>
      <c r="KL41" s="32">
        <v>23</v>
      </c>
      <c r="KM41" s="32">
        <v>77</v>
      </c>
      <c r="KN41" s="32">
        <v>63</v>
      </c>
      <c r="KO41" s="32">
        <v>138</v>
      </c>
      <c r="KP41" s="32">
        <v>139</v>
      </c>
      <c r="KQ41" s="32">
        <v>160</v>
      </c>
      <c r="KR41" s="32">
        <v>108</v>
      </c>
      <c r="KS41" s="32">
        <v>113</v>
      </c>
      <c r="KT41" s="32">
        <v>110</v>
      </c>
      <c r="KU41" s="32">
        <v>170</v>
      </c>
      <c r="KV41" s="32">
        <v>238</v>
      </c>
      <c r="KW41" s="38">
        <f t="shared" si="7"/>
        <v>1577</v>
      </c>
      <c r="KX41" s="36">
        <f t="shared" si="31"/>
        <v>1792</v>
      </c>
      <c r="KY41" s="26"/>
      <c r="KZ41" s="101">
        <v>73</v>
      </c>
      <c r="LA41" s="101">
        <v>105</v>
      </c>
      <c r="LB41" s="101">
        <v>63</v>
      </c>
      <c r="LC41" s="101">
        <v>111</v>
      </c>
      <c r="LD41" s="101">
        <v>63</v>
      </c>
      <c r="LE41" s="101">
        <v>54</v>
      </c>
      <c r="LF41" s="101">
        <v>65</v>
      </c>
      <c r="LG41" s="101">
        <v>61</v>
      </c>
      <c r="LH41" s="101">
        <v>69</v>
      </c>
      <c r="LI41" s="101">
        <v>46</v>
      </c>
      <c r="LJ41" s="101">
        <v>88</v>
      </c>
      <c r="LK41" s="115">
        <v>72</v>
      </c>
      <c r="LL41" s="38">
        <f t="shared" si="32"/>
        <v>870</v>
      </c>
      <c r="LM41" s="26"/>
      <c r="LN41" s="71">
        <v>573</v>
      </c>
      <c r="LO41" s="71">
        <v>567</v>
      </c>
      <c r="LP41" s="71">
        <v>552</v>
      </c>
      <c r="LQ41" s="71">
        <v>585</v>
      </c>
      <c r="LR41" s="71">
        <v>667</v>
      </c>
      <c r="LS41" s="71">
        <v>536</v>
      </c>
      <c r="LT41" s="71">
        <v>562</v>
      </c>
      <c r="LU41" s="45">
        <v>313</v>
      </c>
      <c r="LV41" s="45">
        <v>362</v>
      </c>
      <c r="LW41" s="45">
        <v>759</v>
      </c>
      <c r="LX41" s="45">
        <v>634</v>
      </c>
      <c r="LY41" s="45">
        <v>678</v>
      </c>
      <c r="LZ41" s="38">
        <f t="shared" si="8"/>
        <v>6788</v>
      </c>
      <c r="MA41" s="26"/>
      <c r="MB41" s="45">
        <v>229</v>
      </c>
      <c r="MC41" s="45">
        <v>234</v>
      </c>
      <c r="MD41" s="45">
        <v>145</v>
      </c>
      <c r="ME41" s="45">
        <v>293</v>
      </c>
      <c r="MF41" s="45">
        <v>339</v>
      </c>
      <c r="MG41" s="45">
        <v>333</v>
      </c>
      <c r="MH41" s="45">
        <v>470</v>
      </c>
      <c r="MI41" s="45">
        <v>609</v>
      </c>
      <c r="MJ41" s="45">
        <v>273</v>
      </c>
      <c r="MK41" s="45">
        <v>270</v>
      </c>
      <c r="ML41" s="45">
        <v>334</v>
      </c>
      <c r="MM41" s="45">
        <v>260</v>
      </c>
      <c r="MN41" s="38">
        <f t="shared" si="9"/>
        <v>3789</v>
      </c>
      <c r="MO41" s="32">
        <v>1313</v>
      </c>
      <c r="MP41" s="32">
        <v>1270</v>
      </c>
      <c r="MQ41" s="32">
        <v>1252</v>
      </c>
      <c r="MR41" s="32">
        <v>1143</v>
      </c>
      <c r="MS41" s="32">
        <v>1561</v>
      </c>
      <c r="MT41" s="32">
        <v>1434</v>
      </c>
      <c r="MU41" s="32">
        <v>1617</v>
      </c>
      <c r="MV41" s="32">
        <v>1460</v>
      </c>
      <c r="MW41" s="32">
        <v>881</v>
      </c>
      <c r="MX41" s="32">
        <v>760</v>
      </c>
      <c r="MY41" s="32">
        <v>689</v>
      </c>
      <c r="MZ41" s="32">
        <v>725</v>
      </c>
      <c r="NA41" s="38">
        <f t="shared" si="10"/>
        <v>14105</v>
      </c>
      <c r="NB41" s="36">
        <f t="shared" si="33"/>
        <v>17894</v>
      </c>
      <c r="NC41" s="26"/>
      <c r="ND41" s="32">
        <v>134</v>
      </c>
      <c r="NE41" s="32">
        <v>134</v>
      </c>
      <c r="NF41" s="32">
        <v>89</v>
      </c>
      <c r="NG41" s="32">
        <v>116</v>
      </c>
      <c r="NH41" s="32">
        <v>108</v>
      </c>
      <c r="NI41" s="32">
        <v>169</v>
      </c>
      <c r="NJ41" s="32">
        <v>130</v>
      </c>
      <c r="NK41" s="32">
        <v>154</v>
      </c>
      <c r="NL41" s="32">
        <v>147</v>
      </c>
      <c r="NM41" s="32">
        <v>252</v>
      </c>
      <c r="NN41" s="32">
        <v>229</v>
      </c>
      <c r="NO41" s="32">
        <v>207</v>
      </c>
      <c r="NP41" s="118">
        <f t="shared" si="11"/>
        <v>1869</v>
      </c>
      <c r="NQ41" s="36">
        <f t="shared" si="34"/>
        <v>6191</v>
      </c>
      <c r="NR41" s="36">
        <f t="shared" si="35"/>
        <v>43695</v>
      </c>
      <c r="NS41" s="36">
        <f t="shared" si="36"/>
        <v>58267.6</v>
      </c>
      <c r="NT41" s="36">
        <f t="shared" si="37"/>
        <v>108153.60000000001</v>
      </c>
      <c r="NU41" s="18"/>
      <c r="NV41" s="18"/>
      <c r="NW41" s="18"/>
      <c r="NX41" s="19"/>
      <c r="NY41" s="19"/>
      <c r="NZ41" s="19"/>
      <c r="OA41" s="19"/>
      <c r="OB41" s="19"/>
      <c r="OC41" s="19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8"/>
      <c r="OR41" s="18"/>
      <c r="OS41" s="18"/>
      <c r="OT41" s="18"/>
      <c r="OU41" s="18"/>
      <c r="OV41" s="18"/>
      <c r="OW41" s="18"/>
      <c r="OX41" s="19"/>
      <c r="OY41" s="19"/>
      <c r="OZ41" s="19"/>
      <c r="PA41" s="19"/>
      <c r="PB41" s="19"/>
      <c r="PC41" s="19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8"/>
      <c r="PR41" s="18"/>
      <c r="PS41" s="18"/>
      <c r="PT41" s="18"/>
      <c r="PU41" s="18"/>
      <c r="PV41" s="18"/>
      <c r="PW41" s="18"/>
      <c r="PX41" s="19"/>
      <c r="PY41" s="19"/>
      <c r="PZ41" s="19"/>
      <c r="QA41" s="19"/>
      <c r="QB41" s="19"/>
      <c r="QC41" s="19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</row>
    <row r="42" spans="1:458" s="1" customFormat="1" ht="50.1" customHeight="1" x14ac:dyDescent="0.25">
      <c r="A42" s="120"/>
      <c r="B42" s="6" t="s">
        <v>19</v>
      </c>
      <c r="C42" s="23"/>
      <c r="D42" s="41">
        <v>2</v>
      </c>
      <c r="E42" s="41">
        <v>0</v>
      </c>
      <c r="F42" s="41">
        <v>2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38">
        <f t="shared" si="12"/>
        <v>4</v>
      </c>
      <c r="Q42" s="49">
        <v>549</v>
      </c>
      <c r="R42" s="49">
        <v>536</v>
      </c>
      <c r="S42" s="49">
        <v>871</v>
      </c>
      <c r="T42" s="49">
        <v>846</v>
      </c>
      <c r="U42" s="49">
        <v>1679</v>
      </c>
      <c r="V42" s="49">
        <v>1118</v>
      </c>
      <c r="W42" s="49">
        <v>947</v>
      </c>
      <c r="X42" s="49">
        <v>810</v>
      </c>
      <c r="Y42" s="49">
        <v>928</v>
      </c>
      <c r="Z42" s="49">
        <v>733</v>
      </c>
      <c r="AA42" s="49">
        <v>942</v>
      </c>
      <c r="AB42" s="49">
        <v>817</v>
      </c>
      <c r="AC42" s="38">
        <f t="shared" si="38"/>
        <v>10776</v>
      </c>
      <c r="AD42" s="36">
        <f t="shared" si="13"/>
        <v>10780</v>
      </c>
      <c r="AE42" s="26"/>
      <c r="AF42" s="32">
        <v>10</v>
      </c>
      <c r="AG42" s="32">
        <v>2</v>
      </c>
      <c r="AH42" s="32">
        <v>3</v>
      </c>
      <c r="AI42" s="32">
        <v>0</v>
      </c>
      <c r="AJ42" s="32">
        <v>6</v>
      </c>
      <c r="AK42" s="32">
        <v>0</v>
      </c>
      <c r="AL42" s="32">
        <v>3</v>
      </c>
      <c r="AM42" s="32">
        <v>2</v>
      </c>
      <c r="AN42" s="32">
        <v>3</v>
      </c>
      <c r="AO42" s="32">
        <v>1</v>
      </c>
      <c r="AP42" s="32">
        <v>1</v>
      </c>
      <c r="AQ42" s="32">
        <v>1</v>
      </c>
      <c r="AR42" s="38">
        <f t="shared" si="14"/>
        <v>32</v>
      </c>
      <c r="AS42" s="32">
        <v>6</v>
      </c>
      <c r="AT42" s="32">
        <v>4</v>
      </c>
      <c r="AU42" s="32">
        <v>3</v>
      </c>
      <c r="AV42" s="32">
        <v>6</v>
      </c>
      <c r="AW42" s="32">
        <v>0</v>
      </c>
      <c r="AX42" s="32">
        <v>5</v>
      </c>
      <c r="AY42" s="32">
        <v>4</v>
      </c>
      <c r="AZ42" s="32">
        <v>15</v>
      </c>
      <c r="BA42" s="32">
        <v>4</v>
      </c>
      <c r="BB42" s="32">
        <v>6</v>
      </c>
      <c r="BC42" s="32">
        <v>7</v>
      </c>
      <c r="BD42" s="32">
        <v>10</v>
      </c>
      <c r="BE42" s="38">
        <f t="shared" si="15"/>
        <v>70</v>
      </c>
      <c r="BF42" s="36">
        <f t="shared" si="16"/>
        <v>102</v>
      </c>
      <c r="BG42" s="26"/>
      <c r="BH42" s="41">
        <v>1</v>
      </c>
      <c r="BI42" s="41">
        <v>0</v>
      </c>
      <c r="BJ42" s="41">
        <v>0</v>
      </c>
      <c r="BK42" s="41">
        <v>0</v>
      </c>
      <c r="BL42" s="41">
        <v>0</v>
      </c>
      <c r="BM42" s="41">
        <v>3</v>
      </c>
      <c r="BN42" s="41">
        <v>8</v>
      </c>
      <c r="BO42" s="41">
        <v>3</v>
      </c>
      <c r="BP42" s="41">
        <v>7</v>
      </c>
      <c r="BQ42" s="41">
        <v>3</v>
      </c>
      <c r="BR42" s="41">
        <v>1</v>
      </c>
      <c r="BS42" s="41">
        <v>3</v>
      </c>
      <c r="BT42" s="38">
        <f t="shared" si="17"/>
        <v>29</v>
      </c>
      <c r="BU42" s="54">
        <v>4</v>
      </c>
      <c r="BV42" s="54">
        <v>1</v>
      </c>
      <c r="BW42" s="54">
        <v>2</v>
      </c>
      <c r="BX42" s="54">
        <v>4</v>
      </c>
      <c r="BY42" s="54">
        <v>1</v>
      </c>
      <c r="BZ42" s="54">
        <v>0</v>
      </c>
      <c r="CA42" s="54">
        <v>55</v>
      </c>
      <c r="CB42" s="54">
        <v>8</v>
      </c>
      <c r="CC42" s="54">
        <v>6</v>
      </c>
      <c r="CD42" s="54">
        <v>9</v>
      </c>
      <c r="CE42" s="54">
        <v>12</v>
      </c>
      <c r="CF42" s="54">
        <v>11</v>
      </c>
      <c r="CG42" s="38">
        <f t="shared" si="18"/>
        <v>113</v>
      </c>
      <c r="CH42" s="36">
        <f t="shared" si="19"/>
        <v>142</v>
      </c>
      <c r="CI42" s="26"/>
      <c r="CJ42" s="32">
        <v>2</v>
      </c>
      <c r="CK42" s="32">
        <v>0</v>
      </c>
      <c r="CL42" s="32">
        <v>0</v>
      </c>
      <c r="CM42" s="32">
        <v>0</v>
      </c>
      <c r="CN42" s="32">
        <v>0</v>
      </c>
      <c r="CO42" s="32">
        <v>0</v>
      </c>
      <c r="CP42" s="32">
        <v>0</v>
      </c>
      <c r="CQ42" s="32">
        <v>3</v>
      </c>
      <c r="CR42" s="32">
        <v>6</v>
      </c>
      <c r="CS42" s="32">
        <v>9</v>
      </c>
      <c r="CT42" s="32">
        <v>4</v>
      </c>
      <c r="CU42" s="32">
        <v>2</v>
      </c>
      <c r="CV42" s="38">
        <f t="shared" si="20"/>
        <v>26</v>
      </c>
      <c r="CW42" s="54">
        <v>31</v>
      </c>
      <c r="CX42" s="54">
        <v>35</v>
      </c>
      <c r="CY42" s="54">
        <v>40</v>
      </c>
      <c r="CZ42" s="54">
        <v>37</v>
      </c>
      <c r="DA42" s="54">
        <v>9</v>
      </c>
      <c r="DB42" s="54">
        <v>54</v>
      </c>
      <c r="DC42" s="54">
        <v>33</v>
      </c>
      <c r="DD42" s="54">
        <v>33</v>
      </c>
      <c r="DE42" s="54">
        <v>29</v>
      </c>
      <c r="DF42" s="54">
        <v>31</v>
      </c>
      <c r="DG42" s="54">
        <v>9</v>
      </c>
      <c r="DH42" s="54">
        <v>14</v>
      </c>
      <c r="DI42" s="38">
        <f t="shared" si="21"/>
        <v>355</v>
      </c>
      <c r="DJ42" s="36">
        <f t="shared" si="22"/>
        <v>381</v>
      </c>
      <c r="DK42" s="26"/>
      <c r="DL42" s="75">
        <v>0</v>
      </c>
      <c r="DM42" s="75">
        <v>0</v>
      </c>
      <c r="DN42" s="75">
        <v>4</v>
      </c>
      <c r="DO42" s="75">
        <v>6</v>
      </c>
      <c r="DP42" s="75">
        <v>1</v>
      </c>
      <c r="DQ42" s="75">
        <v>1</v>
      </c>
      <c r="DR42" s="75">
        <v>1</v>
      </c>
      <c r="DS42" s="75">
        <v>0</v>
      </c>
      <c r="DT42" s="75">
        <v>0</v>
      </c>
      <c r="DU42" s="75">
        <v>0</v>
      </c>
      <c r="DV42" s="75">
        <v>0</v>
      </c>
      <c r="DW42" s="75">
        <v>0</v>
      </c>
      <c r="DX42" s="38">
        <f t="shared" si="0"/>
        <v>13</v>
      </c>
      <c r="DY42" s="64">
        <v>45</v>
      </c>
      <c r="DZ42" s="64">
        <v>5</v>
      </c>
      <c r="EA42" s="64">
        <v>11</v>
      </c>
      <c r="EB42" s="64">
        <v>10</v>
      </c>
      <c r="EC42" s="64">
        <v>21</v>
      </c>
      <c r="ED42" s="64">
        <v>11</v>
      </c>
      <c r="EE42" s="64">
        <v>35</v>
      </c>
      <c r="EF42" s="64">
        <v>47</v>
      </c>
      <c r="EG42" s="64">
        <v>39</v>
      </c>
      <c r="EH42" s="64">
        <v>44</v>
      </c>
      <c r="EI42" s="64">
        <v>34</v>
      </c>
      <c r="EJ42" s="64">
        <v>12</v>
      </c>
      <c r="EK42" s="38">
        <f t="shared" si="23"/>
        <v>314</v>
      </c>
      <c r="EL42" s="36">
        <f t="shared" si="1"/>
        <v>327</v>
      </c>
      <c r="EM42" s="26"/>
      <c r="EN42" s="32">
        <v>95</v>
      </c>
      <c r="EO42" s="32">
        <v>44</v>
      </c>
      <c r="EP42" s="32">
        <v>55</v>
      </c>
      <c r="EQ42" s="32">
        <v>47</v>
      </c>
      <c r="ER42" s="32">
        <v>81</v>
      </c>
      <c r="ES42" s="32">
        <v>43</v>
      </c>
      <c r="ET42" s="32">
        <v>51</v>
      </c>
      <c r="EU42" s="32">
        <v>64</v>
      </c>
      <c r="EV42" s="32">
        <v>61</v>
      </c>
      <c r="EW42" s="32">
        <v>81</v>
      </c>
      <c r="EX42" s="32">
        <v>65</v>
      </c>
      <c r="EY42" s="32">
        <v>45</v>
      </c>
      <c r="EZ42" s="38">
        <f t="shared" si="24"/>
        <v>732</v>
      </c>
      <c r="FA42" s="26"/>
      <c r="FB42" s="104">
        <v>31</v>
      </c>
      <c r="FC42" s="104">
        <v>4</v>
      </c>
      <c r="FD42" s="104">
        <v>11</v>
      </c>
      <c r="FE42" s="104">
        <v>1</v>
      </c>
      <c r="FF42" s="104">
        <v>8</v>
      </c>
      <c r="FG42" s="104">
        <v>6</v>
      </c>
      <c r="FH42" s="104">
        <v>13</v>
      </c>
      <c r="FI42" s="104">
        <v>13</v>
      </c>
      <c r="FJ42" s="104">
        <v>14</v>
      </c>
      <c r="FK42" s="104">
        <v>10</v>
      </c>
      <c r="FL42" s="104">
        <v>7</v>
      </c>
      <c r="FM42" s="104">
        <v>12</v>
      </c>
      <c r="FN42" s="38">
        <f t="shared" si="25"/>
        <v>130</v>
      </c>
      <c r="FO42" s="26"/>
      <c r="FP42" s="32">
        <v>0</v>
      </c>
      <c r="FQ42" s="32">
        <v>0</v>
      </c>
      <c r="FR42" s="32">
        <v>0</v>
      </c>
      <c r="FS42" s="32">
        <v>1</v>
      </c>
      <c r="FT42" s="32">
        <v>1</v>
      </c>
      <c r="FU42" s="32">
        <v>0</v>
      </c>
      <c r="FV42" s="32">
        <v>1</v>
      </c>
      <c r="FW42" s="32">
        <v>1</v>
      </c>
      <c r="FX42" s="32">
        <v>2</v>
      </c>
      <c r="FY42" s="32">
        <v>2</v>
      </c>
      <c r="FZ42" s="32">
        <v>9</v>
      </c>
      <c r="GA42" s="32">
        <v>0</v>
      </c>
      <c r="GB42" s="38">
        <f t="shared" si="26"/>
        <v>17</v>
      </c>
      <c r="GC42" s="26"/>
      <c r="GD42" s="101">
        <v>92</v>
      </c>
      <c r="GE42" s="101">
        <v>57</v>
      </c>
      <c r="GF42" s="101">
        <v>57</v>
      </c>
      <c r="GG42" s="101">
        <v>78</v>
      </c>
      <c r="GH42" s="101">
        <v>67</v>
      </c>
      <c r="GI42" s="101">
        <v>71</v>
      </c>
      <c r="GJ42" s="101">
        <v>127</v>
      </c>
      <c r="GK42" s="101">
        <v>97</v>
      </c>
      <c r="GL42" s="101">
        <v>118</v>
      </c>
      <c r="GM42" s="101">
        <v>134</v>
      </c>
      <c r="GN42" s="101">
        <v>76</v>
      </c>
      <c r="GO42" s="101">
        <v>113</v>
      </c>
      <c r="GP42" s="38">
        <f t="shared" si="27"/>
        <v>1087</v>
      </c>
      <c r="GQ42" s="26"/>
      <c r="GR42" s="32">
        <v>4</v>
      </c>
      <c r="GS42" s="32">
        <v>3</v>
      </c>
      <c r="GT42" s="32">
        <v>1</v>
      </c>
      <c r="GU42" s="32">
        <v>5</v>
      </c>
      <c r="GV42" s="32">
        <v>4</v>
      </c>
      <c r="GW42" s="32">
        <v>7</v>
      </c>
      <c r="GX42" s="32">
        <v>4</v>
      </c>
      <c r="GY42" s="32">
        <v>3</v>
      </c>
      <c r="GZ42" s="32">
        <v>6</v>
      </c>
      <c r="HA42" s="32">
        <v>1</v>
      </c>
      <c r="HB42" s="32">
        <v>25</v>
      </c>
      <c r="HC42" s="32">
        <v>15</v>
      </c>
      <c r="HD42" s="38">
        <f t="shared" si="28"/>
        <v>78</v>
      </c>
      <c r="HE42" s="26"/>
      <c r="HF42" s="54">
        <v>57</v>
      </c>
      <c r="HG42" s="54">
        <v>41</v>
      </c>
      <c r="HH42" s="54">
        <v>48</v>
      </c>
      <c r="HI42" s="54">
        <v>29</v>
      </c>
      <c r="HJ42" s="54">
        <v>44</v>
      </c>
      <c r="HK42" s="54">
        <v>44</v>
      </c>
      <c r="HL42" s="54">
        <v>75</v>
      </c>
      <c r="HM42" s="54">
        <v>50</v>
      </c>
      <c r="HN42" s="54">
        <v>45</v>
      </c>
      <c r="HO42" s="54">
        <v>44</v>
      </c>
      <c r="HP42" s="54">
        <v>50</v>
      </c>
      <c r="HQ42" s="54">
        <v>28</v>
      </c>
      <c r="HR42" s="38">
        <f t="shared" si="29"/>
        <v>555</v>
      </c>
      <c r="HS42" s="26"/>
      <c r="HT42" s="32">
        <v>0</v>
      </c>
      <c r="HU42" s="32">
        <v>5</v>
      </c>
      <c r="HV42" s="32">
        <v>4</v>
      </c>
      <c r="HW42" s="32">
        <v>3</v>
      </c>
      <c r="HX42" s="32">
        <v>5</v>
      </c>
      <c r="HY42" s="32">
        <v>1</v>
      </c>
      <c r="HZ42" s="32">
        <v>0</v>
      </c>
      <c r="IA42" s="32">
        <v>4</v>
      </c>
      <c r="IB42" s="32">
        <v>1</v>
      </c>
      <c r="IC42" s="32">
        <v>0</v>
      </c>
      <c r="ID42" s="32">
        <v>1</v>
      </c>
      <c r="IE42" s="69">
        <v>0</v>
      </c>
      <c r="IF42" s="38">
        <f t="shared" si="2"/>
        <v>24</v>
      </c>
      <c r="IG42" s="104">
        <v>85</v>
      </c>
      <c r="IH42" s="104">
        <v>78</v>
      </c>
      <c r="II42" s="104">
        <v>139</v>
      </c>
      <c r="IJ42" s="104">
        <v>77</v>
      </c>
      <c r="IK42" s="104">
        <v>91</v>
      </c>
      <c r="IL42" s="104">
        <v>42</v>
      </c>
      <c r="IM42" s="104">
        <v>46</v>
      </c>
      <c r="IN42" s="104">
        <v>87</v>
      </c>
      <c r="IO42" s="104">
        <v>73</v>
      </c>
      <c r="IP42" s="104">
        <v>165</v>
      </c>
      <c r="IQ42" s="104">
        <v>89</v>
      </c>
      <c r="IR42" s="107">
        <v>113</v>
      </c>
      <c r="IS42" s="38">
        <f t="shared" si="3"/>
        <v>1085</v>
      </c>
      <c r="IT42" s="36">
        <f t="shared" si="39"/>
        <v>1109</v>
      </c>
      <c r="IU42" s="26"/>
      <c r="IV42" s="32">
        <v>38</v>
      </c>
      <c r="IW42" s="32">
        <v>66</v>
      </c>
      <c r="IX42" s="32">
        <v>48</v>
      </c>
      <c r="IY42" s="32">
        <v>49</v>
      </c>
      <c r="IZ42" s="32">
        <v>10</v>
      </c>
      <c r="JA42" s="32">
        <v>18</v>
      </c>
      <c r="JB42" s="32">
        <v>43</v>
      </c>
      <c r="JC42" s="32">
        <v>28</v>
      </c>
      <c r="JD42" s="32">
        <v>39</v>
      </c>
      <c r="JE42" s="32">
        <v>51</v>
      </c>
      <c r="JF42" s="32">
        <v>27</v>
      </c>
      <c r="JG42" s="32">
        <v>39</v>
      </c>
      <c r="JH42" s="38">
        <f t="shared" si="4"/>
        <v>456</v>
      </c>
      <c r="JI42" s="109">
        <v>60.800000000000004</v>
      </c>
      <c r="JJ42" s="97">
        <v>105.60000000000001</v>
      </c>
      <c r="JK42" s="97">
        <v>69.600000000000009</v>
      </c>
      <c r="JL42" s="97">
        <v>153.60000000000002</v>
      </c>
      <c r="JM42" s="97">
        <v>132</v>
      </c>
      <c r="JN42" s="97">
        <v>46.400000000000006</v>
      </c>
      <c r="JO42" s="97">
        <v>100</v>
      </c>
      <c r="JP42" s="97">
        <v>104</v>
      </c>
      <c r="JQ42" s="97">
        <v>48.800000000000004</v>
      </c>
      <c r="JR42" s="97">
        <v>115.2</v>
      </c>
      <c r="JS42" s="97">
        <v>135.20000000000002</v>
      </c>
      <c r="JT42" s="97">
        <v>63.2</v>
      </c>
      <c r="JU42" s="35">
        <f t="shared" si="5"/>
        <v>1134.4000000000001</v>
      </c>
      <c r="JV42" s="40">
        <f t="shared" si="30"/>
        <v>1590.4</v>
      </c>
      <c r="JW42" s="26"/>
      <c r="JX42" s="93">
        <v>5</v>
      </c>
      <c r="JY42" s="93">
        <v>3</v>
      </c>
      <c r="JZ42" s="93">
        <v>4</v>
      </c>
      <c r="KA42" s="93">
        <v>28</v>
      </c>
      <c r="KB42" s="93">
        <v>8</v>
      </c>
      <c r="KC42" s="93">
        <v>6</v>
      </c>
      <c r="KD42" s="93">
        <v>13</v>
      </c>
      <c r="KE42" s="93">
        <v>11</v>
      </c>
      <c r="KF42" s="93">
        <v>3</v>
      </c>
      <c r="KG42" s="93">
        <v>9</v>
      </c>
      <c r="KH42" s="93">
        <v>48</v>
      </c>
      <c r="KI42" s="93">
        <v>0</v>
      </c>
      <c r="KJ42" s="38">
        <f t="shared" si="6"/>
        <v>138</v>
      </c>
      <c r="KK42" s="32">
        <v>10</v>
      </c>
      <c r="KL42" s="32">
        <v>9</v>
      </c>
      <c r="KM42" s="32">
        <v>12</v>
      </c>
      <c r="KN42" s="32">
        <v>15</v>
      </c>
      <c r="KO42" s="32">
        <v>14</v>
      </c>
      <c r="KP42" s="32">
        <v>19</v>
      </c>
      <c r="KQ42" s="32">
        <v>30</v>
      </c>
      <c r="KR42" s="32">
        <v>10</v>
      </c>
      <c r="KS42" s="32">
        <v>18</v>
      </c>
      <c r="KT42" s="32">
        <v>4</v>
      </c>
      <c r="KU42" s="32">
        <v>19</v>
      </c>
      <c r="KV42" s="32">
        <v>10</v>
      </c>
      <c r="KW42" s="38">
        <f t="shared" si="7"/>
        <v>170</v>
      </c>
      <c r="KX42" s="36">
        <f t="shared" si="31"/>
        <v>308</v>
      </c>
      <c r="KY42" s="26"/>
      <c r="KZ42" s="101">
        <v>24</v>
      </c>
      <c r="LA42" s="101">
        <v>37</v>
      </c>
      <c r="LB42" s="101">
        <v>22</v>
      </c>
      <c r="LC42" s="101">
        <v>29</v>
      </c>
      <c r="LD42" s="101">
        <v>22</v>
      </c>
      <c r="LE42" s="101">
        <v>15</v>
      </c>
      <c r="LF42" s="101">
        <v>20</v>
      </c>
      <c r="LG42" s="101">
        <v>10</v>
      </c>
      <c r="LH42" s="101">
        <v>3</v>
      </c>
      <c r="LI42" s="101">
        <v>12</v>
      </c>
      <c r="LJ42" s="101">
        <v>22</v>
      </c>
      <c r="LK42" s="115">
        <v>22</v>
      </c>
      <c r="LL42" s="38">
        <f t="shared" si="32"/>
        <v>238</v>
      </c>
      <c r="LM42" s="26"/>
      <c r="LN42" s="71">
        <v>11</v>
      </c>
      <c r="LO42" s="71">
        <v>15</v>
      </c>
      <c r="LP42" s="71">
        <v>15</v>
      </c>
      <c r="LQ42" s="71">
        <v>43</v>
      </c>
      <c r="LR42" s="71">
        <v>29</v>
      </c>
      <c r="LS42" s="71">
        <v>23</v>
      </c>
      <c r="LT42" s="71">
        <v>18</v>
      </c>
      <c r="LU42" s="45">
        <v>21</v>
      </c>
      <c r="LV42" s="45">
        <v>21</v>
      </c>
      <c r="LW42" s="45">
        <v>17</v>
      </c>
      <c r="LX42" s="45">
        <v>15</v>
      </c>
      <c r="LY42" s="45">
        <v>9</v>
      </c>
      <c r="LZ42" s="38">
        <f t="shared" si="8"/>
        <v>237</v>
      </c>
      <c r="MA42" s="26"/>
      <c r="MB42" s="45">
        <v>19</v>
      </c>
      <c r="MC42" s="45">
        <v>17</v>
      </c>
      <c r="MD42" s="45">
        <v>34</v>
      </c>
      <c r="ME42" s="45">
        <v>35</v>
      </c>
      <c r="MF42" s="45">
        <v>55</v>
      </c>
      <c r="MG42" s="45">
        <v>43</v>
      </c>
      <c r="MH42" s="45">
        <v>90</v>
      </c>
      <c r="MI42" s="45">
        <v>105</v>
      </c>
      <c r="MJ42" s="45">
        <v>56</v>
      </c>
      <c r="MK42" s="45">
        <v>35</v>
      </c>
      <c r="ML42" s="45">
        <v>35</v>
      </c>
      <c r="MM42" s="45">
        <v>51</v>
      </c>
      <c r="MN42" s="38">
        <f t="shared" si="9"/>
        <v>575</v>
      </c>
      <c r="MO42" s="32">
        <v>648</v>
      </c>
      <c r="MP42" s="32">
        <v>559</v>
      </c>
      <c r="MQ42" s="32">
        <v>913</v>
      </c>
      <c r="MR42" s="32">
        <v>763</v>
      </c>
      <c r="MS42" s="32">
        <v>472</v>
      </c>
      <c r="MT42" s="32">
        <v>400</v>
      </c>
      <c r="MU42" s="32">
        <v>323</v>
      </c>
      <c r="MV42" s="32">
        <v>209</v>
      </c>
      <c r="MW42" s="32">
        <v>155</v>
      </c>
      <c r="MX42" s="32">
        <v>174</v>
      </c>
      <c r="MY42" s="32">
        <v>36</v>
      </c>
      <c r="MZ42" s="32">
        <v>94</v>
      </c>
      <c r="NA42" s="38">
        <f t="shared" si="10"/>
        <v>4746</v>
      </c>
      <c r="NB42" s="36">
        <f t="shared" si="33"/>
        <v>5321</v>
      </c>
      <c r="NC42" s="26"/>
      <c r="ND42" s="32">
        <v>47</v>
      </c>
      <c r="NE42" s="32">
        <v>38</v>
      </c>
      <c r="NF42" s="32">
        <v>27</v>
      </c>
      <c r="NG42" s="32">
        <v>33</v>
      </c>
      <c r="NH42" s="32">
        <v>28</v>
      </c>
      <c r="NI42" s="32">
        <v>40</v>
      </c>
      <c r="NJ42" s="32">
        <v>36</v>
      </c>
      <c r="NK42" s="32">
        <v>24</v>
      </c>
      <c r="NL42" s="32">
        <v>37</v>
      </c>
      <c r="NM42" s="32">
        <v>25</v>
      </c>
      <c r="NN42" s="32">
        <v>34</v>
      </c>
      <c r="NO42" s="32">
        <v>51</v>
      </c>
      <c r="NP42" s="118">
        <f t="shared" si="11"/>
        <v>420</v>
      </c>
      <c r="NQ42" s="36">
        <f t="shared" si="34"/>
        <v>344</v>
      </c>
      <c r="NR42" s="36">
        <f t="shared" si="35"/>
        <v>6554</v>
      </c>
      <c r="NS42" s="36">
        <f t="shared" si="36"/>
        <v>16656.400000000001</v>
      </c>
      <c r="NT42" s="36">
        <f t="shared" si="37"/>
        <v>23554.400000000001</v>
      </c>
      <c r="NU42" s="18"/>
      <c r="NV42" s="18"/>
      <c r="NW42" s="18"/>
      <c r="NX42" s="19"/>
      <c r="NY42" s="19"/>
      <c r="NZ42" s="19"/>
      <c r="OA42" s="19"/>
      <c r="OB42" s="19"/>
      <c r="OC42" s="19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8"/>
      <c r="OR42" s="18"/>
      <c r="OS42" s="18"/>
      <c r="OT42" s="18"/>
      <c r="OU42" s="18"/>
      <c r="OV42" s="18"/>
      <c r="OW42" s="18"/>
      <c r="OX42" s="19"/>
      <c r="OY42" s="19"/>
      <c r="OZ42" s="19"/>
      <c r="PA42" s="19"/>
      <c r="PB42" s="19"/>
      <c r="PC42" s="19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8"/>
      <c r="PR42" s="18"/>
      <c r="PS42" s="18"/>
      <c r="PT42" s="18"/>
      <c r="PU42" s="18"/>
      <c r="PV42" s="18"/>
      <c r="PW42" s="18"/>
      <c r="PX42" s="19"/>
      <c r="PY42" s="19"/>
      <c r="PZ42" s="19"/>
      <c r="QA42" s="19"/>
      <c r="QB42" s="19"/>
      <c r="QC42" s="19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</row>
    <row r="43" spans="1:458" s="1" customFormat="1" ht="50.1" customHeight="1" x14ac:dyDescent="0.25">
      <c r="A43" s="120"/>
      <c r="B43" s="6" t="s">
        <v>20</v>
      </c>
      <c r="C43" s="23"/>
      <c r="D43" s="41">
        <f>SUM(D40:D42)</f>
        <v>2130</v>
      </c>
      <c r="E43" s="41">
        <f t="shared" ref="E43:O43" si="203">SUM(E40:E42)</f>
        <v>1577</v>
      </c>
      <c r="F43" s="41">
        <f t="shared" si="203"/>
        <v>2134</v>
      </c>
      <c r="G43" s="41">
        <f t="shared" si="203"/>
        <v>1990</v>
      </c>
      <c r="H43" s="41">
        <f t="shared" si="203"/>
        <v>2824</v>
      </c>
      <c r="I43" s="41">
        <f t="shared" si="203"/>
        <v>2511</v>
      </c>
      <c r="J43" s="41">
        <f t="shared" si="203"/>
        <v>2674</v>
      </c>
      <c r="K43" s="41">
        <f t="shared" si="203"/>
        <v>2117</v>
      </c>
      <c r="L43" s="41">
        <f t="shared" si="203"/>
        <v>2333</v>
      </c>
      <c r="M43" s="41">
        <f t="shared" si="203"/>
        <v>2653</v>
      </c>
      <c r="N43" s="41">
        <f t="shared" si="203"/>
        <v>2377</v>
      </c>
      <c r="O43" s="41">
        <f t="shared" si="203"/>
        <v>2474</v>
      </c>
      <c r="P43" s="38">
        <f t="shared" si="12"/>
        <v>27794</v>
      </c>
      <c r="Q43" s="45">
        <f>SUM(Q40:Q42)</f>
        <v>8353</v>
      </c>
      <c r="R43" s="45">
        <f t="shared" ref="R43:AB43" si="204">SUM(R40:R42)</f>
        <v>7656</v>
      </c>
      <c r="S43" s="45">
        <f t="shared" si="204"/>
        <v>7989</v>
      </c>
      <c r="T43" s="45">
        <f t="shared" si="204"/>
        <v>7355</v>
      </c>
      <c r="U43" s="45">
        <f t="shared" si="204"/>
        <v>7763</v>
      </c>
      <c r="V43" s="45">
        <f t="shared" si="204"/>
        <v>10660</v>
      </c>
      <c r="W43" s="45">
        <f t="shared" si="204"/>
        <v>9082</v>
      </c>
      <c r="X43" s="45">
        <f t="shared" si="204"/>
        <v>10246</v>
      </c>
      <c r="Y43" s="45">
        <f t="shared" si="204"/>
        <v>10371</v>
      </c>
      <c r="Z43" s="45">
        <f t="shared" si="204"/>
        <v>9955</v>
      </c>
      <c r="AA43" s="45">
        <f t="shared" si="204"/>
        <v>8554</v>
      </c>
      <c r="AB43" s="45">
        <f t="shared" si="204"/>
        <v>7836</v>
      </c>
      <c r="AC43" s="38">
        <f t="shared" si="38"/>
        <v>105820</v>
      </c>
      <c r="AD43" s="36">
        <f t="shared" si="13"/>
        <v>133614</v>
      </c>
      <c r="AE43" s="26"/>
      <c r="AF43" s="32">
        <f>SUM(AF40:AF42)</f>
        <v>227</v>
      </c>
      <c r="AG43" s="32">
        <f t="shared" ref="AG43:AQ43" si="205">SUM(AG40:AG42)</f>
        <v>180</v>
      </c>
      <c r="AH43" s="32">
        <f t="shared" si="205"/>
        <v>220</v>
      </c>
      <c r="AI43" s="32">
        <f t="shared" si="205"/>
        <v>181</v>
      </c>
      <c r="AJ43" s="32">
        <f t="shared" si="205"/>
        <v>227</v>
      </c>
      <c r="AK43" s="32">
        <f t="shared" si="205"/>
        <v>275</v>
      </c>
      <c r="AL43" s="32">
        <f t="shared" si="205"/>
        <v>256</v>
      </c>
      <c r="AM43" s="32">
        <f t="shared" si="205"/>
        <v>214</v>
      </c>
      <c r="AN43" s="32">
        <f t="shared" si="205"/>
        <v>239</v>
      </c>
      <c r="AO43" s="32">
        <f t="shared" si="205"/>
        <v>224</v>
      </c>
      <c r="AP43" s="32">
        <f t="shared" si="205"/>
        <v>273</v>
      </c>
      <c r="AQ43" s="32">
        <f t="shared" si="205"/>
        <v>183</v>
      </c>
      <c r="AR43" s="38">
        <f t="shared" si="14"/>
        <v>2699</v>
      </c>
      <c r="AS43" s="32">
        <f>SUM(AS40:AS42)</f>
        <v>857</v>
      </c>
      <c r="AT43" s="32">
        <f t="shared" ref="AT43:BD43" si="206">SUM(AT40:AT42)</f>
        <v>783</v>
      </c>
      <c r="AU43" s="32">
        <f t="shared" si="206"/>
        <v>996</v>
      </c>
      <c r="AV43" s="32">
        <f t="shared" si="206"/>
        <v>1035</v>
      </c>
      <c r="AW43" s="32">
        <f t="shared" si="206"/>
        <v>1018</v>
      </c>
      <c r="AX43" s="32">
        <f t="shared" si="206"/>
        <v>1148</v>
      </c>
      <c r="AY43" s="32">
        <f t="shared" si="206"/>
        <v>959</v>
      </c>
      <c r="AZ43" s="32">
        <f t="shared" si="206"/>
        <v>1039</v>
      </c>
      <c r="BA43" s="32">
        <f t="shared" si="206"/>
        <v>1354</v>
      </c>
      <c r="BB43" s="32">
        <f t="shared" si="206"/>
        <v>1258</v>
      </c>
      <c r="BC43" s="32">
        <f t="shared" si="206"/>
        <v>1175</v>
      </c>
      <c r="BD43" s="32">
        <f t="shared" si="206"/>
        <v>1056</v>
      </c>
      <c r="BE43" s="38">
        <f t="shared" si="15"/>
        <v>12678</v>
      </c>
      <c r="BF43" s="36">
        <f t="shared" si="16"/>
        <v>15377</v>
      </c>
      <c r="BG43" s="26"/>
      <c r="BH43" s="41">
        <f>SUM(BH40:BH42)</f>
        <v>41</v>
      </c>
      <c r="BI43" s="41">
        <f t="shared" ref="BI43:CF43" si="207">SUM(BI40:BI42)</f>
        <v>46</v>
      </c>
      <c r="BJ43" s="41">
        <f t="shared" si="207"/>
        <v>38</v>
      </c>
      <c r="BK43" s="41">
        <f t="shared" si="207"/>
        <v>29</v>
      </c>
      <c r="BL43" s="41">
        <f t="shared" si="207"/>
        <v>45</v>
      </c>
      <c r="BM43" s="41">
        <f t="shared" si="207"/>
        <v>87</v>
      </c>
      <c r="BN43" s="41">
        <f t="shared" si="207"/>
        <v>47</v>
      </c>
      <c r="BO43" s="41">
        <f t="shared" si="207"/>
        <v>61</v>
      </c>
      <c r="BP43" s="41">
        <f t="shared" si="207"/>
        <v>88</v>
      </c>
      <c r="BQ43" s="41">
        <f t="shared" si="207"/>
        <v>79</v>
      </c>
      <c r="BR43" s="41">
        <f t="shared" si="207"/>
        <v>104</v>
      </c>
      <c r="BS43" s="41">
        <f t="shared" si="207"/>
        <v>83</v>
      </c>
      <c r="BT43" s="38">
        <f t="shared" si="17"/>
        <v>748</v>
      </c>
      <c r="BU43" s="41">
        <f t="shared" si="207"/>
        <v>716</v>
      </c>
      <c r="BV43" s="41">
        <f t="shared" si="207"/>
        <v>785</v>
      </c>
      <c r="BW43" s="41">
        <f t="shared" si="207"/>
        <v>715</v>
      </c>
      <c r="BX43" s="41">
        <f t="shared" si="207"/>
        <v>687</v>
      </c>
      <c r="BY43" s="41">
        <f t="shared" si="207"/>
        <v>769</v>
      </c>
      <c r="BZ43" s="41">
        <f t="shared" si="207"/>
        <v>981</v>
      </c>
      <c r="CA43" s="41">
        <f t="shared" si="207"/>
        <v>990</v>
      </c>
      <c r="CB43" s="41">
        <f t="shared" si="207"/>
        <v>966</v>
      </c>
      <c r="CC43" s="41">
        <f t="shared" si="207"/>
        <v>912</v>
      </c>
      <c r="CD43" s="41">
        <f t="shared" si="207"/>
        <v>1129</v>
      </c>
      <c r="CE43" s="41">
        <f t="shared" si="207"/>
        <v>994</v>
      </c>
      <c r="CF43" s="41">
        <f t="shared" si="207"/>
        <v>1059</v>
      </c>
      <c r="CG43" s="38">
        <f t="shared" si="18"/>
        <v>10703</v>
      </c>
      <c r="CH43" s="36">
        <f t="shared" si="19"/>
        <v>11451</v>
      </c>
      <c r="CI43" s="26"/>
      <c r="CJ43" s="32">
        <f>SUM(CJ40:CJ42)</f>
        <v>499</v>
      </c>
      <c r="CK43" s="32">
        <f t="shared" ref="CK43:CU43" si="208">SUM(CK40:CK42)</f>
        <v>376</v>
      </c>
      <c r="CL43" s="32">
        <f t="shared" si="208"/>
        <v>443</v>
      </c>
      <c r="CM43" s="32">
        <f t="shared" si="208"/>
        <v>417</v>
      </c>
      <c r="CN43" s="32">
        <f t="shared" si="208"/>
        <v>570</v>
      </c>
      <c r="CO43" s="32">
        <f t="shared" si="208"/>
        <v>645</v>
      </c>
      <c r="CP43" s="32">
        <f t="shared" si="208"/>
        <v>802</v>
      </c>
      <c r="CQ43" s="32">
        <f t="shared" si="208"/>
        <v>797</v>
      </c>
      <c r="CR43" s="32">
        <f t="shared" si="208"/>
        <v>822</v>
      </c>
      <c r="CS43" s="32">
        <f t="shared" si="208"/>
        <v>743</v>
      </c>
      <c r="CT43" s="32">
        <f t="shared" si="208"/>
        <v>621</v>
      </c>
      <c r="CU43" s="32">
        <f t="shared" si="208"/>
        <v>765</v>
      </c>
      <c r="CV43" s="38">
        <f t="shared" si="20"/>
        <v>7500</v>
      </c>
      <c r="CW43" s="32">
        <f t="shared" ref="CW43" si="209">SUM(CW40:CW42)</f>
        <v>1449</v>
      </c>
      <c r="CX43" s="32">
        <f t="shared" ref="CX43" si="210">SUM(CX40:CX42)</f>
        <v>1524</v>
      </c>
      <c r="CY43" s="32">
        <f t="shared" ref="CY43" si="211">SUM(CY40:CY42)</f>
        <v>1405</v>
      </c>
      <c r="CZ43" s="32">
        <f t="shared" ref="CZ43" si="212">SUM(CZ40:CZ42)</f>
        <v>1535</v>
      </c>
      <c r="DA43" s="32">
        <f t="shared" ref="DA43" si="213">SUM(DA40:DA42)</f>
        <v>1701</v>
      </c>
      <c r="DB43" s="32">
        <f t="shared" ref="DB43" si="214">SUM(DB40:DB42)</f>
        <v>1709</v>
      </c>
      <c r="DC43" s="32">
        <f t="shared" ref="DC43" si="215">SUM(DC40:DC42)</f>
        <v>1880</v>
      </c>
      <c r="DD43" s="32">
        <f t="shared" ref="DD43" si="216">SUM(DD40:DD42)</f>
        <v>1757</v>
      </c>
      <c r="DE43" s="32">
        <f t="shared" ref="DE43" si="217">SUM(DE40:DE42)</f>
        <v>1744</v>
      </c>
      <c r="DF43" s="32">
        <f t="shared" ref="DF43" si="218">SUM(DF40:DF42)</f>
        <v>1737</v>
      </c>
      <c r="DG43" s="32">
        <f t="shared" ref="DG43" si="219">SUM(DG40:DG42)</f>
        <v>1519</v>
      </c>
      <c r="DH43" s="32">
        <f t="shared" ref="DH43" si="220">SUM(DH40:DH42)</f>
        <v>1438</v>
      </c>
      <c r="DI43" s="38">
        <f t="shared" si="21"/>
        <v>19398</v>
      </c>
      <c r="DJ43" s="36">
        <f t="shared" si="22"/>
        <v>26898</v>
      </c>
      <c r="DK43" s="26"/>
      <c r="DL43" s="32">
        <f t="shared" ref="DL43:DW43" si="221">SUM(DL40:DL42)</f>
        <v>434</v>
      </c>
      <c r="DM43" s="32">
        <f t="shared" si="221"/>
        <v>437</v>
      </c>
      <c r="DN43" s="32">
        <f t="shared" si="221"/>
        <v>581</v>
      </c>
      <c r="DO43" s="32">
        <f t="shared" si="221"/>
        <v>497</v>
      </c>
      <c r="DP43" s="32">
        <f t="shared" si="221"/>
        <v>615</v>
      </c>
      <c r="DQ43" s="32">
        <f t="shared" si="221"/>
        <v>667</v>
      </c>
      <c r="DR43" s="32">
        <f t="shared" si="221"/>
        <v>724</v>
      </c>
      <c r="DS43" s="32">
        <f t="shared" si="221"/>
        <v>755</v>
      </c>
      <c r="DT43" s="32">
        <f t="shared" si="221"/>
        <v>785</v>
      </c>
      <c r="DU43" s="32">
        <f t="shared" si="221"/>
        <v>821</v>
      </c>
      <c r="DV43" s="32">
        <f t="shared" si="221"/>
        <v>831</v>
      </c>
      <c r="DW43" s="32">
        <f t="shared" si="221"/>
        <v>654</v>
      </c>
      <c r="DX43" s="38">
        <f t="shared" si="0"/>
        <v>7801</v>
      </c>
      <c r="DY43" s="62">
        <f t="shared" ref="DY43:EJ43" si="222">SUM(DY40:DY42)</f>
        <v>1557</v>
      </c>
      <c r="DZ43" s="62">
        <f t="shared" si="222"/>
        <v>1155</v>
      </c>
      <c r="EA43" s="62">
        <f t="shared" si="222"/>
        <v>1522</v>
      </c>
      <c r="EB43" s="62">
        <f t="shared" si="222"/>
        <v>1495</v>
      </c>
      <c r="EC43" s="62">
        <f t="shared" si="222"/>
        <v>1422</v>
      </c>
      <c r="ED43" s="62">
        <f t="shared" si="222"/>
        <v>1553</v>
      </c>
      <c r="EE43" s="62">
        <f t="shared" si="222"/>
        <v>1620</v>
      </c>
      <c r="EF43" s="62">
        <f t="shared" si="222"/>
        <v>1517</v>
      </c>
      <c r="EG43" s="62">
        <f t="shared" si="222"/>
        <v>1612</v>
      </c>
      <c r="EH43" s="62">
        <f t="shared" si="222"/>
        <v>1755</v>
      </c>
      <c r="EI43" s="62">
        <f t="shared" si="222"/>
        <v>2017</v>
      </c>
      <c r="EJ43" s="62">
        <f t="shared" si="222"/>
        <v>1301</v>
      </c>
      <c r="EK43" s="38">
        <f t="shared" si="23"/>
        <v>18526</v>
      </c>
      <c r="EL43" s="36">
        <f t="shared" si="1"/>
        <v>26327</v>
      </c>
      <c r="EM43" s="26"/>
      <c r="EN43" s="32">
        <f t="shared" ref="EN43:EY43" si="223">SUM(EN40:EN42)</f>
        <v>2072</v>
      </c>
      <c r="EO43" s="32">
        <f t="shared" si="223"/>
        <v>1625</v>
      </c>
      <c r="EP43" s="32">
        <f t="shared" si="223"/>
        <v>1959</v>
      </c>
      <c r="EQ43" s="32">
        <f t="shared" si="223"/>
        <v>1751</v>
      </c>
      <c r="ER43" s="32">
        <f t="shared" si="223"/>
        <v>2013</v>
      </c>
      <c r="ES43" s="32">
        <f t="shared" si="223"/>
        <v>2200</v>
      </c>
      <c r="ET43" s="32">
        <f t="shared" si="223"/>
        <v>2115</v>
      </c>
      <c r="EU43" s="32">
        <f t="shared" si="223"/>
        <v>2155</v>
      </c>
      <c r="EV43" s="32">
        <f t="shared" si="223"/>
        <v>2170</v>
      </c>
      <c r="EW43" s="32">
        <f t="shared" si="223"/>
        <v>2258</v>
      </c>
      <c r="EX43" s="32">
        <f t="shared" si="223"/>
        <v>2012</v>
      </c>
      <c r="EY43" s="32">
        <f t="shared" si="223"/>
        <v>1784</v>
      </c>
      <c r="EZ43" s="38">
        <f t="shared" si="24"/>
        <v>24114</v>
      </c>
      <c r="FA43" s="26"/>
      <c r="FB43" s="104">
        <f>SUM(FB40:FB42)</f>
        <v>3026</v>
      </c>
      <c r="FC43" s="104">
        <f t="shared" ref="FC43:FM43" si="224">SUM(FC40:FC42)</f>
        <v>2581</v>
      </c>
      <c r="FD43" s="104">
        <f t="shared" si="224"/>
        <v>2962</v>
      </c>
      <c r="FE43" s="104">
        <f t="shared" si="224"/>
        <v>2413</v>
      </c>
      <c r="FF43" s="104">
        <f t="shared" si="224"/>
        <v>3200</v>
      </c>
      <c r="FG43" s="104">
        <f t="shared" si="224"/>
        <v>3366</v>
      </c>
      <c r="FH43" s="104">
        <f t="shared" si="224"/>
        <v>3404</v>
      </c>
      <c r="FI43" s="104">
        <f t="shared" si="224"/>
        <v>3717</v>
      </c>
      <c r="FJ43" s="104">
        <f t="shared" si="224"/>
        <v>3495</v>
      </c>
      <c r="FK43" s="104">
        <f t="shared" si="224"/>
        <v>3729</v>
      </c>
      <c r="FL43" s="104">
        <f t="shared" si="224"/>
        <v>3422</v>
      </c>
      <c r="FM43" s="104">
        <f t="shared" si="224"/>
        <v>3204</v>
      </c>
      <c r="FN43" s="38">
        <f t="shared" si="25"/>
        <v>38519</v>
      </c>
      <c r="FO43" s="26"/>
      <c r="FP43" s="32">
        <f t="shared" ref="FP43:GA43" si="225">SUM(FP40:FP42)</f>
        <v>1311</v>
      </c>
      <c r="FQ43" s="32">
        <f t="shared" si="225"/>
        <v>851</v>
      </c>
      <c r="FR43" s="32">
        <f t="shared" si="225"/>
        <v>971</v>
      </c>
      <c r="FS43" s="32">
        <f t="shared" si="225"/>
        <v>866</v>
      </c>
      <c r="FT43" s="32">
        <f t="shared" si="225"/>
        <v>1001</v>
      </c>
      <c r="FU43" s="32">
        <f t="shared" si="225"/>
        <v>1149</v>
      </c>
      <c r="FV43" s="32">
        <f t="shared" si="225"/>
        <v>1155</v>
      </c>
      <c r="FW43" s="32">
        <f t="shared" si="225"/>
        <v>1196</v>
      </c>
      <c r="FX43" s="32">
        <f t="shared" si="225"/>
        <v>1211</v>
      </c>
      <c r="FY43" s="32">
        <f t="shared" si="225"/>
        <v>1294</v>
      </c>
      <c r="FZ43" s="32">
        <f t="shared" si="225"/>
        <v>968</v>
      </c>
      <c r="GA43" s="32">
        <f t="shared" si="225"/>
        <v>966</v>
      </c>
      <c r="GB43" s="38">
        <f t="shared" si="26"/>
        <v>12939</v>
      </c>
      <c r="GC43" s="26"/>
      <c r="GD43" s="101">
        <f t="shared" ref="GD43:GO43" si="226">SUM(GD40:GD42)</f>
        <v>2018</v>
      </c>
      <c r="GE43" s="101">
        <f t="shared" si="226"/>
        <v>1521</v>
      </c>
      <c r="GF43" s="101">
        <f t="shared" si="226"/>
        <v>1449</v>
      </c>
      <c r="GG43" s="101">
        <f t="shared" si="226"/>
        <v>1656</v>
      </c>
      <c r="GH43" s="101">
        <f t="shared" si="226"/>
        <v>1686</v>
      </c>
      <c r="GI43" s="101">
        <f t="shared" si="226"/>
        <v>1784</v>
      </c>
      <c r="GJ43" s="101">
        <f t="shared" si="226"/>
        <v>2073</v>
      </c>
      <c r="GK43" s="101">
        <f t="shared" si="226"/>
        <v>1800</v>
      </c>
      <c r="GL43" s="101">
        <f t="shared" si="226"/>
        <v>1763</v>
      </c>
      <c r="GM43" s="101">
        <f t="shared" si="226"/>
        <v>2249</v>
      </c>
      <c r="GN43" s="101">
        <f t="shared" si="226"/>
        <v>2078</v>
      </c>
      <c r="GO43" s="101">
        <f t="shared" si="226"/>
        <v>1669</v>
      </c>
      <c r="GP43" s="38">
        <f t="shared" si="27"/>
        <v>21746</v>
      </c>
      <c r="GQ43" s="26"/>
      <c r="GR43" s="32">
        <f t="shared" ref="GR43:HC43" si="227">SUM(GR40:GR42)</f>
        <v>920</v>
      </c>
      <c r="GS43" s="32">
        <f t="shared" si="227"/>
        <v>631</v>
      </c>
      <c r="GT43" s="32">
        <f t="shared" si="227"/>
        <v>773</v>
      </c>
      <c r="GU43" s="32">
        <f t="shared" si="227"/>
        <v>606</v>
      </c>
      <c r="GV43" s="32">
        <f t="shared" si="227"/>
        <v>713</v>
      </c>
      <c r="GW43" s="32">
        <f t="shared" si="227"/>
        <v>877</v>
      </c>
      <c r="GX43" s="32">
        <f t="shared" si="227"/>
        <v>878</v>
      </c>
      <c r="GY43" s="32">
        <f t="shared" si="227"/>
        <v>851</v>
      </c>
      <c r="GZ43" s="32">
        <f t="shared" si="227"/>
        <v>1018</v>
      </c>
      <c r="HA43" s="32">
        <f t="shared" si="227"/>
        <v>862</v>
      </c>
      <c r="HB43" s="32">
        <f t="shared" si="227"/>
        <v>790</v>
      </c>
      <c r="HC43" s="32">
        <f t="shared" si="227"/>
        <v>699</v>
      </c>
      <c r="HD43" s="38">
        <f t="shared" si="28"/>
        <v>9618</v>
      </c>
      <c r="HE43" s="26"/>
      <c r="HF43" s="54">
        <f>SUM(HF40:HF42)</f>
        <v>2958</v>
      </c>
      <c r="HG43" s="54">
        <f t="shared" ref="HG43:HQ43" si="228">SUM(HG40:HG42)</f>
        <v>3126</v>
      </c>
      <c r="HH43" s="54">
        <f t="shared" si="228"/>
        <v>2976</v>
      </c>
      <c r="HI43" s="54">
        <f t="shared" si="228"/>
        <v>2966</v>
      </c>
      <c r="HJ43" s="54">
        <f t="shared" si="228"/>
        <v>3277</v>
      </c>
      <c r="HK43" s="54">
        <f t="shared" si="228"/>
        <v>3783</v>
      </c>
      <c r="HL43" s="54">
        <f t="shared" si="228"/>
        <v>3803</v>
      </c>
      <c r="HM43" s="54">
        <f t="shared" si="228"/>
        <v>3786</v>
      </c>
      <c r="HN43" s="54">
        <f t="shared" si="228"/>
        <v>3714</v>
      </c>
      <c r="HO43" s="54">
        <f t="shared" si="228"/>
        <v>4023</v>
      </c>
      <c r="HP43" s="54">
        <f t="shared" si="228"/>
        <v>3915</v>
      </c>
      <c r="HQ43" s="54">
        <f t="shared" si="228"/>
        <v>3313</v>
      </c>
      <c r="HR43" s="38">
        <f t="shared" si="29"/>
        <v>41640</v>
      </c>
      <c r="HS43" s="26"/>
      <c r="HT43" s="32">
        <f t="shared" ref="HT43:IE43" si="229">SUM(HT40:HT42)</f>
        <v>225</v>
      </c>
      <c r="HU43" s="32">
        <f t="shared" si="229"/>
        <v>237</v>
      </c>
      <c r="HV43" s="32">
        <f t="shared" si="229"/>
        <v>242</v>
      </c>
      <c r="HW43" s="32">
        <f t="shared" si="229"/>
        <v>243</v>
      </c>
      <c r="HX43" s="32">
        <f t="shared" si="229"/>
        <v>244</v>
      </c>
      <c r="HY43" s="32">
        <f t="shared" si="229"/>
        <v>237</v>
      </c>
      <c r="HZ43" s="32">
        <f t="shared" si="229"/>
        <v>262</v>
      </c>
      <c r="IA43" s="32">
        <f t="shared" si="229"/>
        <v>225</v>
      </c>
      <c r="IB43" s="32">
        <f t="shared" si="229"/>
        <v>295</v>
      </c>
      <c r="IC43" s="32">
        <f t="shared" si="229"/>
        <v>237</v>
      </c>
      <c r="ID43" s="32">
        <f t="shared" si="229"/>
        <v>196</v>
      </c>
      <c r="IE43" s="69">
        <f t="shared" si="229"/>
        <v>167</v>
      </c>
      <c r="IF43" s="38">
        <f t="shared" si="2"/>
        <v>2810</v>
      </c>
      <c r="IG43" s="104">
        <f>SUM(IG40:IG42)</f>
        <v>1558</v>
      </c>
      <c r="IH43" s="104">
        <f t="shared" ref="IH43:IR43" si="230">SUM(IH40:IH42)</f>
        <v>1475</v>
      </c>
      <c r="II43" s="104">
        <f t="shared" si="230"/>
        <v>1671</v>
      </c>
      <c r="IJ43" s="104">
        <f t="shared" si="230"/>
        <v>1455</v>
      </c>
      <c r="IK43" s="104">
        <f t="shared" si="230"/>
        <v>1460</v>
      </c>
      <c r="IL43" s="104">
        <f t="shared" si="230"/>
        <v>1899</v>
      </c>
      <c r="IM43" s="104">
        <f t="shared" si="230"/>
        <v>1612</v>
      </c>
      <c r="IN43" s="104">
        <f t="shared" si="230"/>
        <v>1884</v>
      </c>
      <c r="IO43" s="104">
        <f t="shared" si="230"/>
        <v>1721</v>
      </c>
      <c r="IP43" s="104">
        <f t="shared" si="230"/>
        <v>1770</v>
      </c>
      <c r="IQ43" s="104">
        <f t="shared" si="230"/>
        <v>1831</v>
      </c>
      <c r="IR43" s="107">
        <f t="shared" si="230"/>
        <v>1604</v>
      </c>
      <c r="IS43" s="38">
        <f t="shared" si="3"/>
        <v>19940</v>
      </c>
      <c r="IT43" s="36">
        <f t="shared" si="39"/>
        <v>22750</v>
      </c>
      <c r="IU43" s="26"/>
      <c r="IV43" s="32">
        <f>SUM(IV40:IV42)</f>
        <v>580</v>
      </c>
      <c r="IW43" s="32">
        <f t="shared" ref="IW43:JG43" si="231">SUM(IW40:IW42)</f>
        <v>450</v>
      </c>
      <c r="IX43" s="32">
        <f t="shared" si="231"/>
        <v>550</v>
      </c>
      <c r="IY43" s="32">
        <f t="shared" si="231"/>
        <v>459</v>
      </c>
      <c r="IZ43" s="32">
        <f t="shared" si="231"/>
        <v>440</v>
      </c>
      <c r="JA43" s="32">
        <f t="shared" si="231"/>
        <v>550</v>
      </c>
      <c r="JB43" s="32">
        <f t="shared" si="231"/>
        <v>477</v>
      </c>
      <c r="JC43" s="32">
        <f t="shared" si="231"/>
        <v>554</v>
      </c>
      <c r="JD43" s="32">
        <f t="shared" si="231"/>
        <v>706</v>
      </c>
      <c r="JE43" s="32">
        <f t="shared" si="231"/>
        <v>706</v>
      </c>
      <c r="JF43" s="32">
        <f t="shared" si="231"/>
        <v>630</v>
      </c>
      <c r="JG43" s="32">
        <f t="shared" si="231"/>
        <v>706</v>
      </c>
      <c r="JH43" s="38">
        <f t="shared" si="4"/>
        <v>6808</v>
      </c>
      <c r="JI43" s="110">
        <f t="shared" ref="JI43:JT43" si="232">SUM(JI40:JI42)</f>
        <v>3396.8</v>
      </c>
      <c r="JJ43" s="32">
        <f t="shared" si="232"/>
        <v>2409.6</v>
      </c>
      <c r="JK43" s="32">
        <f t="shared" si="232"/>
        <v>2288.8000000000002</v>
      </c>
      <c r="JL43" s="32">
        <f t="shared" si="232"/>
        <v>2169.6</v>
      </c>
      <c r="JM43" s="32">
        <f t="shared" si="232"/>
        <v>2255.1999999999998</v>
      </c>
      <c r="JN43" s="32">
        <f t="shared" si="232"/>
        <v>2613.6</v>
      </c>
      <c r="JO43" s="32">
        <f t="shared" si="232"/>
        <v>2602.4</v>
      </c>
      <c r="JP43" s="32">
        <f t="shared" si="232"/>
        <v>2324.8000000000002</v>
      </c>
      <c r="JQ43" s="32">
        <f t="shared" si="232"/>
        <v>2682.4</v>
      </c>
      <c r="JR43" s="32">
        <f t="shared" si="232"/>
        <v>2960.8</v>
      </c>
      <c r="JS43" s="32">
        <f t="shared" si="232"/>
        <v>2882.4</v>
      </c>
      <c r="JT43" s="32">
        <f t="shared" si="232"/>
        <v>2155.1999999999998</v>
      </c>
      <c r="JU43" s="35">
        <f t="shared" si="5"/>
        <v>30741.600000000002</v>
      </c>
      <c r="JV43" s="40">
        <f t="shared" si="30"/>
        <v>37549.600000000006</v>
      </c>
      <c r="JW43" s="26"/>
      <c r="JX43" s="32">
        <f t="shared" ref="JX43:KI43" si="233">SUM(JX40:JX42)</f>
        <v>305</v>
      </c>
      <c r="JY43" s="32">
        <f t="shared" si="233"/>
        <v>247</v>
      </c>
      <c r="JZ43" s="32">
        <f t="shared" si="233"/>
        <v>326</v>
      </c>
      <c r="KA43" s="32">
        <f t="shared" si="233"/>
        <v>282</v>
      </c>
      <c r="KB43" s="32">
        <f t="shared" si="233"/>
        <v>247</v>
      </c>
      <c r="KC43" s="32">
        <f t="shared" si="233"/>
        <v>305</v>
      </c>
      <c r="KD43" s="32">
        <f t="shared" si="233"/>
        <v>309</v>
      </c>
      <c r="KE43" s="32">
        <f t="shared" si="233"/>
        <v>391</v>
      </c>
      <c r="KF43" s="32">
        <f t="shared" si="233"/>
        <v>346</v>
      </c>
      <c r="KG43" s="32">
        <f t="shared" si="233"/>
        <v>326</v>
      </c>
      <c r="KH43" s="32">
        <f t="shared" si="233"/>
        <v>409</v>
      </c>
      <c r="KI43" s="32">
        <f t="shared" si="233"/>
        <v>305</v>
      </c>
      <c r="KJ43" s="38">
        <f t="shared" si="6"/>
        <v>3798</v>
      </c>
      <c r="KK43" s="32">
        <f t="shared" ref="KK43:KV43" si="234">SUM(KK40:KK42)</f>
        <v>1241</v>
      </c>
      <c r="KL43" s="32">
        <f t="shared" si="234"/>
        <v>953</v>
      </c>
      <c r="KM43" s="32">
        <f t="shared" si="234"/>
        <v>1052</v>
      </c>
      <c r="KN43" s="32">
        <f t="shared" si="234"/>
        <v>917</v>
      </c>
      <c r="KO43" s="32">
        <f t="shared" si="234"/>
        <v>1085</v>
      </c>
      <c r="KP43" s="32">
        <f t="shared" si="234"/>
        <v>1056</v>
      </c>
      <c r="KQ43" s="32">
        <f t="shared" si="234"/>
        <v>1105</v>
      </c>
      <c r="KR43" s="32">
        <f t="shared" si="234"/>
        <v>1215</v>
      </c>
      <c r="KS43" s="32">
        <f t="shared" si="234"/>
        <v>1427</v>
      </c>
      <c r="KT43" s="32">
        <f t="shared" si="234"/>
        <v>1410</v>
      </c>
      <c r="KU43" s="32">
        <f t="shared" si="234"/>
        <v>1367</v>
      </c>
      <c r="KV43" s="32">
        <f t="shared" si="234"/>
        <v>1241</v>
      </c>
      <c r="KW43" s="38">
        <f t="shared" si="7"/>
        <v>14069</v>
      </c>
      <c r="KX43" s="36">
        <f t="shared" si="31"/>
        <v>17867</v>
      </c>
      <c r="KY43" s="26"/>
      <c r="KZ43" s="101">
        <f t="shared" ref="KZ43:LK43" si="235">SUM(KZ40:KZ42)</f>
        <v>854</v>
      </c>
      <c r="LA43" s="101">
        <f t="shared" si="235"/>
        <v>842</v>
      </c>
      <c r="LB43" s="101">
        <f t="shared" si="235"/>
        <v>830</v>
      </c>
      <c r="LC43" s="101">
        <f t="shared" si="235"/>
        <v>852</v>
      </c>
      <c r="LD43" s="101">
        <f t="shared" si="235"/>
        <v>1114</v>
      </c>
      <c r="LE43" s="101">
        <f t="shared" si="235"/>
        <v>1196</v>
      </c>
      <c r="LF43" s="101">
        <f t="shared" si="235"/>
        <v>1277</v>
      </c>
      <c r="LG43" s="101">
        <f t="shared" si="235"/>
        <v>1222</v>
      </c>
      <c r="LH43" s="101">
        <f t="shared" si="235"/>
        <v>1153</v>
      </c>
      <c r="LI43" s="101">
        <f t="shared" si="235"/>
        <v>1308</v>
      </c>
      <c r="LJ43" s="101">
        <f t="shared" si="235"/>
        <v>1269</v>
      </c>
      <c r="LK43" s="115">
        <f t="shared" si="235"/>
        <v>1277</v>
      </c>
      <c r="LL43" s="38">
        <f t="shared" si="32"/>
        <v>13194</v>
      </c>
      <c r="LM43" s="26"/>
      <c r="LN43" s="45">
        <f>SUM(LN40:LN42)</f>
        <v>3972</v>
      </c>
      <c r="LO43" s="45">
        <f t="shared" ref="LO43:LY43" si="236">SUM(LO40:LO42)</f>
        <v>3528</v>
      </c>
      <c r="LP43" s="45">
        <f t="shared" si="236"/>
        <v>4180</v>
      </c>
      <c r="LQ43" s="45">
        <f t="shared" si="236"/>
        <v>3704</v>
      </c>
      <c r="LR43" s="45">
        <f t="shared" si="236"/>
        <v>4745</v>
      </c>
      <c r="LS43" s="45">
        <f t="shared" si="236"/>
        <v>4459</v>
      </c>
      <c r="LT43" s="45">
        <f t="shared" si="236"/>
        <v>4452</v>
      </c>
      <c r="LU43" s="45">
        <f t="shared" si="236"/>
        <v>4576</v>
      </c>
      <c r="LV43" s="45">
        <f t="shared" si="236"/>
        <v>4633</v>
      </c>
      <c r="LW43" s="45">
        <f t="shared" si="236"/>
        <v>5020</v>
      </c>
      <c r="LX43" s="45">
        <f t="shared" si="236"/>
        <v>4778</v>
      </c>
      <c r="LY43" s="45">
        <f t="shared" si="236"/>
        <v>4614</v>
      </c>
      <c r="LZ43" s="38">
        <f t="shared" si="8"/>
        <v>52661</v>
      </c>
      <c r="MA43" s="26"/>
      <c r="MB43" s="45">
        <f>SUM(MB40:MB42)</f>
        <v>2701</v>
      </c>
      <c r="MC43" s="45">
        <f t="shared" ref="MC43:MM43" si="237">SUM(MC40:MC42)</f>
        <v>2364</v>
      </c>
      <c r="MD43" s="45">
        <f t="shared" si="237"/>
        <v>3333</v>
      </c>
      <c r="ME43" s="45">
        <f t="shared" si="237"/>
        <v>3537</v>
      </c>
      <c r="MF43" s="45">
        <f t="shared" si="237"/>
        <v>3847</v>
      </c>
      <c r="MG43" s="45">
        <f t="shared" si="237"/>
        <v>3961</v>
      </c>
      <c r="MH43" s="45">
        <f t="shared" si="237"/>
        <v>4256</v>
      </c>
      <c r="MI43" s="45">
        <f t="shared" si="237"/>
        <v>4949</v>
      </c>
      <c r="MJ43" s="45">
        <f t="shared" si="237"/>
        <v>5127</v>
      </c>
      <c r="MK43" s="45">
        <f t="shared" si="237"/>
        <v>4418</v>
      </c>
      <c r="ML43" s="45">
        <f t="shared" si="237"/>
        <v>4785</v>
      </c>
      <c r="MM43" s="45">
        <f t="shared" si="237"/>
        <v>3918</v>
      </c>
      <c r="MN43" s="38">
        <f t="shared" si="9"/>
        <v>47196</v>
      </c>
      <c r="MO43" s="32">
        <f t="shared" ref="MO43:MZ43" si="238">SUM(MO40:MO42)</f>
        <v>5495</v>
      </c>
      <c r="MP43" s="32">
        <f t="shared" si="238"/>
        <v>4125</v>
      </c>
      <c r="MQ43" s="32">
        <f t="shared" si="238"/>
        <v>5431</v>
      </c>
      <c r="MR43" s="32">
        <f t="shared" si="238"/>
        <v>4247</v>
      </c>
      <c r="MS43" s="32">
        <f t="shared" si="238"/>
        <v>4736</v>
      </c>
      <c r="MT43" s="32">
        <f t="shared" si="238"/>
        <v>5751</v>
      </c>
      <c r="MU43" s="32">
        <f t="shared" si="238"/>
        <v>4685</v>
      </c>
      <c r="MV43" s="32">
        <f t="shared" si="238"/>
        <v>7444</v>
      </c>
      <c r="MW43" s="32">
        <f t="shared" si="238"/>
        <v>7315</v>
      </c>
      <c r="MX43" s="32">
        <f t="shared" si="238"/>
        <v>8284</v>
      </c>
      <c r="MY43" s="32">
        <f t="shared" si="238"/>
        <v>7674</v>
      </c>
      <c r="MZ43" s="32">
        <f t="shared" si="238"/>
        <v>6539</v>
      </c>
      <c r="NA43" s="38">
        <f t="shared" si="10"/>
        <v>71726</v>
      </c>
      <c r="NB43" s="36">
        <f t="shared" si="33"/>
        <v>118922</v>
      </c>
      <c r="NC43" s="26"/>
      <c r="ND43" s="32">
        <f t="shared" ref="ND43:NO43" si="239">SUM(ND40:ND42)</f>
        <v>758</v>
      </c>
      <c r="NE43" s="32">
        <f t="shared" si="239"/>
        <v>682</v>
      </c>
      <c r="NF43" s="32">
        <f t="shared" si="239"/>
        <v>821</v>
      </c>
      <c r="NG43" s="32">
        <f t="shared" si="239"/>
        <v>737</v>
      </c>
      <c r="NH43" s="32">
        <f t="shared" si="239"/>
        <v>934</v>
      </c>
      <c r="NI43" s="32">
        <f t="shared" si="239"/>
        <v>969</v>
      </c>
      <c r="NJ43" s="32">
        <f t="shared" si="239"/>
        <v>993</v>
      </c>
      <c r="NK43" s="32">
        <f t="shared" si="239"/>
        <v>1076</v>
      </c>
      <c r="NL43" s="32">
        <f t="shared" si="239"/>
        <v>1183</v>
      </c>
      <c r="NM43" s="32">
        <f t="shared" si="239"/>
        <v>1187</v>
      </c>
      <c r="NN43" s="32">
        <f t="shared" si="239"/>
        <v>906</v>
      </c>
      <c r="NO43" s="32">
        <f t="shared" si="239"/>
        <v>1003</v>
      </c>
      <c r="NP43" s="118">
        <f t="shared" si="11"/>
        <v>11249</v>
      </c>
      <c r="NQ43" s="36">
        <f t="shared" si="34"/>
        <v>62768</v>
      </c>
      <c r="NR43" s="36">
        <f t="shared" si="35"/>
        <v>365380</v>
      </c>
      <c r="NS43" s="36">
        <f t="shared" si="36"/>
        <v>208287.6</v>
      </c>
      <c r="NT43" s="36">
        <f t="shared" si="37"/>
        <v>636435.6</v>
      </c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1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1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10"/>
    </row>
    <row r="44" spans="1:458" s="1" customFormat="1" ht="50.1" customHeight="1" x14ac:dyDescent="0.25">
      <c r="A44" s="120"/>
      <c r="B44" s="6" t="s">
        <v>21</v>
      </c>
      <c r="C44" s="23"/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38">
        <f t="shared" si="12"/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38">
        <f t="shared" si="38"/>
        <v>0</v>
      </c>
      <c r="AD44" s="36">
        <f t="shared" si="13"/>
        <v>0</v>
      </c>
      <c r="AE44" s="26"/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8">
        <f t="shared" si="14"/>
        <v>0</v>
      </c>
      <c r="AS44" s="32">
        <v>6</v>
      </c>
      <c r="AT44" s="32">
        <v>9</v>
      </c>
      <c r="AU44" s="32">
        <v>7</v>
      </c>
      <c r="AV44" s="32">
        <v>9</v>
      </c>
      <c r="AW44" s="32">
        <v>13</v>
      </c>
      <c r="AX44" s="32">
        <v>6</v>
      </c>
      <c r="AY44" s="32">
        <v>19</v>
      </c>
      <c r="AZ44" s="32">
        <v>11</v>
      </c>
      <c r="BA44" s="32">
        <v>4</v>
      </c>
      <c r="BB44" s="32">
        <v>8</v>
      </c>
      <c r="BC44" s="32">
        <v>4</v>
      </c>
      <c r="BD44" s="32">
        <v>6</v>
      </c>
      <c r="BE44" s="38">
        <f t="shared" si="15"/>
        <v>102</v>
      </c>
      <c r="BF44" s="36">
        <f t="shared" si="16"/>
        <v>102</v>
      </c>
      <c r="BG44" s="26"/>
      <c r="BH44" s="41">
        <v>0</v>
      </c>
      <c r="BI44" s="41">
        <v>0</v>
      </c>
      <c r="BJ44" s="41">
        <v>0</v>
      </c>
      <c r="BK44" s="41">
        <v>0</v>
      </c>
      <c r="BL44" s="41">
        <v>0</v>
      </c>
      <c r="BM44" s="41">
        <v>0</v>
      </c>
      <c r="BN44" s="41">
        <v>0</v>
      </c>
      <c r="BO44" s="41">
        <v>0</v>
      </c>
      <c r="BP44" s="41">
        <v>0</v>
      </c>
      <c r="BQ44" s="41">
        <v>0</v>
      </c>
      <c r="BR44" s="41">
        <v>0</v>
      </c>
      <c r="BS44" s="41">
        <v>0</v>
      </c>
      <c r="BT44" s="38">
        <f t="shared" si="17"/>
        <v>0</v>
      </c>
      <c r="BU44" s="54">
        <v>1</v>
      </c>
      <c r="BV44" s="54">
        <v>2</v>
      </c>
      <c r="BW44" s="54">
        <v>2</v>
      </c>
      <c r="BX44" s="54">
        <v>3</v>
      </c>
      <c r="BY44" s="54">
        <v>2</v>
      </c>
      <c r="BZ44" s="54">
        <v>1</v>
      </c>
      <c r="CA44" s="54">
        <v>1</v>
      </c>
      <c r="CB44" s="54">
        <v>1</v>
      </c>
      <c r="CC44" s="54">
        <v>2</v>
      </c>
      <c r="CD44" s="54">
        <v>4</v>
      </c>
      <c r="CE44" s="54">
        <v>5</v>
      </c>
      <c r="CF44" s="54">
        <v>4</v>
      </c>
      <c r="CG44" s="38">
        <f t="shared" si="18"/>
        <v>28</v>
      </c>
      <c r="CH44" s="36">
        <f t="shared" si="19"/>
        <v>28</v>
      </c>
      <c r="CI44" s="26"/>
      <c r="CJ44" s="32">
        <v>17</v>
      </c>
      <c r="CK44" s="32">
        <v>71</v>
      </c>
      <c r="CL44" s="32">
        <v>7</v>
      </c>
      <c r="CM44" s="32">
        <v>6</v>
      </c>
      <c r="CN44" s="32">
        <v>2</v>
      </c>
      <c r="CO44" s="32">
        <v>10</v>
      </c>
      <c r="CP44" s="32">
        <v>11</v>
      </c>
      <c r="CQ44" s="32">
        <v>13</v>
      </c>
      <c r="CR44" s="32">
        <v>0</v>
      </c>
      <c r="CS44" s="32">
        <v>0</v>
      </c>
      <c r="CT44" s="32">
        <v>2</v>
      </c>
      <c r="CU44" s="32">
        <v>0</v>
      </c>
      <c r="CV44" s="38">
        <f t="shared" si="20"/>
        <v>139</v>
      </c>
      <c r="CW44" s="54">
        <v>28</v>
      </c>
      <c r="CX44" s="54">
        <v>27</v>
      </c>
      <c r="CY44" s="54">
        <v>29</v>
      </c>
      <c r="CZ44" s="54">
        <v>52</v>
      </c>
      <c r="DA44" s="54">
        <v>29</v>
      </c>
      <c r="DB44" s="54">
        <v>29</v>
      </c>
      <c r="DC44" s="54">
        <v>26</v>
      </c>
      <c r="DD44" s="54">
        <v>10</v>
      </c>
      <c r="DE44" s="54">
        <v>25</v>
      </c>
      <c r="DF44" s="54">
        <v>25</v>
      </c>
      <c r="DG44" s="54">
        <v>34</v>
      </c>
      <c r="DH44" s="54">
        <v>32</v>
      </c>
      <c r="DI44" s="38">
        <f t="shared" si="21"/>
        <v>346</v>
      </c>
      <c r="DJ44" s="36">
        <f t="shared" si="22"/>
        <v>485</v>
      </c>
      <c r="DK44" s="26"/>
      <c r="DL44" s="75">
        <v>0</v>
      </c>
      <c r="DM44" s="75">
        <v>0</v>
      </c>
      <c r="DN44" s="75">
        <v>0</v>
      </c>
      <c r="DO44" s="75">
        <v>0</v>
      </c>
      <c r="DP44" s="75">
        <v>0</v>
      </c>
      <c r="DQ44" s="75">
        <v>0</v>
      </c>
      <c r="DR44" s="75">
        <v>0</v>
      </c>
      <c r="DS44" s="75">
        <v>0</v>
      </c>
      <c r="DT44" s="75">
        <v>0</v>
      </c>
      <c r="DU44" s="75">
        <v>0</v>
      </c>
      <c r="DV44" s="75">
        <v>0</v>
      </c>
      <c r="DW44" s="75">
        <v>0</v>
      </c>
      <c r="DX44" s="38">
        <f t="shared" si="0"/>
        <v>0</v>
      </c>
      <c r="DY44" s="64">
        <v>3</v>
      </c>
      <c r="DZ44" s="64">
        <v>3</v>
      </c>
      <c r="EA44" s="64">
        <v>5</v>
      </c>
      <c r="EB44" s="64">
        <v>3</v>
      </c>
      <c r="EC44" s="64">
        <v>1</v>
      </c>
      <c r="ED44" s="64">
        <v>2</v>
      </c>
      <c r="EE44" s="64">
        <v>2</v>
      </c>
      <c r="EF44" s="64">
        <v>2</v>
      </c>
      <c r="EG44" s="64">
        <v>5</v>
      </c>
      <c r="EH44" s="64">
        <v>2</v>
      </c>
      <c r="EI44" s="64">
        <v>3</v>
      </c>
      <c r="EJ44" s="64">
        <v>3</v>
      </c>
      <c r="EK44" s="38">
        <f t="shared" si="23"/>
        <v>34</v>
      </c>
      <c r="EL44" s="36">
        <f t="shared" si="1"/>
        <v>34</v>
      </c>
      <c r="EM44" s="26"/>
      <c r="EN44" s="32">
        <v>0</v>
      </c>
      <c r="EO44" s="32">
        <v>0</v>
      </c>
      <c r="EP44" s="32">
        <v>0</v>
      </c>
      <c r="EQ44" s="32">
        <v>0</v>
      </c>
      <c r="ER44" s="32">
        <v>0</v>
      </c>
      <c r="ES44" s="32">
        <v>0</v>
      </c>
      <c r="ET44" s="32">
        <v>0</v>
      </c>
      <c r="EU44" s="32">
        <v>0</v>
      </c>
      <c r="EV44" s="32">
        <v>0</v>
      </c>
      <c r="EW44" s="32">
        <v>0</v>
      </c>
      <c r="EX44" s="32">
        <v>0</v>
      </c>
      <c r="EY44" s="32">
        <v>0</v>
      </c>
      <c r="EZ44" s="38">
        <f t="shared" si="24"/>
        <v>0</v>
      </c>
      <c r="FA44" s="26"/>
      <c r="FB44" s="104">
        <v>0</v>
      </c>
      <c r="FC44" s="104">
        <v>0</v>
      </c>
      <c r="FD44" s="104">
        <v>0</v>
      </c>
      <c r="FE44" s="104">
        <v>0</v>
      </c>
      <c r="FF44" s="104">
        <v>0</v>
      </c>
      <c r="FG44" s="104">
        <v>0</v>
      </c>
      <c r="FH44" s="104">
        <v>0</v>
      </c>
      <c r="FI44" s="104">
        <v>0</v>
      </c>
      <c r="FJ44" s="104">
        <v>0</v>
      </c>
      <c r="FK44" s="104">
        <v>0</v>
      </c>
      <c r="FL44" s="104">
        <v>0</v>
      </c>
      <c r="FM44" s="104">
        <v>0</v>
      </c>
      <c r="FN44" s="38">
        <f t="shared" si="25"/>
        <v>0</v>
      </c>
      <c r="FO44" s="26"/>
      <c r="FP44" s="32">
        <v>16</v>
      </c>
      <c r="FQ44" s="32">
        <v>19</v>
      </c>
      <c r="FR44" s="32">
        <v>11</v>
      </c>
      <c r="FS44" s="32">
        <v>20</v>
      </c>
      <c r="FT44" s="32">
        <v>20</v>
      </c>
      <c r="FU44" s="32">
        <v>17</v>
      </c>
      <c r="FV44" s="32">
        <v>16</v>
      </c>
      <c r="FW44" s="32">
        <v>11</v>
      </c>
      <c r="FX44" s="32">
        <v>11</v>
      </c>
      <c r="FY44" s="32">
        <v>14</v>
      </c>
      <c r="FZ44" s="32">
        <v>14</v>
      </c>
      <c r="GA44" s="32">
        <v>15</v>
      </c>
      <c r="GB44" s="38">
        <f t="shared" si="26"/>
        <v>184</v>
      </c>
      <c r="GC44" s="26"/>
      <c r="GD44" s="101">
        <v>14</v>
      </c>
      <c r="GE44" s="101">
        <v>15</v>
      </c>
      <c r="GF44" s="101">
        <v>15</v>
      </c>
      <c r="GG44" s="101">
        <v>18</v>
      </c>
      <c r="GH44" s="101">
        <v>15</v>
      </c>
      <c r="GI44" s="101">
        <v>20</v>
      </c>
      <c r="GJ44" s="101">
        <v>43</v>
      </c>
      <c r="GK44" s="101">
        <v>18</v>
      </c>
      <c r="GL44" s="101">
        <v>17</v>
      </c>
      <c r="GM44" s="101">
        <v>11</v>
      </c>
      <c r="GN44" s="101">
        <v>18</v>
      </c>
      <c r="GO44" s="101">
        <v>26</v>
      </c>
      <c r="GP44" s="38">
        <f t="shared" si="27"/>
        <v>230</v>
      </c>
      <c r="GQ44" s="26"/>
      <c r="GR44" s="32">
        <v>0</v>
      </c>
      <c r="GS44" s="32">
        <v>0</v>
      </c>
      <c r="GT44" s="32">
        <v>0</v>
      </c>
      <c r="GU44" s="32">
        <v>0</v>
      </c>
      <c r="GV44" s="32">
        <v>0</v>
      </c>
      <c r="GW44" s="32">
        <v>0</v>
      </c>
      <c r="GX44" s="32">
        <v>0</v>
      </c>
      <c r="GY44" s="32">
        <v>0</v>
      </c>
      <c r="GZ44" s="32">
        <v>0</v>
      </c>
      <c r="HA44" s="32">
        <v>0</v>
      </c>
      <c r="HB44" s="32">
        <v>0</v>
      </c>
      <c r="HC44" s="32">
        <v>0</v>
      </c>
      <c r="HD44" s="38">
        <f t="shared" si="28"/>
        <v>0</v>
      </c>
      <c r="HE44" s="26"/>
      <c r="HF44" s="54">
        <v>0</v>
      </c>
      <c r="HG44" s="54">
        <v>0</v>
      </c>
      <c r="HH44" s="54">
        <v>0</v>
      </c>
      <c r="HI44" s="54">
        <v>0</v>
      </c>
      <c r="HJ44" s="54">
        <v>0</v>
      </c>
      <c r="HK44" s="54">
        <v>0</v>
      </c>
      <c r="HL44" s="54">
        <v>0</v>
      </c>
      <c r="HM44" s="54">
        <v>0</v>
      </c>
      <c r="HN44" s="54">
        <v>0</v>
      </c>
      <c r="HO44" s="54">
        <v>0</v>
      </c>
      <c r="HP44" s="54">
        <v>0</v>
      </c>
      <c r="HQ44" s="54">
        <v>0</v>
      </c>
      <c r="HR44" s="38">
        <f t="shared" si="29"/>
        <v>0</v>
      </c>
      <c r="HS44" s="26"/>
      <c r="HT44" s="32">
        <v>2</v>
      </c>
      <c r="HU44" s="32">
        <v>4</v>
      </c>
      <c r="HV44" s="32">
        <v>4</v>
      </c>
      <c r="HW44" s="32">
        <v>2</v>
      </c>
      <c r="HX44" s="32">
        <v>3</v>
      </c>
      <c r="HY44" s="32">
        <v>2</v>
      </c>
      <c r="HZ44" s="32">
        <v>2</v>
      </c>
      <c r="IA44" s="32">
        <v>1</v>
      </c>
      <c r="IB44" s="32">
        <v>2</v>
      </c>
      <c r="IC44" s="32">
        <v>3</v>
      </c>
      <c r="ID44" s="32">
        <v>4</v>
      </c>
      <c r="IE44" s="69">
        <v>3</v>
      </c>
      <c r="IF44" s="38">
        <f t="shared" si="2"/>
        <v>32</v>
      </c>
      <c r="IG44" s="104">
        <v>18</v>
      </c>
      <c r="IH44" s="104">
        <v>24</v>
      </c>
      <c r="II44" s="104">
        <v>25</v>
      </c>
      <c r="IJ44" s="104">
        <v>16</v>
      </c>
      <c r="IK44" s="104">
        <v>19</v>
      </c>
      <c r="IL44" s="104">
        <v>20</v>
      </c>
      <c r="IM44" s="104">
        <v>19</v>
      </c>
      <c r="IN44" s="104">
        <v>21</v>
      </c>
      <c r="IO44" s="104">
        <v>20</v>
      </c>
      <c r="IP44" s="104">
        <v>22</v>
      </c>
      <c r="IQ44" s="104">
        <v>19</v>
      </c>
      <c r="IR44" s="107">
        <v>42</v>
      </c>
      <c r="IS44" s="38">
        <f t="shared" si="3"/>
        <v>265</v>
      </c>
      <c r="IT44" s="36">
        <f t="shared" si="39"/>
        <v>297</v>
      </c>
      <c r="IU44" s="26"/>
      <c r="IV44" s="32">
        <v>3</v>
      </c>
      <c r="IW44" s="32">
        <v>2</v>
      </c>
      <c r="IX44" s="32">
        <v>6</v>
      </c>
      <c r="IY44" s="32">
        <v>1</v>
      </c>
      <c r="IZ44" s="32">
        <v>6</v>
      </c>
      <c r="JA44" s="32">
        <v>2</v>
      </c>
      <c r="JB44" s="32">
        <v>4</v>
      </c>
      <c r="JC44" s="32">
        <v>8</v>
      </c>
      <c r="JD44" s="32">
        <v>6</v>
      </c>
      <c r="JE44" s="32">
        <v>2</v>
      </c>
      <c r="JF44" s="32">
        <v>9</v>
      </c>
      <c r="JG44" s="32">
        <v>8</v>
      </c>
      <c r="JH44" s="38">
        <f t="shared" si="4"/>
        <v>57</v>
      </c>
      <c r="JI44" s="110">
        <v>15</v>
      </c>
      <c r="JJ44" s="32">
        <v>33</v>
      </c>
      <c r="JK44" s="32">
        <v>26</v>
      </c>
      <c r="JL44" s="32">
        <v>17</v>
      </c>
      <c r="JM44" s="32">
        <v>33</v>
      </c>
      <c r="JN44" s="32">
        <v>55</v>
      </c>
      <c r="JO44" s="32">
        <v>29</v>
      </c>
      <c r="JP44" s="32">
        <v>14</v>
      </c>
      <c r="JQ44" s="32">
        <v>26</v>
      </c>
      <c r="JR44" s="32">
        <v>22</v>
      </c>
      <c r="JS44" s="32">
        <v>61</v>
      </c>
      <c r="JT44" s="32">
        <v>28</v>
      </c>
      <c r="JU44" s="35">
        <f t="shared" si="5"/>
        <v>359</v>
      </c>
      <c r="JV44" s="40">
        <f t="shared" si="30"/>
        <v>416</v>
      </c>
      <c r="JW44" s="26"/>
      <c r="JX44" s="32">
        <v>0</v>
      </c>
      <c r="JY44" s="32">
        <v>0</v>
      </c>
      <c r="JZ44" s="32">
        <v>0</v>
      </c>
      <c r="KA44" s="32">
        <v>0</v>
      </c>
      <c r="KB44" s="32">
        <v>0</v>
      </c>
      <c r="KC44" s="32">
        <v>0</v>
      </c>
      <c r="KD44" s="32">
        <v>0</v>
      </c>
      <c r="KE44" s="32">
        <v>0</v>
      </c>
      <c r="KF44" s="32">
        <v>0</v>
      </c>
      <c r="KG44" s="32">
        <v>0</v>
      </c>
      <c r="KH44" s="32">
        <v>0</v>
      </c>
      <c r="KI44" s="32">
        <v>0</v>
      </c>
      <c r="KJ44" s="38">
        <f t="shared" si="6"/>
        <v>0</v>
      </c>
      <c r="KK44" s="32">
        <v>21</v>
      </c>
      <c r="KL44" s="32">
        <v>6</v>
      </c>
      <c r="KM44" s="32">
        <v>32</v>
      </c>
      <c r="KN44" s="32">
        <v>39</v>
      </c>
      <c r="KO44" s="32">
        <v>28</v>
      </c>
      <c r="KP44" s="32">
        <v>19</v>
      </c>
      <c r="KQ44" s="32">
        <v>37</v>
      </c>
      <c r="KR44" s="32">
        <v>50</v>
      </c>
      <c r="KS44" s="32">
        <v>34</v>
      </c>
      <c r="KT44" s="32">
        <v>39</v>
      </c>
      <c r="KU44" s="32">
        <v>5</v>
      </c>
      <c r="KV44" s="32">
        <v>21</v>
      </c>
      <c r="KW44" s="38">
        <f t="shared" si="7"/>
        <v>331</v>
      </c>
      <c r="KX44" s="36">
        <f t="shared" si="31"/>
        <v>331</v>
      </c>
      <c r="KY44" s="26"/>
      <c r="KZ44" s="101">
        <v>8</v>
      </c>
      <c r="LA44" s="101">
        <v>7</v>
      </c>
      <c r="LB44" s="101">
        <v>6</v>
      </c>
      <c r="LC44" s="101">
        <v>9</v>
      </c>
      <c r="LD44" s="101">
        <v>5</v>
      </c>
      <c r="LE44" s="101">
        <v>4</v>
      </c>
      <c r="LF44" s="101">
        <v>5</v>
      </c>
      <c r="LG44" s="101">
        <v>7</v>
      </c>
      <c r="LH44" s="101">
        <v>8</v>
      </c>
      <c r="LI44" s="101">
        <v>8</v>
      </c>
      <c r="LJ44" s="101">
        <v>6</v>
      </c>
      <c r="LK44" s="115">
        <v>3</v>
      </c>
      <c r="LL44" s="38">
        <f t="shared" si="32"/>
        <v>76</v>
      </c>
      <c r="LM44" s="26"/>
      <c r="LN44" s="71">
        <v>84</v>
      </c>
      <c r="LO44" s="71">
        <v>88</v>
      </c>
      <c r="LP44" s="71">
        <v>82</v>
      </c>
      <c r="LQ44" s="71">
        <v>63</v>
      </c>
      <c r="LR44" s="71">
        <v>65</v>
      </c>
      <c r="LS44" s="71">
        <v>73</v>
      </c>
      <c r="LT44" s="71">
        <v>74</v>
      </c>
      <c r="LU44" s="45">
        <v>99</v>
      </c>
      <c r="LV44" s="45">
        <v>52</v>
      </c>
      <c r="LW44" s="45">
        <v>83</v>
      </c>
      <c r="LX44" s="45">
        <v>33</v>
      </c>
      <c r="LY44" s="45">
        <v>67</v>
      </c>
      <c r="LZ44" s="38">
        <f t="shared" si="8"/>
        <v>863</v>
      </c>
      <c r="MA44" s="26"/>
      <c r="MB44" s="45">
        <v>38</v>
      </c>
      <c r="MC44" s="45">
        <v>45</v>
      </c>
      <c r="MD44" s="45">
        <v>30</v>
      </c>
      <c r="ME44" s="45">
        <v>14</v>
      </c>
      <c r="MF44" s="45">
        <v>19</v>
      </c>
      <c r="MG44" s="45">
        <v>30</v>
      </c>
      <c r="MH44" s="45">
        <v>99</v>
      </c>
      <c r="MI44" s="45">
        <v>84</v>
      </c>
      <c r="MJ44" s="45">
        <v>35</v>
      </c>
      <c r="MK44" s="45">
        <v>53</v>
      </c>
      <c r="ML44" s="45">
        <v>71</v>
      </c>
      <c r="MM44" s="45">
        <v>63</v>
      </c>
      <c r="MN44" s="38">
        <f t="shared" si="9"/>
        <v>581</v>
      </c>
      <c r="MO44" s="32">
        <v>102</v>
      </c>
      <c r="MP44" s="32">
        <v>116</v>
      </c>
      <c r="MQ44" s="32">
        <v>134</v>
      </c>
      <c r="MR44" s="32">
        <v>148</v>
      </c>
      <c r="MS44" s="32">
        <v>163</v>
      </c>
      <c r="MT44" s="32">
        <v>175</v>
      </c>
      <c r="MU44" s="32">
        <v>176</v>
      </c>
      <c r="MV44" s="32">
        <v>383</v>
      </c>
      <c r="MW44" s="32">
        <v>155</v>
      </c>
      <c r="MX44" s="32">
        <v>106</v>
      </c>
      <c r="MY44" s="32">
        <v>38</v>
      </c>
      <c r="MZ44" s="32">
        <v>24</v>
      </c>
      <c r="NA44" s="38">
        <f t="shared" si="10"/>
        <v>1720</v>
      </c>
      <c r="NB44" s="36">
        <f t="shared" si="33"/>
        <v>2301</v>
      </c>
      <c r="NC44" s="26"/>
      <c r="ND44" s="32">
        <v>0</v>
      </c>
      <c r="NE44" s="32">
        <v>0</v>
      </c>
      <c r="NF44" s="32">
        <v>0</v>
      </c>
      <c r="NG44" s="32">
        <v>0</v>
      </c>
      <c r="NH44" s="32">
        <v>0</v>
      </c>
      <c r="NI44" s="32">
        <v>0</v>
      </c>
      <c r="NJ44" s="32">
        <v>0</v>
      </c>
      <c r="NK44" s="32">
        <v>0</v>
      </c>
      <c r="NL44" s="32">
        <v>0</v>
      </c>
      <c r="NM44" s="32">
        <v>0</v>
      </c>
      <c r="NN44" s="32">
        <v>0</v>
      </c>
      <c r="NO44" s="32">
        <v>0</v>
      </c>
      <c r="NP44" s="118">
        <f t="shared" si="11"/>
        <v>0</v>
      </c>
      <c r="NQ44" s="36">
        <f t="shared" si="34"/>
        <v>171</v>
      </c>
      <c r="NR44" s="36">
        <f t="shared" si="35"/>
        <v>3097</v>
      </c>
      <c r="NS44" s="36">
        <f t="shared" si="36"/>
        <v>2079</v>
      </c>
      <c r="NT44" s="36">
        <f t="shared" si="37"/>
        <v>5347</v>
      </c>
      <c r="NU44" s="18"/>
      <c r="NV44" s="18"/>
      <c r="NW44" s="18"/>
      <c r="NX44" s="19"/>
      <c r="NY44" s="19"/>
      <c r="NZ44" s="19"/>
      <c r="OA44" s="19"/>
      <c r="OB44" s="19"/>
      <c r="OC44" s="19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8"/>
      <c r="OR44" s="18"/>
      <c r="OS44" s="18"/>
      <c r="OT44" s="18"/>
      <c r="OU44" s="18"/>
      <c r="OV44" s="18"/>
      <c r="OW44" s="18"/>
      <c r="OX44" s="19"/>
      <c r="OY44" s="19"/>
      <c r="OZ44" s="19"/>
      <c r="PA44" s="19"/>
      <c r="PB44" s="19"/>
      <c r="PC44" s="19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8"/>
      <c r="PR44" s="18"/>
      <c r="PS44" s="18"/>
      <c r="PT44" s="18"/>
      <c r="PU44" s="18"/>
      <c r="PV44" s="18"/>
      <c r="PW44" s="18"/>
      <c r="PX44" s="19"/>
      <c r="PY44" s="19"/>
      <c r="PZ44" s="19"/>
      <c r="QA44" s="19"/>
      <c r="QB44" s="19"/>
      <c r="QC44" s="19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</row>
    <row r="45" spans="1:458" s="1" customFormat="1" ht="50.1" customHeight="1" x14ac:dyDescent="0.25">
      <c r="A45" s="120"/>
      <c r="B45" s="6" t="s">
        <v>22</v>
      </c>
      <c r="C45" s="23"/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38">
        <f t="shared" si="12"/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38">
        <f t="shared" si="38"/>
        <v>0</v>
      </c>
      <c r="AD45" s="36">
        <f t="shared" si="13"/>
        <v>0</v>
      </c>
      <c r="AE45" s="26"/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8">
        <f t="shared" si="14"/>
        <v>0</v>
      </c>
      <c r="AS45" s="32">
        <v>0</v>
      </c>
      <c r="AT45" s="32">
        <v>0</v>
      </c>
      <c r="AU45" s="32">
        <v>0</v>
      </c>
      <c r="AV45" s="32">
        <v>0</v>
      </c>
      <c r="AW45" s="32">
        <v>0</v>
      </c>
      <c r="AX45" s="32">
        <v>0</v>
      </c>
      <c r="AY45" s="32">
        <v>0</v>
      </c>
      <c r="AZ45" s="32">
        <v>0</v>
      </c>
      <c r="BA45" s="32">
        <v>0</v>
      </c>
      <c r="BB45" s="32">
        <v>0</v>
      </c>
      <c r="BC45" s="32">
        <v>0</v>
      </c>
      <c r="BD45" s="32">
        <v>0</v>
      </c>
      <c r="BE45" s="38">
        <f t="shared" si="15"/>
        <v>0</v>
      </c>
      <c r="BF45" s="36">
        <f t="shared" si="16"/>
        <v>0</v>
      </c>
      <c r="BG45" s="26"/>
      <c r="BH45" s="41">
        <v>0</v>
      </c>
      <c r="BI45" s="41">
        <v>0</v>
      </c>
      <c r="BJ45" s="41">
        <v>0</v>
      </c>
      <c r="BK45" s="41">
        <v>0</v>
      </c>
      <c r="BL45" s="41">
        <v>0</v>
      </c>
      <c r="BM45" s="41">
        <v>0</v>
      </c>
      <c r="BN45" s="41">
        <v>0</v>
      </c>
      <c r="BO45" s="41">
        <v>0</v>
      </c>
      <c r="BP45" s="41">
        <v>0</v>
      </c>
      <c r="BQ45" s="41">
        <v>0</v>
      </c>
      <c r="BR45" s="41">
        <v>0</v>
      </c>
      <c r="BS45" s="41">
        <v>0</v>
      </c>
      <c r="BT45" s="38">
        <f t="shared" si="17"/>
        <v>0</v>
      </c>
      <c r="BU45" s="54">
        <v>0</v>
      </c>
      <c r="BV45" s="54">
        <v>0</v>
      </c>
      <c r="BW45" s="54">
        <v>0</v>
      </c>
      <c r="BX45" s="54">
        <v>0</v>
      </c>
      <c r="BY45" s="54">
        <v>0</v>
      </c>
      <c r="BZ45" s="54">
        <v>0</v>
      </c>
      <c r="CA45" s="54">
        <v>0</v>
      </c>
      <c r="CB45" s="54">
        <v>0</v>
      </c>
      <c r="CC45" s="54">
        <v>0</v>
      </c>
      <c r="CD45" s="54">
        <v>0</v>
      </c>
      <c r="CE45" s="54">
        <v>0</v>
      </c>
      <c r="CF45" s="54">
        <v>0</v>
      </c>
      <c r="CG45" s="38">
        <f t="shared" si="18"/>
        <v>0</v>
      </c>
      <c r="CH45" s="36">
        <f t="shared" si="19"/>
        <v>0</v>
      </c>
      <c r="CI45" s="26"/>
      <c r="CJ45" s="32">
        <v>0</v>
      </c>
      <c r="CK45" s="32">
        <v>0</v>
      </c>
      <c r="CL45" s="32">
        <v>0</v>
      </c>
      <c r="CM45" s="32">
        <v>0</v>
      </c>
      <c r="CN45" s="32">
        <v>0</v>
      </c>
      <c r="CO45" s="32">
        <v>0</v>
      </c>
      <c r="CP45" s="32">
        <v>0</v>
      </c>
      <c r="CQ45" s="32">
        <v>0</v>
      </c>
      <c r="CR45" s="32">
        <v>0</v>
      </c>
      <c r="CS45" s="32">
        <v>0</v>
      </c>
      <c r="CT45" s="32">
        <v>0</v>
      </c>
      <c r="CU45" s="32">
        <v>0</v>
      </c>
      <c r="CV45" s="38">
        <f t="shared" si="20"/>
        <v>0</v>
      </c>
      <c r="CW45" s="54">
        <v>0</v>
      </c>
      <c r="CX45" s="54">
        <v>0</v>
      </c>
      <c r="CY45" s="54">
        <v>0</v>
      </c>
      <c r="CZ45" s="54">
        <v>0</v>
      </c>
      <c r="DA45" s="54">
        <v>0</v>
      </c>
      <c r="DB45" s="54">
        <v>0</v>
      </c>
      <c r="DC45" s="54">
        <v>0</v>
      </c>
      <c r="DD45" s="54">
        <v>0</v>
      </c>
      <c r="DE45" s="54">
        <v>0</v>
      </c>
      <c r="DF45" s="54">
        <v>0</v>
      </c>
      <c r="DG45" s="54">
        <v>0</v>
      </c>
      <c r="DH45" s="54">
        <v>0</v>
      </c>
      <c r="DI45" s="38">
        <f t="shared" si="21"/>
        <v>0</v>
      </c>
      <c r="DJ45" s="36">
        <f t="shared" si="22"/>
        <v>0</v>
      </c>
      <c r="DK45" s="26"/>
      <c r="DL45" s="75">
        <v>0</v>
      </c>
      <c r="DM45" s="75">
        <v>0</v>
      </c>
      <c r="DN45" s="75">
        <v>0</v>
      </c>
      <c r="DO45" s="75">
        <v>0</v>
      </c>
      <c r="DP45" s="75">
        <v>0</v>
      </c>
      <c r="DQ45" s="75">
        <v>0</v>
      </c>
      <c r="DR45" s="75">
        <v>0</v>
      </c>
      <c r="DS45" s="75">
        <v>0</v>
      </c>
      <c r="DT45" s="75">
        <v>0</v>
      </c>
      <c r="DU45" s="75">
        <v>0</v>
      </c>
      <c r="DV45" s="75">
        <v>0</v>
      </c>
      <c r="DW45" s="75">
        <v>0</v>
      </c>
      <c r="DX45" s="38">
        <f t="shared" si="0"/>
        <v>0</v>
      </c>
      <c r="DY45" s="63">
        <v>0</v>
      </c>
      <c r="DZ45" s="63">
        <v>0</v>
      </c>
      <c r="EA45" s="63">
        <v>0</v>
      </c>
      <c r="EB45" s="63">
        <v>0</v>
      </c>
      <c r="EC45" s="63">
        <v>0</v>
      </c>
      <c r="ED45" s="63">
        <v>0</v>
      </c>
      <c r="EE45" s="63">
        <v>0</v>
      </c>
      <c r="EF45" s="63">
        <v>0</v>
      </c>
      <c r="EG45" s="63">
        <v>0</v>
      </c>
      <c r="EH45" s="63">
        <v>0</v>
      </c>
      <c r="EI45" s="63">
        <v>0</v>
      </c>
      <c r="EJ45" s="63">
        <v>0</v>
      </c>
      <c r="EK45" s="38">
        <f t="shared" si="23"/>
        <v>0</v>
      </c>
      <c r="EL45" s="36">
        <f t="shared" si="1"/>
        <v>0</v>
      </c>
      <c r="EM45" s="26"/>
      <c r="EN45" s="32">
        <v>0</v>
      </c>
      <c r="EO45" s="32">
        <v>0</v>
      </c>
      <c r="EP45" s="32">
        <v>0</v>
      </c>
      <c r="EQ45" s="32">
        <v>0</v>
      </c>
      <c r="ER45" s="32">
        <v>0</v>
      </c>
      <c r="ES45" s="32">
        <v>0</v>
      </c>
      <c r="ET45" s="32">
        <v>0</v>
      </c>
      <c r="EU45" s="32">
        <v>0</v>
      </c>
      <c r="EV45" s="32">
        <v>0</v>
      </c>
      <c r="EW45" s="32">
        <v>0</v>
      </c>
      <c r="EX45" s="32">
        <v>0</v>
      </c>
      <c r="EY45" s="32">
        <v>0</v>
      </c>
      <c r="EZ45" s="38">
        <f t="shared" si="24"/>
        <v>0</v>
      </c>
      <c r="FA45" s="26"/>
      <c r="FB45" s="104">
        <v>0</v>
      </c>
      <c r="FC45" s="104">
        <v>0</v>
      </c>
      <c r="FD45" s="104">
        <v>0</v>
      </c>
      <c r="FE45" s="104">
        <v>0</v>
      </c>
      <c r="FF45" s="104">
        <v>0</v>
      </c>
      <c r="FG45" s="104">
        <v>0</v>
      </c>
      <c r="FH45" s="104">
        <v>0</v>
      </c>
      <c r="FI45" s="104">
        <v>0</v>
      </c>
      <c r="FJ45" s="104">
        <v>0</v>
      </c>
      <c r="FK45" s="104">
        <v>0</v>
      </c>
      <c r="FL45" s="104">
        <v>0</v>
      </c>
      <c r="FM45" s="104">
        <v>0</v>
      </c>
      <c r="FN45" s="38">
        <f t="shared" si="25"/>
        <v>0</v>
      </c>
      <c r="FO45" s="26"/>
      <c r="FP45" s="32">
        <v>0</v>
      </c>
      <c r="FQ45" s="32">
        <v>0</v>
      </c>
      <c r="FR45" s="32">
        <v>0</v>
      </c>
      <c r="FS45" s="32">
        <v>0</v>
      </c>
      <c r="FT45" s="32">
        <v>0</v>
      </c>
      <c r="FU45" s="32">
        <v>0</v>
      </c>
      <c r="FV45" s="32">
        <v>0</v>
      </c>
      <c r="FW45" s="32">
        <v>0</v>
      </c>
      <c r="FX45" s="32">
        <v>0</v>
      </c>
      <c r="FY45" s="32">
        <v>0</v>
      </c>
      <c r="FZ45" s="32">
        <v>0</v>
      </c>
      <c r="GA45" s="32">
        <v>0</v>
      </c>
      <c r="GB45" s="38">
        <f t="shared" si="26"/>
        <v>0</v>
      </c>
      <c r="GC45" s="26"/>
      <c r="GD45" s="32">
        <v>0</v>
      </c>
      <c r="GE45" s="32">
        <v>0</v>
      </c>
      <c r="GF45" s="32">
        <v>0</v>
      </c>
      <c r="GG45" s="32">
        <v>0</v>
      </c>
      <c r="GH45" s="32">
        <v>0</v>
      </c>
      <c r="GI45" s="32">
        <v>0</v>
      </c>
      <c r="GJ45" s="32">
        <v>0</v>
      </c>
      <c r="GK45" s="32">
        <v>0</v>
      </c>
      <c r="GL45" s="32">
        <v>0</v>
      </c>
      <c r="GM45" s="32">
        <v>0</v>
      </c>
      <c r="GN45" s="32">
        <v>0</v>
      </c>
      <c r="GO45" s="32">
        <v>0</v>
      </c>
      <c r="GP45" s="38">
        <f t="shared" si="27"/>
        <v>0</v>
      </c>
      <c r="GQ45" s="26"/>
      <c r="GR45" s="32">
        <v>0</v>
      </c>
      <c r="GS45" s="32">
        <v>0</v>
      </c>
      <c r="GT45" s="32">
        <v>0</v>
      </c>
      <c r="GU45" s="32">
        <v>0</v>
      </c>
      <c r="GV45" s="32">
        <v>0</v>
      </c>
      <c r="GW45" s="32">
        <v>0</v>
      </c>
      <c r="GX45" s="32">
        <v>0</v>
      </c>
      <c r="GY45" s="32">
        <v>0</v>
      </c>
      <c r="GZ45" s="32">
        <v>0</v>
      </c>
      <c r="HA45" s="32">
        <v>0</v>
      </c>
      <c r="HB45" s="32">
        <v>0</v>
      </c>
      <c r="HC45" s="32">
        <v>0</v>
      </c>
      <c r="HD45" s="38">
        <f t="shared" si="28"/>
        <v>0</v>
      </c>
      <c r="HE45" s="26"/>
      <c r="HF45" s="54">
        <v>0</v>
      </c>
      <c r="HG45" s="54">
        <v>0</v>
      </c>
      <c r="HH45" s="54">
        <v>0</v>
      </c>
      <c r="HI45" s="54">
        <v>0</v>
      </c>
      <c r="HJ45" s="54">
        <v>0</v>
      </c>
      <c r="HK45" s="54">
        <v>0</v>
      </c>
      <c r="HL45" s="54">
        <v>0</v>
      </c>
      <c r="HM45" s="54">
        <v>0</v>
      </c>
      <c r="HN45" s="54">
        <v>0</v>
      </c>
      <c r="HO45" s="54">
        <v>0</v>
      </c>
      <c r="HP45" s="54">
        <v>0</v>
      </c>
      <c r="HQ45" s="54">
        <v>0</v>
      </c>
      <c r="HR45" s="38">
        <f t="shared" si="29"/>
        <v>0</v>
      </c>
      <c r="HS45" s="26"/>
      <c r="HT45" s="32">
        <v>0</v>
      </c>
      <c r="HU45" s="32">
        <v>0</v>
      </c>
      <c r="HV45" s="32">
        <v>0</v>
      </c>
      <c r="HW45" s="32">
        <v>0</v>
      </c>
      <c r="HX45" s="32">
        <v>0</v>
      </c>
      <c r="HY45" s="32">
        <v>0</v>
      </c>
      <c r="HZ45" s="32">
        <v>0</v>
      </c>
      <c r="IA45" s="32">
        <v>0</v>
      </c>
      <c r="IB45" s="32">
        <v>0</v>
      </c>
      <c r="IC45" s="32">
        <v>0</v>
      </c>
      <c r="ID45" s="32">
        <v>0</v>
      </c>
      <c r="IE45" s="69">
        <v>0</v>
      </c>
      <c r="IF45" s="38">
        <f t="shared" si="2"/>
        <v>0</v>
      </c>
      <c r="IG45" s="104">
        <v>0</v>
      </c>
      <c r="IH45" s="104">
        <v>0</v>
      </c>
      <c r="II45" s="104">
        <v>0</v>
      </c>
      <c r="IJ45" s="104">
        <v>0</v>
      </c>
      <c r="IK45" s="104">
        <v>0</v>
      </c>
      <c r="IL45" s="104">
        <v>0</v>
      </c>
      <c r="IM45" s="104">
        <v>0</v>
      </c>
      <c r="IN45" s="104">
        <v>0</v>
      </c>
      <c r="IO45" s="104">
        <v>0</v>
      </c>
      <c r="IP45" s="104">
        <v>0</v>
      </c>
      <c r="IQ45" s="104">
        <v>0</v>
      </c>
      <c r="IR45" s="107">
        <v>0</v>
      </c>
      <c r="IS45" s="38">
        <f t="shared" si="3"/>
        <v>0</v>
      </c>
      <c r="IT45" s="36">
        <f t="shared" si="39"/>
        <v>0</v>
      </c>
      <c r="IU45" s="26"/>
      <c r="IV45" s="32">
        <v>0</v>
      </c>
      <c r="IW45" s="32">
        <v>0</v>
      </c>
      <c r="IX45" s="32">
        <v>0</v>
      </c>
      <c r="IY45" s="32">
        <v>0</v>
      </c>
      <c r="IZ45" s="32">
        <v>0</v>
      </c>
      <c r="JA45" s="32">
        <v>0</v>
      </c>
      <c r="JB45" s="32">
        <v>0</v>
      </c>
      <c r="JC45" s="32">
        <v>0</v>
      </c>
      <c r="JD45" s="32">
        <v>0</v>
      </c>
      <c r="JE45" s="32">
        <v>0</v>
      </c>
      <c r="JF45" s="32">
        <v>0</v>
      </c>
      <c r="JG45" s="32">
        <v>0</v>
      </c>
      <c r="JH45" s="38">
        <f t="shared" si="4"/>
        <v>0</v>
      </c>
      <c r="JI45" s="110">
        <v>0</v>
      </c>
      <c r="JJ45" s="32">
        <v>0</v>
      </c>
      <c r="JK45" s="32">
        <v>0</v>
      </c>
      <c r="JL45" s="32">
        <v>0</v>
      </c>
      <c r="JM45" s="32">
        <v>0</v>
      </c>
      <c r="JN45" s="32">
        <v>0</v>
      </c>
      <c r="JO45" s="32">
        <v>0</v>
      </c>
      <c r="JP45" s="32">
        <v>0</v>
      </c>
      <c r="JQ45" s="32">
        <v>0</v>
      </c>
      <c r="JR45" s="32">
        <v>0</v>
      </c>
      <c r="JS45" s="32">
        <v>0</v>
      </c>
      <c r="JT45" s="32">
        <v>0</v>
      </c>
      <c r="JU45" s="35">
        <f t="shared" si="5"/>
        <v>0</v>
      </c>
      <c r="JV45" s="40">
        <f t="shared" si="30"/>
        <v>0</v>
      </c>
      <c r="JW45" s="26"/>
      <c r="JX45" s="32">
        <v>0</v>
      </c>
      <c r="JY45" s="32">
        <v>0</v>
      </c>
      <c r="JZ45" s="32">
        <v>0</v>
      </c>
      <c r="KA45" s="32">
        <v>0</v>
      </c>
      <c r="KB45" s="32">
        <v>0</v>
      </c>
      <c r="KC45" s="32">
        <v>0</v>
      </c>
      <c r="KD45" s="32">
        <v>0</v>
      </c>
      <c r="KE45" s="32">
        <v>0</v>
      </c>
      <c r="KF45" s="32">
        <v>0</v>
      </c>
      <c r="KG45" s="32">
        <v>0</v>
      </c>
      <c r="KH45" s="32">
        <v>0</v>
      </c>
      <c r="KI45" s="32">
        <v>0</v>
      </c>
      <c r="KJ45" s="38">
        <f t="shared" si="6"/>
        <v>0</v>
      </c>
      <c r="KK45" s="32">
        <v>0</v>
      </c>
      <c r="KL45" s="32">
        <v>0</v>
      </c>
      <c r="KM45" s="32">
        <v>0</v>
      </c>
      <c r="KN45" s="32">
        <v>0</v>
      </c>
      <c r="KO45" s="32">
        <v>0</v>
      </c>
      <c r="KP45" s="32">
        <v>0</v>
      </c>
      <c r="KQ45" s="32">
        <v>0</v>
      </c>
      <c r="KR45" s="32">
        <v>0</v>
      </c>
      <c r="KS45" s="32">
        <v>0</v>
      </c>
      <c r="KT45" s="32">
        <v>0</v>
      </c>
      <c r="KU45" s="32">
        <v>0</v>
      </c>
      <c r="KV45" s="32">
        <v>0</v>
      </c>
      <c r="KW45" s="38">
        <f t="shared" si="7"/>
        <v>0</v>
      </c>
      <c r="KX45" s="36">
        <f t="shared" si="31"/>
        <v>0</v>
      </c>
      <c r="KY45" s="26"/>
      <c r="KZ45" s="32">
        <v>0</v>
      </c>
      <c r="LA45" s="32">
        <v>0</v>
      </c>
      <c r="LB45" s="32">
        <v>0</v>
      </c>
      <c r="LC45" s="32">
        <v>0</v>
      </c>
      <c r="LD45" s="32">
        <v>0</v>
      </c>
      <c r="LE45" s="32">
        <v>0</v>
      </c>
      <c r="LF45" s="32">
        <v>0</v>
      </c>
      <c r="LG45" s="32">
        <v>0</v>
      </c>
      <c r="LH45" s="32">
        <v>0</v>
      </c>
      <c r="LI45" s="32">
        <v>0</v>
      </c>
      <c r="LJ45" s="32">
        <v>0</v>
      </c>
      <c r="LK45" s="69">
        <v>0</v>
      </c>
      <c r="LL45" s="38">
        <f t="shared" si="32"/>
        <v>0</v>
      </c>
      <c r="LM45" s="26"/>
      <c r="LN45" s="71">
        <v>0</v>
      </c>
      <c r="LO45" s="71">
        <v>0</v>
      </c>
      <c r="LP45" s="71">
        <v>0</v>
      </c>
      <c r="LQ45" s="71">
        <v>0</v>
      </c>
      <c r="LR45" s="71">
        <v>0</v>
      </c>
      <c r="LS45" s="71">
        <v>0</v>
      </c>
      <c r="LT45" s="71">
        <v>0</v>
      </c>
      <c r="LU45" s="45">
        <v>0</v>
      </c>
      <c r="LV45" s="45">
        <v>0</v>
      </c>
      <c r="LW45" s="45">
        <v>0</v>
      </c>
      <c r="LX45" s="45">
        <v>0</v>
      </c>
      <c r="LY45" s="45">
        <v>0</v>
      </c>
      <c r="LZ45" s="38">
        <f t="shared" si="8"/>
        <v>0</v>
      </c>
      <c r="MA45" s="26"/>
      <c r="MB45" s="45">
        <v>0</v>
      </c>
      <c r="MC45" s="45">
        <v>0</v>
      </c>
      <c r="MD45" s="45">
        <v>0</v>
      </c>
      <c r="ME45" s="45">
        <v>0</v>
      </c>
      <c r="MF45" s="45">
        <v>0</v>
      </c>
      <c r="MG45" s="45">
        <v>0</v>
      </c>
      <c r="MH45" s="45">
        <v>0</v>
      </c>
      <c r="MI45" s="45">
        <v>0</v>
      </c>
      <c r="MJ45" s="45">
        <v>0</v>
      </c>
      <c r="MK45" s="45">
        <v>0</v>
      </c>
      <c r="ML45" s="45">
        <v>0</v>
      </c>
      <c r="MM45" s="45">
        <v>0</v>
      </c>
      <c r="MN45" s="38">
        <f t="shared" si="9"/>
        <v>0</v>
      </c>
      <c r="MO45" s="32">
        <v>0</v>
      </c>
      <c r="MP45" s="32">
        <v>0</v>
      </c>
      <c r="MQ45" s="32">
        <v>0</v>
      </c>
      <c r="MR45" s="32">
        <v>0</v>
      </c>
      <c r="MS45" s="32">
        <v>0</v>
      </c>
      <c r="MT45" s="32">
        <v>0</v>
      </c>
      <c r="MU45" s="32">
        <v>0</v>
      </c>
      <c r="MV45" s="32">
        <v>0</v>
      </c>
      <c r="MW45" s="32">
        <v>0</v>
      </c>
      <c r="MX45" s="32">
        <v>0</v>
      </c>
      <c r="MY45" s="32">
        <v>0</v>
      </c>
      <c r="MZ45" s="32">
        <v>0</v>
      </c>
      <c r="NA45" s="38">
        <f t="shared" si="10"/>
        <v>0</v>
      </c>
      <c r="NB45" s="36">
        <f t="shared" si="33"/>
        <v>0</v>
      </c>
      <c r="NC45" s="26"/>
      <c r="ND45" s="32">
        <v>0</v>
      </c>
      <c r="NE45" s="32">
        <v>0</v>
      </c>
      <c r="NF45" s="32">
        <v>0</v>
      </c>
      <c r="NG45" s="32">
        <v>0</v>
      </c>
      <c r="NH45" s="32">
        <v>0</v>
      </c>
      <c r="NI45" s="32">
        <v>0</v>
      </c>
      <c r="NJ45" s="32">
        <v>0</v>
      </c>
      <c r="NK45" s="32">
        <v>0</v>
      </c>
      <c r="NL45" s="32">
        <v>0</v>
      </c>
      <c r="NM45" s="32">
        <v>0</v>
      </c>
      <c r="NN45" s="32">
        <v>0</v>
      </c>
      <c r="NO45" s="32">
        <v>0</v>
      </c>
      <c r="NP45" s="118">
        <f t="shared" si="11"/>
        <v>0</v>
      </c>
      <c r="NQ45" s="36">
        <f t="shared" si="34"/>
        <v>0</v>
      </c>
      <c r="NR45" s="36">
        <f t="shared" si="35"/>
        <v>0</v>
      </c>
      <c r="NS45" s="36">
        <f t="shared" si="36"/>
        <v>0</v>
      </c>
      <c r="NT45" s="36">
        <f t="shared" si="37"/>
        <v>0</v>
      </c>
      <c r="NU45" s="18"/>
      <c r="NV45" s="18"/>
      <c r="NW45" s="18"/>
      <c r="NX45" s="19"/>
      <c r="NY45" s="19"/>
      <c r="NZ45" s="19"/>
      <c r="OA45" s="19"/>
      <c r="OB45" s="19"/>
      <c r="OC45" s="19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8"/>
      <c r="OR45" s="18"/>
      <c r="OS45" s="18"/>
      <c r="OT45" s="18"/>
      <c r="OU45" s="18"/>
      <c r="OV45" s="18"/>
      <c r="OW45" s="18"/>
      <c r="OX45" s="19"/>
      <c r="OY45" s="19"/>
      <c r="OZ45" s="19"/>
      <c r="PA45" s="19"/>
      <c r="PB45" s="19"/>
      <c r="PC45" s="19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8"/>
      <c r="PR45" s="18"/>
      <c r="PS45" s="18"/>
      <c r="PT45" s="18"/>
      <c r="PU45" s="18"/>
      <c r="PV45" s="18"/>
      <c r="PW45" s="18"/>
      <c r="PX45" s="19"/>
      <c r="PY45" s="19"/>
      <c r="PZ45" s="19"/>
      <c r="QA45" s="19"/>
      <c r="QB45" s="19"/>
      <c r="QC45" s="19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</row>
    <row r="46" spans="1:458" s="1" customFormat="1" ht="50.1" customHeight="1" x14ac:dyDescent="0.25">
      <c r="A46" s="120">
        <v>2023</v>
      </c>
      <c r="B46" s="6" t="s">
        <v>17</v>
      </c>
      <c r="C46" s="24"/>
      <c r="D46" s="41">
        <v>2655</v>
      </c>
      <c r="E46" s="41">
        <v>2443</v>
      </c>
      <c r="F46" s="41">
        <v>2683</v>
      </c>
      <c r="G46" s="41">
        <v>2130</v>
      </c>
      <c r="H46" s="41">
        <v>2254</v>
      </c>
      <c r="I46" s="41">
        <v>2716</v>
      </c>
      <c r="J46" s="41">
        <v>2420</v>
      </c>
      <c r="K46" s="41">
        <v>2219</v>
      </c>
      <c r="L46" s="41">
        <v>2553</v>
      </c>
      <c r="M46" s="41">
        <v>2496</v>
      </c>
      <c r="N46" s="41">
        <v>1613</v>
      </c>
      <c r="O46" s="41">
        <v>1733</v>
      </c>
      <c r="P46" s="38">
        <f t="shared" si="12"/>
        <v>27915</v>
      </c>
      <c r="Q46" s="49">
        <v>5520</v>
      </c>
      <c r="R46" s="49">
        <v>8093</v>
      </c>
      <c r="S46" s="49">
        <v>8295</v>
      </c>
      <c r="T46" s="49">
        <v>3935</v>
      </c>
      <c r="U46" s="49">
        <v>6187</v>
      </c>
      <c r="V46" s="49">
        <v>6653</v>
      </c>
      <c r="W46" s="49">
        <v>7196</v>
      </c>
      <c r="X46" s="50">
        <v>11608</v>
      </c>
      <c r="Y46" s="49">
        <v>13980</v>
      </c>
      <c r="Z46" s="49">
        <v>15582</v>
      </c>
      <c r="AA46" s="49">
        <v>13160</v>
      </c>
      <c r="AB46" s="49">
        <v>12829</v>
      </c>
      <c r="AC46" s="38">
        <f t="shared" si="38"/>
        <v>113038</v>
      </c>
      <c r="AD46" s="36">
        <f t="shared" si="13"/>
        <v>140953</v>
      </c>
      <c r="AE46" s="26"/>
      <c r="AF46" s="32">
        <v>158</v>
      </c>
      <c r="AG46" s="32">
        <v>167</v>
      </c>
      <c r="AH46" s="32">
        <v>184</v>
      </c>
      <c r="AI46" s="32">
        <v>122</v>
      </c>
      <c r="AJ46" s="32">
        <v>165</v>
      </c>
      <c r="AK46" s="32">
        <v>126</v>
      </c>
      <c r="AL46" s="32">
        <v>109</v>
      </c>
      <c r="AM46" s="47">
        <v>111</v>
      </c>
      <c r="AN46" s="32">
        <v>177</v>
      </c>
      <c r="AO46" s="32">
        <v>124</v>
      </c>
      <c r="AP46" s="32">
        <v>128</v>
      </c>
      <c r="AQ46" s="32">
        <v>129</v>
      </c>
      <c r="AR46" s="38">
        <f t="shared" si="14"/>
        <v>1700</v>
      </c>
      <c r="AS46" s="32">
        <v>621</v>
      </c>
      <c r="AT46" s="32">
        <v>1196</v>
      </c>
      <c r="AU46" s="32">
        <v>1157</v>
      </c>
      <c r="AV46" s="32">
        <v>793</v>
      </c>
      <c r="AW46" s="32">
        <v>822</v>
      </c>
      <c r="AX46" s="32">
        <v>711</v>
      </c>
      <c r="AY46" s="32">
        <v>757</v>
      </c>
      <c r="AZ46" s="32">
        <v>1108</v>
      </c>
      <c r="BA46" s="32">
        <v>1385</v>
      </c>
      <c r="BB46" s="32">
        <v>1179</v>
      </c>
      <c r="BC46" s="32">
        <v>989</v>
      </c>
      <c r="BD46" s="32">
        <v>881</v>
      </c>
      <c r="BE46" s="38">
        <f t="shared" si="15"/>
        <v>11599</v>
      </c>
      <c r="BF46" s="36">
        <f t="shared" si="16"/>
        <v>13299</v>
      </c>
      <c r="BG46" s="26"/>
      <c r="BH46" s="41">
        <v>61</v>
      </c>
      <c r="BI46" s="41">
        <v>42</v>
      </c>
      <c r="BJ46" s="41">
        <v>65</v>
      </c>
      <c r="BK46" s="41">
        <v>61</v>
      </c>
      <c r="BL46" s="41">
        <v>55</v>
      </c>
      <c r="BM46" s="41">
        <v>75</v>
      </c>
      <c r="BN46" s="41">
        <v>95</v>
      </c>
      <c r="BO46" s="41">
        <v>92</v>
      </c>
      <c r="BP46" s="41">
        <v>128</v>
      </c>
      <c r="BQ46" s="41">
        <v>96</v>
      </c>
      <c r="BR46" s="41">
        <v>133</v>
      </c>
      <c r="BS46" s="41">
        <v>113</v>
      </c>
      <c r="BT46" s="38">
        <f t="shared" si="17"/>
        <v>1016</v>
      </c>
      <c r="BU46" s="54">
        <v>972</v>
      </c>
      <c r="BV46" s="54">
        <v>971</v>
      </c>
      <c r="BW46" s="54">
        <v>1272</v>
      </c>
      <c r="BX46" s="54">
        <v>782</v>
      </c>
      <c r="BY46" s="54">
        <v>1132</v>
      </c>
      <c r="BZ46" s="54">
        <v>1059</v>
      </c>
      <c r="CA46" s="54">
        <v>1047</v>
      </c>
      <c r="CB46" s="54">
        <v>805</v>
      </c>
      <c r="CC46" s="54">
        <v>1231</v>
      </c>
      <c r="CD46" s="54">
        <v>1382</v>
      </c>
      <c r="CE46" s="54">
        <v>1488</v>
      </c>
      <c r="CF46" s="54">
        <v>1225</v>
      </c>
      <c r="CG46" s="38">
        <f t="shared" si="18"/>
        <v>13366</v>
      </c>
      <c r="CH46" s="36">
        <f t="shared" si="19"/>
        <v>14382</v>
      </c>
      <c r="CI46" s="26"/>
      <c r="CJ46" s="32">
        <v>606</v>
      </c>
      <c r="CK46" s="32">
        <v>548</v>
      </c>
      <c r="CL46" s="32">
        <v>707</v>
      </c>
      <c r="CM46" s="32">
        <v>673</v>
      </c>
      <c r="CN46" s="32">
        <v>784</v>
      </c>
      <c r="CO46" s="32">
        <v>754</v>
      </c>
      <c r="CP46" s="32">
        <v>773</v>
      </c>
      <c r="CQ46" s="47">
        <v>885</v>
      </c>
      <c r="CR46" s="32">
        <v>965</v>
      </c>
      <c r="CS46" s="32">
        <v>820</v>
      </c>
      <c r="CT46" s="32">
        <v>587</v>
      </c>
      <c r="CU46" s="32">
        <v>465</v>
      </c>
      <c r="CV46" s="38">
        <f t="shared" si="20"/>
        <v>8567</v>
      </c>
      <c r="CW46" s="54">
        <v>1771</v>
      </c>
      <c r="CX46" s="54">
        <v>1484</v>
      </c>
      <c r="CY46" s="54">
        <v>1910</v>
      </c>
      <c r="CZ46" s="54">
        <v>1369</v>
      </c>
      <c r="DA46" s="54">
        <v>1953</v>
      </c>
      <c r="DB46" s="54">
        <v>2056</v>
      </c>
      <c r="DC46" s="54">
        <v>1351</v>
      </c>
      <c r="DD46" s="54">
        <v>1792</v>
      </c>
      <c r="DE46" s="54">
        <v>2150</v>
      </c>
      <c r="DF46" s="54">
        <v>2217</v>
      </c>
      <c r="DG46" s="54">
        <v>1903</v>
      </c>
      <c r="DH46" s="54">
        <v>1461</v>
      </c>
      <c r="DI46" s="38">
        <f t="shared" si="21"/>
        <v>21417</v>
      </c>
      <c r="DJ46" s="36">
        <f t="shared" si="22"/>
        <v>29984</v>
      </c>
      <c r="DK46" s="26"/>
      <c r="DL46" s="75">
        <v>760</v>
      </c>
      <c r="DM46" s="75">
        <v>698</v>
      </c>
      <c r="DN46" s="75">
        <v>811</v>
      </c>
      <c r="DO46" s="75">
        <v>486</v>
      </c>
      <c r="DP46" s="75">
        <v>583</v>
      </c>
      <c r="DQ46" s="75">
        <v>821</v>
      </c>
      <c r="DR46" s="75">
        <v>679</v>
      </c>
      <c r="DS46" s="77">
        <v>684</v>
      </c>
      <c r="DT46" s="75">
        <v>762</v>
      </c>
      <c r="DU46" s="75">
        <v>736</v>
      </c>
      <c r="DV46" s="75">
        <v>694</v>
      </c>
      <c r="DW46" s="75">
        <v>635</v>
      </c>
      <c r="DX46" s="38">
        <f t="shared" si="0"/>
        <v>8349</v>
      </c>
      <c r="DY46" s="64">
        <v>1535</v>
      </c>
      <c r="DZ46" s="64">
        <v>1403</v>
      </c>
      <c r="EA46" s="64">
        <v>1796</v>
      </c>
      <c r="EB46" s="64">
        <v>1142</v>
      </c>
      <c r="EC46" s="64">
        <v>1650</v>
      </c>
      <c r="ED46" s="64">
        <v>1356</v>
      </c>
      <c r="EE46" s="64">
        <v>1500</v>
      </c>
      <c r="EF46" s="66">
        <v>1601</v>
      </c>
      <c r="EG46" s="65">
        <v>1525</v>
      </c>
      <c r="EH46" s="65">
        <v>1644</v>
      </c>
      <c r="EI46" s="65">
        <v>1435</v>
      </c>
      <c r="EJ46" s="65">
        <v>1255</v>
      </c>
      <c r="EK46" s="38">
        <f t="shared" si="23"/>
        <v>17842</v>
      </c>
      <c r="EL46" s="36">
        <f t="shared" si="1"/>
        <v>26191</v>
      </c>
      <c r="EM46" s="26"/>
      <c r="EN46" s="32">
        <v>2075</v>
      </c>
      <c r="EO46" s="32">
        <v>1733</v>
      </c>
      <c r="EP46" s="32">
        <v>1875</v>
      </c>
      <c r="EQ46" s="32">
        <v>1616</v>
      </c>
      <c r="ER46" s="32">
        <v>1678</v>
      </c>
      <c r="ES46" s="32">
        <v>1693</v>
      </c>
      <c r="ET46" s="32">
        <v>1495</v>
      </c>
      <c r="EU46" s="47">
        <v>1704</v>
      </c>
      <c r="EV46" s="32">
        <v>1575</v>
      </c>
      <c r="EW46" s="32">
        <v>2116</v>
      </c>
      <c r="EX46" s="32">
        <v>1760</v>
      </c>
      <c r="EY46" s="32">
        <v>1413</v>
      </c>
      <c r="EZ46" s="38">
        <f t="shared" si="24"/>
        <v>20733</v>
      </c>
      <c r="FA46" s="26"/>
      <c r="FB46" s="104">
        <v>2535</v>
      </c>
      <c r="FC46" s="104">
        <v>2841</v>
      </c>
      <c r="FD46" s="104">
        <v>3265</v>
      </c>
      <c r="FE46" s="104">
        <v>2614</v>
      </c>
      <c r="FF46" s="104">
        <v>2906</v>
      </c>
      <c r="FG46" s="104">
        <v>2757</v>
      </c>
      <c r="FH46" s="104">
        <v>2770</v>
      </c>
      <c r="FI46" s="104">
        <v>3398</v>
      </c>
      <c r="FJ46" s="104">
        <v>3323</v>
      </c>
      <c r="FK46" s="104">
        <v>3100</v>
      </c>
      <c r="FL46" s="104">
        <v>2461</v>
      </c>
      <c r="FM46" s="104">
        <v>2608</v>
      </c>
      <c r="FN46" s="38">
        <f t="shared" si="25"/>
        <v>34578</v>
      </c>
      <c r="FO46" s="26"/>
      <c r="FP46" s="32">
        <v>789</v>
      </c>
      <c r="FQ46" s="32">
        <v>727</v>
      </c>
      <c r="FR46" s="32">
        <v>845</v>
      </c>
      <c r="FS46" s="32">
        <v>681</v>
      </c>
      <c r="FT46" s="32">
        <v>867</v>
      </c>
      <c r="FU46" s="32">
        <v>698</v>
      </c>
      <c r="FV46" s="32">
        <v>695</v>
      </c>
      <c r="FW46" s="92">
        <v>1000</v>
      </c>
      <c r="FX46" s="32">
        <v>1250</v>
      </c>
      <c r="FY46" s="32">
        <v>1200</v>
      </c>
      <c r="FZ46" s="32">
        <v>1015</v>
      </c>
      <c r="GA46" s="32">
        <v>988</v>
      </c>
      <c r="GB46" s="38">
        <f t="shared" si="26"/>
        <v>10755</v>
      </c>
      <c r="GC46" s="26"/>
      <c r="GD46" s="101">
        <v>1917</v>
      </c>
      <c r="GE46" s="106">
        <v>1509</v>
      </c>
      <c r="GF46" s="101">
        <v>1554</v>
      </c>
      <c r="GG46" s="101">
        <v>1443</v>
      </c>
      <c r="GH46" s="101">
        <v>1685</v>
      </c>
      <c r="GI46" s="101">
        <v>1684</v>
      </c>
      <c r="GJ46" s="101">
        <v>1405</v>
      </c>
      <c r="GK46" s="101">
        <v>1420</v>
      </c>
      <c r="GL46" s="101">
        <v>1321</v>
      </c>
      <c r="GM46" s="101">
        <v>1400</v>
      </c>
      <c r="GN46" s="101">
        <v>1173</v>
      </c>
      <c r="GO46" s="101">
        <v>1239</v>
      </c>
      <c r="GP46" s="38">
        <f t="shared" si="27"/>
        <v>17750</v>
      </c>
      <c r="GQ46" s="26"/>
      <c r="GR46" s="32">
        <v>533</v>
      </c>
      <c r="GS46" s="32">
        <v>599</v>
      </c>
      <c r="GT46" s="32">
        <v>687</v>
      </c>
      <c r="GU46" s="32">
        <v>473</v>
      </c>
      <c r="GV46" s="32">
        <v>518</v>
      </c>
      <c r="GW46" s="32">
        <v>515</v>
      </c>
      <c r="GX46" s="32">
        <v>623</v>
      </c>
      <c r="GY46" s="32">
        <v>608</v>
      </c>
      <c r="GZ46" s="32">
        <v>752</v>
      </c>
      <c r="HA46" s="32">
        <v>917</v>
      </c>
      <c r="HB46" s="32">
        <v>839</v>
      </c>
      <c r="HC46" s="32">
        <v>540</v>
      </c>
      <c r="HD46" s="38">
        <f t="shared" si="28"/>
        <v>7604</v>
      </c>
      <c r="HE46" s="26"/>
      <c r="HF46" s="54">
        <v>3580</v>
      </c>
      <c r="HG46" s="54">
        <v>3574</v>
      </c>
      <c r="HH46" s="54">
        <v>3268</v>
      </c>
      <c r="HI46" s="54">
        <v>3419</v>
      </c>
      <c r="HJ46" s="54">
        <v>3345</v>
      </c>
      <c r="HK46" s="54">
        <v>3203</v>
      </c>
      <c r="HL46" s="54">
        <v>3379</v>
      </c>
      <c r="HM46" s="54">
        <v>3549</v>
      </c>
      <c r="HN46" s="54">
        <v>3728</v>
      </c>
      <c r="HO46" s="54">
        <v>4117</v>
      </c>
      <c r="HP46" s="54">
        <v>3656</v>
      </c>
      <c r="HQ46" s="54">
        <v>3388</v>
      </c>
      <c r="HR46" s="38">
        <f t="shared" si="29"/>
        <v>42206</v>
      </c>
      <c r="HS46" s="26"/>
      <c r="HT46" s="32">
        <v>227</v>
      </c>
      <c r="HU46" s="32">
        <v>183</v>
      </c>
      <c r="HV46" s="32">
        <v>233</v>
      </c>
      <c r="HW46" s="32">
        <v>264</v>
      </c>
      <c r="HX46" s="32">
        <v>312</v>
      </c>
      <c r="HY46" s="32">
        <v>375</v>
      </c>
      <c r="HZ46" s="32">
        <v>299</v>
      </c>
      <c r="IA46" s="92">
        <v>331</v>
      </c>
      <c r="IB46" s="32">
        <v>250</v>
      </c>
      <c r="IC46" s="32">
        <v>229</v>
      </c>
      <c r="ID46" s="32">
        <v>202</v>
      </c>
      <c r="IE46" s="69">
        <v>158</v>
      </c>
      <c r="IF46" s="38">
        <f t="shared" si="2"/>
        <v>3063</v>
      </c>
      <c r="IG46" s="104">
        <v>959</v>
      </c>
      <c r="IH46" s="104">
        <v>1150</v>
      </c>
      <c r="II46" s="104">
        <v>1417</v>
      </c>
      <c r="IJ46" s="104">
        <v>1166</v>
      </c>
      <c r="IK46" s="104">
        <v>1213</v>
      </c>
      <c r="IL46" s="104">
        <v>1210</v>
      </c>
      <c r="IM46" s="104">
        <v>1219</v>
      </c>
      <c r="IN46" s="104">
        <v>1458</v>
      </c>
      <c r="IO46" s="104">
        <v>1547</v>
      </c>
      <c r="IP46" s="104">
        <v>1504</v>
      </c>
      <c r="IQ46" s="104">
        <v>1037</v>
      </c>
      <c r="IR46" s="107">
        <v>886</v>
      </c>
      <c r="IS46" s="38">
        <f t="shared" si="3"/>
        <v>14766</v>
      </c>
      <c r="IT46" s="36">
        <f t="shared" si="39"/>
        <v>17829</v>
      </c>
      <c r="IU46" s="26"/>
      <c r="IV46" s="32">
        <v>507</v>
      </c>
      <c r="IW46" s="32">
        <v>544</v>
      </c>
      <c r="IX46" s="32">
        <v>654</v>
      </c>
      <c r="IY46" s="32">
        <v>576</v>
      </c>
      <c r="IZ46" s="32">
        <v>786</v>
      </c>
      <c r="JA46" s="32">
        <v>820</v>
      </c>
      <c r="JB46" s="32">
        <v>678</v>
      </c>
      <c r="JC46" s="32">
        <v>796</v>
      </c>
      <c r="JD46" s="32">
        <v>782</v>
      </c>
      <c r="JE46" s="32">
        <v>744</v>
      </c>
      <c r="JF46" s="32">
        <v>633</v>
      </c>
      <c r="JG46" s="32">
        <v>617</v>
      </c>
      <c r="JH46" s="38">
        <f t="shared" si="4"/>
        <v>8137</v>
      </c>
      <c r="JI46" s="110">
        <v>1537</v>
      </c>
      <c r="JJ46" s="32">
        <v>1782</v>
      </c>
      <c r="JK46" s="32">
        <v>2308</v>
      </c>
      <c r="JL46" s="32">
        <v>2425</v>
      </c>
      <c r="JM46" s="32">
        <v>2238</v>
      </c>
      <c r="JN46" s="32">
        <v>2214</v>
      </c>
      <c r="JO46" s="32">
        <v>2538</v>
      </c>
      <c r="JP46" s="98">
        <v>2705</v>
      </c>
      <c r="JQ46" s="32">
        <v>3505</v>
      </c>
      <c r="JR46" s="32">
        <v>2891</v>
      </c>
      <c r="JS46" s="32">
        <v>2655</v>
      </c>
      <c r="JT46" s="32">
        <v>1680</v>
      </c>
      <c r="JU46" s="35">
        <f t="shared" si="5"/>
        <v>28478</v>
      </c>
      <c r="JV46" s="40">
        <f t="shared" si="30"/>
        <v>36615</v>
      </c>
      <c r="JW46" s="26"/>
      <c r="JX46" s="32">
        <v>259</v>
      </c>
      <c r="JY46" s="32">
        <v>283</v>
      </c>
      <c r="JZ46" s="32">
        <v>365</v>
      </c>
      <c r="KA46" s="32">
        <v>243</v>
      </c>
      <c r="KB46" s="32">
        <v>251</v>
      </c>
      <c r="KC46" s="32">
        <v>233</v>
      </c>
      <c r="KD46" s="32">
        <v>224</v>
      </c>
      <c r="KE46" s="92">
        <v>324</v>
      </c>
      <c r="KF46" s="32">
        <v>368</v>
      </c>
      <c r="KG46" s="32">
        <v>353</v>
      </c>
      <c r="KH46" s="32">
        <v>252</v>
      </c>
      <c r="KI46" s="32">
        <v>247</v>
      </c>
      <c r="KJ46" s="38">
        <f t="shared" si="6"/>
        <v>3402</v>
      </c>
      <c r="KK46" s="32">
        <v>1160</v>
      </c>
      <c r="KL46" s="113">
        <v>1012</v>
      </c>
      <c r="KM46" s="113">
        <v>1251</v>
      </c>
      <c r="KN46" s="49">
        <v>1097</v>
      </c>
      <c r="KO46" s="49">
        <v>1224</v>
      </c>
      <c r="KP46" s="49">
        <v>1217</v>
      </c>
      <c r="KQ46" s="49">
        <v>1026</v>
      </c>
      <c r="KR46" s="47">
        <v>1141</v>
      </c>
      <c r="KS46" s="32">
        <v>1198</v>
      </c>
      <c r="KT46" s="32">
        <v>1421</v>
      </c>
      <c r="KU46" s="32">
        <v>1216</v>
      </c>
      <c r="KV46" s="32">
        <v>1127</v>
      </c>
      <c r="KW46" s="38">
        <f t="shared" si="7"/>
        <v>14090</v>
      </c>
      <c r="KX46" s="36">
        <f t="shared" si="31"/>
        <v>17492</v>
      </c>
      <c r="KY46" s="26"/>
      <c r="KZ46" s="101">
        <v>1210</v>
      </c>
      <c r="LA46" s="101">
        <v>1248</v>
      </c>
      <c r="LB46" s="101">
        <v>1494</v>
      </c>
      <c r="LC46" s="101">
        <v>1427</v>
      </c>
      <c r="LD46" s="101">
        <v>1695</v>
      </c>
      <c r="LE46" s="101">
        <v>1601</v>
      </c>
      <c r="LF46" s="101">
        <v>1525</v>
      </c>
      <c r="LG46" s="102">
        <v>1721</v>
      </c>
      <c r="LH46" s="101">
        <v>1982</v>
      </c>
      <c r="LI46" s="101">
        <v>1804</v>
      </c>
      <c r="LJ46" s="101">
        <v>1438</v>
      </c>
      <c r="LK46" s="115">
        <v>1461</v>
      </c>
      <c r="LL46" s="38">
        <f t="shared" si="32"/>
        <v>18606</v>
      </c>
      <c r="LM46" s="26"/>
      <c r="LN46" s="45">
        <v>4048</v>
      </c>
      <c r="LO46" s="45">
        <v>2708</v>
      </c>
      <c r="LP46" s="45">
        <v>3284</v>
      </c>
      <c r="LQ46" s="45">
        <v>3112</v>
      </c>
      <c r="LR46" s="45">
        <v>3556</v>
      </c>
      <c r="LS46" s="45">
        <v>3426</v>
      </c>
      <c r="LT46" s="45">
        <v>4194</v>
      </c>
      <c r="LU46" s="45">
        <v>3820</v>
      </c>
      <c r="LV46" s="45">
        <v>4882</v>
      </c>
      <c r="LW46" s="45">
        <v>5021</v>
      </c>
      <c r="LX46" s="45">
        <v>4045</v>
      </c>
      <c r="LY46" s="45">
        <v>4493</v>
      </c>
      <c r="LZ46" s="38">
        <f t="shared" si="8"/>
        <v>46589</v>
      </c>
      <c r="MA46" s="26"/>
      <c r="MB46" s="45">
        <v>5058</v>
      </c>
      <c r="MC46" s="45">
        <v>4905</v>
      </c>
      <c r="MD46" s="45">
        <v>5197</v>
      </c>
      <c r="ME46" s="45">
        <v>4461</v>
      </c>
      <c r="MF46" s="45">
        <v>5239</v>
      </c>
      <c r="MG46" s="45">
        <v>2605</v>
      </c>
      <c r="MH46" s="45">
        <v>4930</v>
      </c>
      <c r="MI46" s="45">
        <v>5318</v>
      </c>
      <c r="MJ46" s="45">
        <v>5056</v>
      </c>
      <c r="MK46" s="45">
        <v>5049</v>
      </c>
      <c r="ML46" s="45">
        <v>4373</v>
      </c>
      <c r="MM46" s="45">
        <v>4042</v>
      </c>
      <c r="MN46" s="38">
        <f t="shared" si="9"/>
        <v>56233</v>
      </c>
      <c r="MO46" s="32">
        <v>8579</v>
      </c>
      <c r="MP46" s="32">
        <v>8418</v>
      </c>
      <c r="MQ46" s="32">
        <v>9056</v>
      </c>
      <c r="MR46" s="32">
        <v>7597</v>
      </c>
      <c r="MS46" s="32">
        <v>9041</v>
      </c>
      <c r="MT46" s="32">
        <v>9250</v>
      </c>
      <c r="MU46" s="32">
        <v>7350</v>
      </c>
      <c r="MV46" s="47">
        <v>9247</v>
      </c>
      <c r="MW46" s="32">
        <v>10352</v>
      </c>
      <c r="MX46" s="32">
        <v>9899</v>
      </c>
      <c r="MY46" s="32">
        <v>8636</v>
      </c>
      <c r="MZ46" s="32">
        <v>7120</v>
      </c>
      <c r="NA46" s="38">
        <f t="shared" si="10"/>
        <v>104545</v>
      </c>
      <c r="NB46" s="36">
        <f t="shared" si="33"/>
        <v>160778</v>
      </c>
      <c r="NC46" s="26"/>
      <c r="ND46" s="98">
        <v>785</v>
      </c>
      <c r="NE46" s="32">
        <v>827</v>
      </c>
      <c r="NF46" s="32">
        <v>1110</v>
      </c>
      <c r="NG46" s="32">
        <v>789</v>
      </c>
      <c r="NH46" s="32">
        <v>972</v>
      </c>
      <c r="NI46" s="32">
        <v>726</v>
      </c>
      <c r="NJ46" s="32">
        <v>742</v>
      </c>
      <c r="NK46" s="92">
        <v>770</v>
      </c>
      <c r="NL46" s="32">
        <v>787</v>
      </c>
      <c r="NM46" s="32">
        <v>930</v>
      </c>
      <c r="NN46" s="32">
        <v>580</v>
      </c>
      <c r="NO46" s="32">
        <v>627</v>
      </c>
      <c r="NP46" s="118">
        <f t="shared" si="11"/>
        <v>9645</v>
      </c>
      <c r="NQ46" s="36">
        <f t="shared" si="34"/>
        <v>61616</v>
      </c>
      <c r="NR46" s="36">
        <f t="shared" si="35"/>
        <v>358312</v>
      </c>
      <c r="NS46" s="36">
        <f t="shared" si="36"/>
        <v>246061</v>
      </c>
      <c r="NT46" s="36">
        <f t="shared" si="37"/>
        <v>665989</v>
      </c>
      <c r="NU46" s="10"/>
      <c r="NV46" s="10"/>
      <c r="NW46" s="10"/>
      <c r="NX46" s="10"/>
      <c r="NY46" s="10"/>
      <c r="NZ46" s="10"/>
      <c r="OA46" s="10"/>
      <c r="OB46" s="10"/>
      <c r="OC46" s="19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9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9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</row>
    <row r="47" spans="1:458" s="1" customFormat="1" ht="50.1" customHeight="1" x14ac:dyDescent="0.25">
      <c r="A47" s="120"/>
      <c r="B47" s="6" t="s">
        <v>18</v>
      </c>
      <c r="C47" s="24"/>
      <c r="D47" s="41">
        <v>317</v>
      </c>
      <c r="E47" s="41">
        <v>291</v>
      </c>
      <c r="F47" s="41">
        <v>208</v>
      </c>
      <c r="G47" s="41">
        <v>127</v>
      </c>
      <c r="H47" s="41">
        <v>137</v>
      </c>
      <c r="I47" s="41">
        <v>166</v>
      </c>
      <c r="J47" s="41">
        <v>212</v>
      </c>
      <c r="K47" s="41">
        <v>118</v>
      </c>
      <c r="L47" s="41">
        <v>101</v>
      </c>
      <c r="M47" s="41">
        <v>231</v>
      </c>
      <c r="N47" s="41">
        <v>249</v>
      </c>
      <c r="O47" s="41">
        <v>216</v>
      </c>
      <c r="P47" s="38">
        <f t="shared" si="12"/>
        <v>2373</v>
      </c>
      <c r="Q47" s="49">
        <v>3646</v>
      </c>
      <c r="R47" s="49">
        <v>4522</v>
      </c>
      <c r="S47" s="49">
        <v>4666</v>
      </c>
      <c r="T47" s="49">
        <v>3491</v>
      </c>
      <c r="U47" s="49">
        <v>4893</v>
      </c>
      <c r="V47" s="49">
        <v>5344</v>
      </c>
      <c r="W47" s="49">
        <v>4798</v>
      </c>
      <c r="X47" s="50">
        <v>4514</v>
      </c>
      <c r="Y47" s="49">
        <v>2518</v>
      </c>
      <c r="Z47" s="49">
        <v>2556</v>
      </c>
      <c r="AA47" s="49">
        <v>2696</v>
      </c>
      <c r="AB47" s="49">
        <v>2724</v>
      </c>
      <c r="AC47" s="38">
        <f t="shared" si="38"/>
        <v>46368</v>
      </c>
      <c r="AD47" s="36">
        <f t="shared" si="13"/>
        <v>48741</v>
      </c>
      <c r="AE47" s="26"/>
      <c r="AF47" s="32">
        <v>29</v>
      </c>
      <c r="AG47" s="32">
        <v>14</v>
      </c>
      <c r="AH47" s="32">
        <v>13</v>
      </c>
      <c r="AI47" s="32">
        <v>11</v>
      </c>
      <c r="AJ47" s="32">
        <v>9</v>
      </c>
      <c r="AK47" s="32">
        <v>8</v>
      </c>
      <c r="AL47" s="32">
        <v>7</v>
      </c>
      <c r="AM47" s="47">
        <v>102</v>
      </c>
      <c r="AN47" s="32">
        <v>177</v>
      </c>
      <c r="AO47" s="32">
        <v>121</v>
      </c>
      <c r="AP47" s="32">
        <v>124</v>
      </c>
      <c r="AQ47" s="32">
        <v>129</v>
      </c>
      <c r="AR47" s="38">
        <f t="shared" si="14"/>
        <v>744</v>
      </c>
      <c r="AS47" s="32">
        <v>323</v>
      </c>
      <c r="AT47" s="32">
        <v>125</v>
      </c>
      <c r="AU47" s="32">
        <v>62</v>
      </c>
      <c r="AV47" s="32">
        <v>41</v>
      </c>
      <c r="AW47" s="32">
        <v>55</v>
      </c>
      <c r="AX47" s="32">
        <v>89</v>
      </c>
      <c r="AY47" s="32">
        <v>92</v>
      </c>
      <c r="AZ47" s="32">
        <v>116</v>
      </c>
      <c r="BA47" s="32">
        <v>73</v>
      </c>
      <c r="BB47" s="32">
        <v>86</v>
      </c>
      <c r="BC47" s="32">
        <v>85</v>
      </c>
      <c r="BD47" s="32">
        <v>62</v>
      </c>
      <c r="BE47" s="38">
        <f t="shared" si="15"/>
        <v>1209</v>
      </c>
      <c r="BF47" s="36">
        <f t="shared" si="16"/>
        <v>1953</v>
      </c>
      <c r="BG47" s="26"/>
      <c r="BH47" s="41">
        <v>4</v>
      </c>
      <c r="BI47" s="41">
        <v>8</v>
      </c>
      <c r="BJ47" s="41">
        <v>2</v>
      </c>
      <c r="BK47" s="41">
        <v>1</v>
      </c>
      <c r="BL47" s="41">
        <v>4</v>
      </c>
      <c r="BM47" s="41">
        <v>6</v>
      </c>
      <c r="BN47" s="41">
        <v>1</v>
      </c>
      <c r="BO47" s="41">
        <v>2</v>
      </c>
      <c r="BP47" s="41">
        <v>5</v>
      </c>
      <c r="BQ47" s="41">
        <v>2</v>
      </c>
      <c r="BR47" s="41">
        <v>8</v>
      </c>
      <c r="BS47" s="41">
        <v>1</v>
      </c>
      <c r="BT47" s="38">
        <f t="shared" si="17"/>
        <v>44</v>
      </c>
      <c r="BU47" s="54">
        <v>85</v>
      </c>
      <c r="BV47" s="54">
        <v>94</v>
      </c>
      <c r="BW47" s="54">
        <v>108</v>
      </c>
      <c r="BX47" s="54">
        <v>93</v>
      </c>
      <c r="BY47" s="54">
        <v>144</v>
      </c>
      <c r="BZ47" s="54">
        <v>123</v>
      </c>
      <c r="CA47" s="54">
        <v>75</v>
      </c>
      <c r="CB47" s="54">
        <v>75</v>
      </c>
      <c r="CC47" s="54">
        <v>155</v>
      </c>
      <c r="CD47" s="54">
        <v>145</v>
      </c>
      <c r="CE47" s="54">
        <v>101</v>
      </c>
      <c r="CF47" s="54">
        <v>99</v>
      </c>
      <c r="CG47" s="38">
        <f t="shared" si="18"/>
        <v>1297</v>
      </c>
      <c r="CH47" s="36">
        <f t="shared" si="19"/>
        <v>1341</v>
      </c>
      <c r="CI47" s="26"/>
      <c r="CJ47" s="32">
        <v>78</v>
      </c>
      <c r="CK47" s="32">
        <v>69</v>
      </c>
      <c r="CL47" s="32">
        <v>90</v>
      </c>
      <c r="CM47" s="32">
        <v>64</v>
      </c>
      <c r="CN47" s="32">
        <v>63</v>
      </c>
      <c r="CO47" s="32">
        <v>94</v>
      </c>
      <c r="CP47" s="32">
        <v>83</v>
      </c>
      <c r="CQ47" s="47">
        <v>99</v>
      </c>
      <c r="CR47" s="32">
        <v>91</v>
      </c>
      <c r="CS47" s="32">
        <v>111</v>
      </c>
      <c r="CT47" s="32">
        <v>92</v>
      </c>
      <c r="CU47" s="32">
        <v>99</v>
      </c>
      <c r="CV47" s="38">
        <f t="shared" si="20"/>
        <v>1033</v>
      </c>
      <c r="CW47" s="54">
        <v>158</v>
      </c>
      <c r="CX47" s="54">
        <v>123</v>
      </c>
      <c r="CY47" s="54">
        <v>226</v>
      </c>
      <c r="CZ47" s="54">
        <v>143</v>
      </c>
      <c r="DA47" s="54">
        <v>224</v>
      </c>
      <c r="DB47" s="54">
        <v>192</v>
      </c>
      <c r="DC47" s="54">
        <v>232</v>
      </c>
      <c r="DD47" s="54">
        <v>312</v>
      </c>
      <c r="DE47" s="54">
        <v>380</v>
      </c>
      <c r="DF47" s="54">
        <v>341</v>
      </c>
      <c r="DG47" s="54">
        <v>297</v>
      </c>
      <c r="DH47" s="54">
        <v>273</v>
      </c>
      <c r="DI47" s="38">
        <f t="shared" si="21"/>
        <v>2901</v>
      </c>
      <c r="DJ47" s="36">
        <f t="shared" si="22"/>
        <v>3934</v>
      </c>
      <c r="DK47" s="26"/>
      <c r="DL47" s="75">
        <v>26</v>
      </c>
      <c r="DM47" s="75">
        <v>27</v>
      </c>
      <c r="DN47" s="75">
        <v>9</v>
      </c>
      <c r="DO47" s="75">
        <v>5</v>
      </c>
      <c r="DP47" s="75">
        <v>8</v>
      </c>
      <c r="DQ47" s="75">
        <v>42</v>
      </c>
      <c r="DR47" s="75">
        <v>25</v>
      </c>
      <c r="DS47" s="77">
        <v>28</v>
      </c>
      <c r="DT47" s="75">
        <v>36</v>
      </c>
      <c r="DU47" s="75">
        <v>73</v>
      </c>
      <c r="DV47" s="75">
        <v>100</v>
      </c>
      <c r="DW47" s="75">
        <v>44</v>
      </c>
      <c r="DX47" s="38">
        <f t="shared" si="0"/>
        <v>423</v>
      </c>
      <c r="DY47" s="64">
        <v>83</v>
      </c>
      <c r="DZ47" s="64">
        <v>47</v>
      </c>
      <c r="EA47" s="64">
        <v>77</v>
      </c>
      <c r="EB47" s="64">
        <v>54</v>
      </c>
      <c r="EC47" s="64">
        <v>84</v>
      </c>
      <c r="ED47" s="64">
        <v>64</v>
      </c>
      <c r="EE47" s="64">
        <v>67</v>
      </c>
      <c r="EF47" s="66">
        <v>77</v>
      </c>
      <c r="EG47" s="65">
        <v>45</v>
      </c>
      <c r="EH47" s="65">
        <v>94</v>
      </c>
      <c r="EI47" s="65">
        <v>124</v>
      </c>
      <c r="EJ47" s="65">
        <v>117</v>
      </c>
      <c r="EK47" s="38">
        <f t="shared" si="23"/>
        <v>933</v>
      </c>
      <c r="EL47" s="36">
        <f t="shared" si="1"/>
        <v>1356</v>
      </c>
      <c r="EM47" s="26"/>
      <c r="EN47" s="32">
        <v>185</v>
      </c>
      <c r="EO47" s="32">
        <v>105</v>
      </c>
      <c r="EP47" s="32">
        <v>114</v>
      </c>
      <c r="EQ47" s="32">
        <v>123</v>
      </c>
      <c r="ER47" s="32">
        <v>152</v>
      </c>
      <c r="ES47" s="32">
        <v>102</v>
      </c>
      <c r="ET47" s="32">
        <v>79</v>
      </c>
      <c r="EU47" s="47">
        <v>76</v>
      </c>
      <c r="EV47" s="32">
        <v>43</v>
      </c>
      <c r="EW47" s="32">
        <v>89</v>
      </c>
      <c r="EX47" s="32">
        <v>89</v>
      </c>
      <c r="EY47" s="32">
        <v>77</v>
      </c>
      <c r="EZ47" s="38">
        <f t="shared" si="24"/>
        <v>1234</v>
      </c>
      <c r="FA47" s="26"/>
      <c r="FB47" s="104">
        <v>901</v>
      </c>
      <c r="FC47" s="104">
        <v>674</v>
      </c>
      <c r="FD47" s="104">
        <v>702</v>
      </c>
      <c r="FE47" s="104">
        <v>665</v>
      </c>
      <c r="FF47" s="104">
        <v>909</v>
      </c>
      <c r="FG47" s="104">
        <v>1027</v>
      </c>
      <c r="FH47" s="104">
        <v>1211</v>
      </c>
      <c r="FI47" s="104">
        <v>1050</v>
      </c>
      <c r="FJ47" s="104">
        <v>821</v>
      </c>
      <c r="FK47" s="104">
        <v>667</v>
      </c>
      <c r="FL47" s="104">
        <v>373</v>
      </c>
      <c r="FM47" s="104">
        <v>455</v>
      </c>
      <c r="FN47" s="38">
        <f t="shared" si="25"/>
        <v>9455</v>
      </c>
      <c r="FO47" s="26"/>
      <c r="FP47" s="32">
        <v>30</v>
      </c>
      <c r="FQ47" s="32">
        <v>5</v>
      </c>
      <c r="FR47" s="32">
        <v>13</v>
      </c>
      <c r="FS47" s="32">
        <v>8</v>
      </c>
      <c r="FT47" s="32">
        <v>5</v>
      </c>
      <c r="FU47" s="32">
        <v>58</v>
      </c>
      <c r="FV47" s="32">
        <v>44</v>
      </c>
      <c r="FW47" s="92">
        <v>60</v>
      </c>
      <c r="FX47" s="32">
        <v>44</v>
      </c>
      <c r="FY47" s="32">
        <v>53</v>
      </c>
      <c r="FZ47" s="32">
        <v>10</v>
      </c>
      <c r="GA47" s="32">
        <v>16</v>
      </c>
      <c r="GB47" s="38">
        <f t="shared" si="26"/>
        <v>346</v>
      </c>
      <c r="GC47" s="26"/>
      <c r="GD47" s="101">
        <v>197</v>
      </c>
      <c r="GE47" s="106">
        <v>116</v>
      </c>
      <c r="GF47" s="101">
        <v>158</v>
      </c>
      <c r="GG47" s="101">
        <v>130</v>
      </c>
      <c r="GH47" s="101">
        <v>172</v>
      </c>
      <c r="GI47" s="101">
        <v>182</v>
      </c>
      <c r="GJ47" s="101">
        <v>115</v>
      </c>
      <c r="GK47" s="101">
        <v>88</v>
      </c>
      <c r="GL47" s="101">
        <v>104</v>
      </c>
      <c r="GM47" s="101">
        <v>111</v>
      </c>
      <c r="GN47" s="101">
        <v>84</v>
      </c>
      <c r="GO47" s="101">
        <v>66</v>
      </c>
      <c r="GP47" s="38">
        <f t="shared" si="27"/>
        <v>1523</v>
      </c>
      <c r="GQ47" s="26"/>
      <c r="GR47" s="32">
        <v>106</v>
      </c>
      <c r="GS47" s="32">
        <v>35</v>
      </c>
      <c r="GT47" s="32">
        <v>33</v>
      </c>
      <c r="GU47" s="32">
        <v>12</v>
      </c>
      <c r="GV47" s="32">
        <v>20</v>
      </c>
      <c r="GW47" s="32">
        <v>12</v>
      </c>
      <c r="GX47" s="32">
        <v>19</v>
      </c>
      <c r="GY47" s="32">
        <v>16</v>
      </c>
      <c r="GZ47" s="32">
        <v>47</v>
      </c>
      <c r="HA47" s="32">
        <v>50</v>
      </c>
      <c r="HB47" s="32">
        <v>55</v>
      </c>
      <c r="HC47" s="32">
        <v>36</v>
      </c>
      <c r="HD47" s="38">
        <f t="shared" si="28"/>
        <v>441</v>
      </c>
      <c r="HE47" s="26"/>
      <c r="HF47" s="54">
        <v>251</v>
      </c>
      <c r="HG47" s="54">
        <v>262</v>
      </c>
      <c r="HH47" s="54">
        <v>234</v>
      </c>
      <c r="HI47" s="54">
        <v>156</v>
      </c>
      <c r="HJ47" s="54">
        <v>241</v>
      </c>
      <c r="HK47" s="54">
        <v>390</v>
      </c>
      <c r="HL47" s="54">
        <v>486</v>
      </c>
      <c r="HM47" s="54">
        <v>520</v>
      </c>
      <c r="HN47" s="54">
        <v>284</v>
      </c>
      <c r="HO47" s="54">
        <v>333</v>
      </c>
      <c r="HP47" s="54">
        <v>350</v>
      </c>
      <c r="HQ47" s="54">
        <v>390</v>
      </c>
      <c r="HR47" s="38">
        <f t="shared" si="29"/>
        <v>3897</v>
      </c>
      <c r="HS47" s="26"/>
      <c r="HT47" s="32">
        <v>13</v>
      </c>
      <c r="HU47" s="32">
        <v>6</v>
      </c>
      <c r="HV47" s="32">
        <v>25</v>
      </c>
      <c r="HW47" s="32">
        <v>12</v>
      </c>
      <c r="HX47" s="32">
        <v>14</v>
      </c>
      <c r="HY47" s="32">
        <v>20</v>
      </c>
      <c r="HZ47" s="32">
        <v>8</v>
      </c>
      <c r="IA47" s="92">
        <v>12</v>
      </c>
      <c r="IB47" s="32">
        <v>23</v>
      </c>
      <c r="IC47" s="32">
        <v>24</v>
      </c>
      <c r="ID47" s="32">
        <v>22</v>
      </c>
      <c r="IE47" s="69">
        <v>20</v>
      </c>
      <c r="IF47" s="38">
        <f t="shared" si="2"/>
        <v>199</v>
      </c>
      <c r="IG47" s="104">
        <v>345</v>
      </c>
      <c r="IH47" s="104">
        <v>176</v>
      </c>
      <c r="II47" s="104">
        <v>192</v>
      </c>
      <c r="IJ47" s="104">
        <v>240</v>
      </c>
      <c r="IK47" s="104">
        <v>371</v>
      </c>
      <c r="IL47" s="104">
        <v>263</v>
      </c>
      <c r="IM47" s="104">
        <v>290</v>
      </c>
      <c r="IN47" s="104">
        <v>178</v>
      </c>
      <c r="IO47" s="104">
        <v>247</v>
      </c>
      <c r="IP47" s="104">
        <v>326</v>
      </c>
      <c r="IQ47" s="104">
        <v>279</v>
      </c>
      <c r="IR47" s="107">
        <v>293</v>
      </c>
      <c r="IS47" s="38">
        <f t="shared" si="3"/>
        <v>3200</v>
      </c>
      <c r="IT47" s="36">
        <f t="shared" si="39"/>
        <v>3399</v>
      </c>
      <c r="IU47" s="26"/>
      <c r="IV47" s="32">
        <v>172</v>
      </c>
      <c r="IW47" s="32">
        <v>66</v>
      </c>
      <c r="IX47" s="32">
        <v>63</v>
      </c>
      <c r="IY47" s="32">
        <v>68</v>
      </c>
      <c r="IZ47" s="32">
        <v>35</v>
      </c>
      <c r="JA47" s="32">
        <v>23</v>
      </c>
      <c r="JB47" s="32">
        <v>81</v>
      </c>
      <c r="JC47" s="32">
        <v>69</v>
      </c>
      <c r="JD47" s="32">
        <v>100</v>
      </c>
      <c r="JE47" s="32">
        <v>202</v>
      </c>
      <c r="JF47" s="32">
        <v>104</v>
      </c>
      <c r="JG47" s="32">
        <v>94</v>
      </c>
      <c r="JH47" s="38">
        <f t="shared" si="4"/>
        <v>1077</v>
      </c>
      <c r="JI47" s="110">
        <v>1018</v>
      </c>
      <c r="JJ47" s="32">
        <v>545</v>
      </c>
      <c r="JK47" s="32">
        <v>651</v>
      </c>
      <c r="JL47" s="32">
        <v>582</v>
      </c>
      <c r="JM47" s="32">
        <v>543</v>
      </c>
      <c r="JN47" s="32">
        <v>760</v>
      </c>
      <c r="JO47" s="32">
        <v>570</v>
      </c>
      <c r="JP47" s="98">
        <v>758</v>
      </c>
      <c r="JQ47" s="32">
        <v>743</v>
      </c>
      <c r="JR47" s="32">
        <v>827</v>
      </c>
      <c r="JS47" s="32">
        <v>1256</v>
      </c>
      <c r="JT47" s="32">
        <v>1317</v>
      </c>
      <c r="JU47" s="35">
        <f t="shared" si="5"/>
        <v>9570</v>
      </c>
      <c r="JV47" s="40">
        <f t="shared" si="30"/>
        <v>10647</v>
      </c>
      <c r="JW47" s="26"/>
      <c r="JX47" s="32">
        <v>9</v>
      </c>
      <c r="JY47" s="32">
        <v>14</v>
      </c>
      <c r="JZ47" s="32">
        <v>14</v>
      </c>
      <c r="KA47" s="32">
        <v>23</v>
      </c>
      <c r="KB47" s="32">
        <v>45</v>
      </c>
      <c r="KC47" s="32">
        <v>41</v>
      </c>
      <c r="KD47" s="32">
        <v>52</v>
      </c>
      <c r="KE47" s="92">
        <v>22</v>
      </c>
      <c r="KF47" s="32">
        <v>17</v>
      </c>
      <c r="KG47" s="32">
        <v>24</v>
      </c>
      <c r="KH47" s="32">
        <v>36</v>
      </c>
      <c r="KI47" s="32">
        <v>30</v>
      </c>
      <c r="KJ47" s="38">
        <f t="shared" si="6"/>
        <v>327</v>
      </c>
      <c r="KK47" s="32">
        <v>266</v>
      </c>
      <c r="KL47" s="113">
        <v>180</v>
      </c>
      <c r="KM47" s="113">
        <v>160</v>
      </c>
      <c r="KN47" s="49">
        <v>149</v>
      </c>
      <c r="KO47" s="49">
        <v>221</v>
      </c>
      <c r="KP47" s="49">
        <v>150</v>
      </c>
      <c r="KQ47" s="49">
        <v>175</v>
      </c>
      <c r="KR47" s="47">
        <v>188</v>
      </c>
      <c r="KS47" s="32">
        <v>182</v>
      </c>
      <c r="KT47" s="32">
        <v>104</v>
      </c>
      <c r="KU47" s="32">
        <v>150</v>
      </c>
      <c r="KV47" s="32">
        <v>169</v>
      </c>
      <c r="KW47" s="38">
        <f t="shared" si="7"/>
        <v>2094</v>
      </c>
      <c r="KX47" s="36">
        <f t="shared" si="31"/>
        <v>2421</v>
      </c>
      <c r="KY47" s="26"/>
      <c r="KZ47" s="101">
        <v>75</v>
      </c>
      <c r="LA47" s="101">
        <v>86</v>
      </c>
      <c r="LB47" s="101">
        <v>103</v>
      </c>
      <c r="LC47" s="101">
        <v>118</v>
      </c>
      <c r="LD47" s="101">
        <v>123</v>
      </c>
      <c r="LE47" s="101">
        <v>101</v>
      </c>
      <c r="LF47" s="101">
        <v>88</v>
      </c>
      <c r="LG47" s="102">
        <v>143</v>
      </c>
      <c r="LH47" s="101">
        <v>189</v>
      </c>
      <c r="LI47" s="101">
        <v>230</v>
      </c>
      <c r="LJ47" s="101">
        <v>187</v>
      </c>
      <c r="LK47" s="115">
        <v>184</v>
      </c>
      <c r="LL47" s="38">
        <f t="shared" si="32"/>
        <v>1627</v>
      </c>
      <c r="LM47" s="26"/>
      <c r="LN47" s="45">
        <v>840</v>
      </c>
      <c r="LO47" s="45">
        <v>453</v>
      </c>
      <c r="LP47" s="45">
        <v>438</v>
      </c>
      <c r="LQ47" s="45">
        <v>278</v>
      </c>
      <c r="LR47" s="45">
        <v>363</v>
      </c>
      <c r="LS47" s="45">
        <v>449</v>
      </c>
      <c r="LT47" s="45">
        <v>464</v>
      </c>
      <c r="LU47" s="45">
        <v>849</v>
      </c>
      <c r="LV47" s="45">
        <v>321</v>
      </c>
      <c r="LW47" s="45">
        <v>382</v>
      </c>
      <c r="LX47" s="45">
        <v>464</v>
      </c>
      <c r="LY47" s="45">
        <v>261</v>
      </c>
      <c r="LZ47" s="38">
        <f t="shared" si="8"/>
        <v>5562</v>
      </c>
      <c r="MA47" s="26"/>
      <c r="MB47" s="45">
        <v>367</v>
      </c>
      <c r="MC47" s="45">
        <v>388</v>
      </c>
      <c r="MD47" s="45">
        <v>256</v>
      </c>
      <c r="ME47" s="45">
        <v>160</v>
      </c>
      <c r="MF47" s="45">
        <v>347</v>
      </c>
      <c r="MG47" s="45">
        <v>273</v>
      </c>
      <c r="MH47" s="45">
        <v>441</v>
      </c>
      <c r="MI47" s="45">
        <v>265</v>
      </c>
      <c r="MJ47" s="45">
        <v>344</v>
      </c>
      <c r="MK47" s="45">
        <v>287</v>
      </c>
      <c r="ML47" s="45">
        <v>206</v>
      </c>
      <c r="MM47" s="45">
        <v>211</v>
      </c>
      <c r="MN47" s="38">
        <f t="shared" si="9"/>
        <v>3545</v>
      </c>
      <c r="MO47" s="32">
        <v>624</v>
      </c>
      <c r="MP47" s="32">
        <v>638</v>
      </c>
      <c r="MQ47" s="32">
        <v>698</v>
      </c>
      <c r="MR47" s="32">
        <v>639</v>
      </c>
      <c r="MS47" s="32">
        <v>643</v>
      </c>
      <c r="MT47" s="32">
        <v>531</v>
      </c>
      <c r="MU47" s="32">
        <v>1094</v>
      </c>
      <c r="MV47" s="47">
        <v>995</v>
      </c>
      <c r="MW47" s="32">
        <v>669</v>
      </c>
      <c r="MX47" s="32">
        <v>564</v>
      </c>
      <c r="MY47" s="32">
        <v>736</v>
      </c>
      <c r="MZ47" s="32">
        <v>614</v>
      </c>
      <c r="NA47" s="38">
        <f t="shared" si="10"/>
        <v>8445</v>
      </c>
      <c r="NB47" s="36">
        <f t="shared" si="33"/>
        <v>11990</v>
      </c>
      <c r="NC47" s="26"/>
      <c r="ND47" s="98">
        <v>99</v>
      </c>
      <c r="NE47" s="32">
        <v>78</v>
      </c>
      <c r="NF47" s="32">
        <v>85</v>
      </c>
      <c r="NG47" s="32">
        <v>89</v>
      </c>
      <c r="NH47" s="32">
        <v>105</v>
      </c>
      <c r="NI47" s="32">
        <v>176</v>
      </c>
      <c r="NJ47" s="32">
        <v>158</v>
      </c>
      <c r="NK47" s="92">
        <v>150</v>
      </c>
      <c r="NL47" s="32">
        <v>89</v>
      </c>
      <c r="NM47" s="32">
        <v>123</v>
      </c>
      <c r="NN47" s="32">
        <v>78</v>
      </c>
      <c r="NO47" s="32">
        <v>88</v>
      </c>
      <c r="NP47" s="118">
        <f t="shared" si="11"/>
        <v>1318</v>
      </c>
      <c r="NQ47" s="36">
        <f t="shared" si="34"/>
        <v>5584</v>
      </c>
      <c r="NR47" s="36">
        <f t="shared" si="35"/>
        <v>41218</v>
      </c>
      <c r="NS47" s="36">
        <f t="shared" si="36"/>
        <v>64383</v>
      </c>
      <c r="NT47" s="36">
        <f t="shared" si="37"/>
        <v>111185</v>
      </c>
      <c r="NU47" s="10"/>
      <c r="NV47" s="10"/>
      <c r="NW47" s="10"/>
      <c r="NX47" s="10"/>
      <c r="NY47" s="10"/>
      <c r="NZ47" s="10"/>
      <c r="OA47" s="10"/>
      <c r="OB47" s="10"/>
      <c r="OC47" s="19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9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9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</row>
    <row r="48" spans="1:458" s="1" customFormat="1" ht="50.1" customHeight="1" x14ac:dyDescent="0.25">
      <c r="A48" s="120"/>
      <c r="B48" s="6" t="s">
        <v>19</v>
      </c>
      <c r="C48" s="24"/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38">
        <f t="shared" si="12"/>
        <v>0</v>
      </c>
      <c r="Q48" s="49">
        <v>728</v>
      </c>
      <c r="R48" s="49">
        <v>297</v>
      </c>
      <c r="S48" s="49">
        <v>509</v>
      </c>
      <c r="T48" s="49">
        <v>465</v>
      </c>
      <c r="U48" s="49">
        <v>1067</v>
      </c>
      <c r="V48" s="49">
        <v>1264</v>
      </c>
      <c r="W48" s="49">
        <v>1481</v>
      </c>
      <c r="X48" s="50">
        <v>1121</v>
      </c>
      <c r="Y48" s="49">
        <v>595</v>
      </c>
      <c r="Z48" s="49">
        <v>436</v>
      </c>
      <c r="AA48" s="49">
        <v>576</v>
      </c>
      <c r="AB48" s="49">
        <v>545</v>
      </c>
      <c r="AC48" s="38">
        <f t="shared" si="38"/>
        <v>9084</v>
      </c>
      <c r="AD48" s="36">
        <f t="shared" si="13"/>
        <v>9084</v>
      </c>
      <c r="AE48" s="26"/>
      <c r="AF48" s="32">
        <v>4</v>
      </c>
      <c r="AG48" s="32">
        <v>0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47">
        <v>9</v>
      </c>
      <c r="AN48" s="32">
        <v>0</v>
      </c>
      <c r="AO48" s="32">
        <v>3</v>
      </c>
      <c r="AP48" s="32">
        <v>5</v>
      </c>
      <c r="AQ48" s="32">
        <v>0</v>
      </c>
      <c r="AR48" s="38">
        <f t="shared" si="14"/>
        <v>21</v>
      </c>
      <c r="AS48" s="32">
        <v>5</v>
      </c>
      <c r="AT48" s="32">
        <v>5</v>
      </c>
      <c r="AU48" s="32">
        <v>7</v>
      </c>
      <c r="AV48" s="32">
        <v>8</v>
      </c>
      <c r="AW48" s="32">
        <v>5</v>
      </c>
      <c r="AX48" s="32">
        <v>9</v>
      </c>
      <c r="AY48" s="32">
        <v>4</v>
      </c>
      <c r="AZ48" s="32">
        <v>5</v>
      </c>
      <c r="BA48" s="32">
        <v>2</v>
      </c>
      <c r="BB48" s="32">
        <v>10</v>
      </c>
      <c r="BC48" s="32">
        <v>4</v>
      </c>
      <c r="BD48" s="32">
        <v>2</v>
      </c>
      <c r="BE48" s="38">
        <f t="shared" si="15"/>
        <v>66</v>
      </c>
      <c r="BF48" s="36">
        <f t="shared" si="16"/>
        <v>87</v>
      </c>
      <c r="BG48" s="26"/>
      <c r="BH48" s="41">
        <v>9</v>
      </c>
      <c r="BI48" s="41">
        <v>7</v>
      </c>
      <c r="BJ48" s="41">
        <v>1</v>
      </c>
      <c r="BK48" s="41">
        <v>2</v>
      </c>
      <c r="BL48" s="41">
        <v>2</v>
      </c>
      <c r="BM48" s="41">
        <v>3</v>
      </c>
      <c r="BN48" s="41">
        <v>2</v>
      </c>
      <c r="BO48" s="41">
        <v>2</v>
      </c>
      <c r="BP48" s="41">
        <v>3</v>
      </c>
      <c r="BQ48" s="41">
        <v>5</v>
      </c>
      <c r="BR48" s="41">
        <v>5</v>
      </c>
      <c r="BS48" s="41">
        <v>0</v>
      </c>
      <c r="BT48" s="38">
        <f t="shared" si="17"/>
        <v>41</v>
      </c>
      <c r="BU48" s="54">
        <v>1</v>
      </c>
      <c r="BV48" s="54">
        <v>3</v>
      </c>
      <c r="BW48" s="54">
        <v>3</v>
      </c>
      <c r="BX48" s="54">
        <v>0</v>
      </c>
      <c r="BY48" s="54">
        <v>0</v>
      </c>
      <c r="BZ48" s="54">
        <v>1</v>
      </c>
      <c r="CA48" s="54">
        <v>4</v>
      </c>
      <c r="CB48" s="54">
        <v>8</v>
      </c>
      <c r="CC48" s="54">
        <v>10</v>
      </c>
      <c r="CD48" s="54">
        <v>10</v>
      </c>
      <c r="CE48" s="54">
        <v>19</v>
      </c>
      <c r="CF48" s="54">
        <v>14</v>
      </c>
      <c r="CG48" s="38">
        <f t="shared" si="18"/>
        <v>73</v>
      </c>
      <c r="CH48" s="36">
        <f t="shared" si="19"/>
        <v>114</v>
      </c>
      <c r="CI48" s="26"/>
      <c r="CJ48" s="32">
        <v>11</v>
      </c>
      <c r="CK48" s="32">
        <v>4</v>
      </c>
      <c r="CL48" s="32">
        <v>0</v>
      </c>
      <c r="CM48" s="32">
        <v>2</v>
      </c>
      <c r="CN48" s="32">
        <v>0</v>
      </c>
      <c r="CO48" s="32">
        <v>0</v>
      </c>
      <c r="CP48" s="32">
        <v>1</v>
      </c>
      <c r="CQ48" s="47">
        <v>0</v>
      </c>
      <c r="CR48" s="32">
        <v>1</v>
      </c>
      <c r="CS48" s="32">
        <v>0</v>
      </c>
      <c r="CT48" s="32">
        <v>7</v>
      </c>
      <c r="CU48" s="32">
        <v>0</v>
      </c>
      <c r="CV48" s="38">
        <f t="shared" si="20"/>
        <v>26</v>
      </c>
      <c r="CW48" s="54">
        <v>30</v>
      </c>
      <c r="CX48" s="54">
        <v>21</v>
      </c>
      <c r="CY48" s="54">
        <v>30</v>
      </c>
      <c r="CZ48" s="54">
        <v>10</v>
      </c>
      <c r="DA48" s="54">
        <v>54</v>
      </c>
      <c r="DB48" s="54">
        <v>23</v>
      </c>
      <c r="DC48" s="54">
        <v>29</v>
      </c>
      <c r="DD48" s="54">
        <v>24</v>
      </c>
      <c r="DE48" s="54">
        <v>94</v>
      </c>
      <c r="DF48" s="54">
        <v>85</v>
      </c>
      <c r="DG48" s="54">
        <v>102</v>
      </c>
      <c r="DH48" s="54">
        <v>49</v>
      </c>
      <c r="DI48" s="38">
        <f t="shared" si="21"/>
        <v>551</v>
      </c>
      <c r="DJ48" s="36">
        <f t="shared" si="22"/>
        <v>577</v>
      </c>
      <c r="DK48" s="26"/>
      <c r="DL48" s="75">
        <v>1</v>
      </c>
      <c r="DM48" s="75">
        <v>0</v>
      </c>
      <c r="DN48" s="75">
        <v>0</v>
      </c>
      <c r="DO48" s="75">
        <v>11</v>
      </c>
      <c r="DP48" s="75">
        <v>0</v>
      </c>
      <c r="DQ48" s="75">
        <v>1</v>
      </c>
      <c r="DR48" s="75">
        <v>5</v>
      </c>
      <c r="DS48" s="77">
        <v>7</v>
      </c>
      <c r="DT48" s="75">
        <v>15</v>
      </c>
      <c r="DU48" s="75">
        <v>34</v>
      </c>
      <c r="DV48" s="75">
        <v>37</v>
      </c>
      <c r="DW48" s="75">
        <v>14</v>
      </c>
      <c r="DX48" s="38">
        <f t="shared" si="0"/>
        <v>125</v>
      </c>
      <c r="DY48" s="64">
        <v>42</v>
      </c>
      <c r="DZ48" s="64">
        <v>7</v>
      </c>
      <c r="EA48" s="64">
        <v>20</v>
      </c>
      <c r="EB48" s="64">
        <v>11</v>
      </c>
      <c r="EC48" s="64">
        <v>8</v>
      </c>
      <c r="ED48" s="64">
        <v>10</v>
      </c>
      <c r="EE48" s="64">
        <v>7</v>
      </c>
      <c r="EF48" s="66">
        <v>20</v>
      </c>
      <c r="EG48" s="65">
        <v>20</v>
      </c>
      <c r="EH48" s="65">
        <v>23</v>
      </c>
      <c r="EI48" s="65">
        <v>42</v>
      </c>
      <c r="EJ48" s="65">
        <v>27</v>
      </c>
      <c r="EK48" s="38">
        <f t="shared" si="23"/>
        <v>237</v>
      </c>
      <c r="EL48" s="36">
        <f t="shared" si="1"/>
        <v>362</v>
      </c>
      <c r="EM48" s="26"/>
      <c r="EN48" s="32">
        <v>60</v>
      </c>
      <c r="EO48" s="32">
        <v>37</v>
      </c>
      <c r="EP48" s="32">
        <v>42</v>
      </c>
      <c r="EQ48" s="32">
        <v>26</v>
      </c>
      <c r="ER48" s="32">
        <v>45</v>
      </c>
      <c r="ES48" s="32">
        <v>27</v>
      </c>
      <c r="ET48" s="32">
        <v>20</v>
      </c>
      <c r="EU48" s="47">
        <v>28</v>
      </c>
      <c r="EV48" s="32">
        <v>22</v>
      </c>
      <c r="EW48" s="32">
        <v>26</v>
      </c>
      <c r="EX48" s="32">
        <v>16</v>
      </c>
      <c r="EY48" s="32">
        <v>12</v>
      </c>
      <c r="EZ48" s="38">
        <f t="shared" si="24"/>
        <v>361</v>
      </c>
      <c r="FA48" s="26"/>
      <c r="FB48" s="104">
        <v>12</v>
      </c>
      <c r="FC48" s="104">
        <v>5</v>
      </c>
      <c r="FD48" s="104">
        <v>19</v>
      </c>
      <c r="FE48" s="104">
        <v>2</v>
      </c>
      <c r="FF48" s="104">
        <v>6</v>
      </c>
      <c r="FG48" s="104">
        <v>5</v>
      </c>
      <c r="FH48" s="104">
        <v>15</v>
      </c>
      <c r="FI48" s="104">
        <v>7</v>
      </c>
      <c r="FJ48" s="104">
        <v>4</v>
      </c>
      <c r="FK48" s="104">
        <v>12</v>
      </c>
      <c r="FL48" s="104">
        <v>0</v>
      </c>
      <c r="FM48" s="104">
        <v>2</v>
      </c>
      <c r="FN48" s="38">
        <f t="shared" si="25"/>
        <v>89</v>
      </c>
      <c r="FO48" s="26"/>
      <c r="FP48" s="32">
        <v>0</v>
      </c>
      <c r="FQ48" s="32">
        <v>0</v>
      </c>
      <c r="FR48" s="32">
        <v>0</v>
      </c>
      <c r="FS48" s="32">
        <v>0</v>
      </c>
      <c r="FT48" s="32">
        <v>0</v>
      </c>
      <c r="FU48" s="32">
        <v>5</v>
      </c>
      <c r="FV48" s="32">
        <v>20</v>
      </c>
      <c r="FW48" s="92">
        <v>4</v>
      </c>
      <c r="FX48" s="32">
        <v>1</v>
      </c>
      <c r="FY48" s="32">
        <v>5</v>
      </c>
      <c r="FZ48" s="32">
        <v>3</v>
      </c>
      <c r="GA48" s="32">
        <v>3</v>
      </c>
      <c r="GB48" s="38">
        <f t="shared" si="26"/>
        <v>41</v>
      </c>
      <c r="GC48" s="26"/>
      <c r="GD48" s="101">
        <v>178</v>
      </c>
      <c r="GE48" s="106">
        <v>78</v>
      </c>
      <c r="GF48" s="101">
        <v>107</v>
      </c>
      <c r="GG48" s="101">
        <v>92</v>
      </c>
      <c r="GH48" s="101">
        <v>149</v>
      </c>
      <c r="GI48" s="101">
        <v>147</v>
      </c>
      <c r="GJ48" s="101">
        <v>60</v>
      </c>
      <c r="GK48" s="101">
        <v>34</v>
      </c>
      <c r="GL48" s="101">
        <v>76</v>
      </c>
      <c r="GM48" s="101">
        <v>65</v>
      </c>
      <c r="GN48" s="101">
        <v>55</v>
      </c>
      <c r="GO48" s="101">
        <v>47</v>
      </c>
      <c r="GP48" s="38">
        <f t="shared" si="27"/>
        <v>1088</v>
      </c>
      <c r="GQ48" s="26"/>
      <c r="GR48" s="32">
        <v>11</v>
      </c>
      <c r="GS48" s="32">
        <v>0</v>
      </c>
      <c r="GT48" s="32">
        <v>0</v>
      </c>
      <c r="GU48" s="32">
        <v>2</v>
      </c>
      <c r="GV48" s="32">
        <v>1</v>
      </c>
      <c r="GW48" s="32">
        <v>0</v>
      </c>
      <c r="GX48" s="32">
        <v>0</v>
      </c>
      <c r="GY48" s="32">
        <v>0</v>
      </c>
      <c r="GZ48" s="32">
        <v>0</v>
      </c>
      <c r="HA48" s="32">
        <v>0</v>
      </c>
      <c r="HB48" s="32">
        <v>0</v>
      </c>
      <c r="HC48" s="32">
        <v>0</v>
      </c>
      <c r="HD48" s="38">
        <f t="shared" si="28"/>
        <v>14</v>
      </c>
      <c r="HE48" s="26"/>
      <c r="HF48" s="54">
        <v>22</v>
      </c>
      <c r="HG48" s="54">
        <v>51</v>
      </c>
      <c r="HH48" s="54">
        <v>26</v>
      </c>
      <c r="HI48" s="54">
        <v>13</v>
      </c>
      <c r="HJ48" s="54">
        <v>42</v>
      </c>
      <c r="HK48" s="54">
        <v>73</v>
      </c>
      <c r="HL48" s="54">
        <v>170</v>
      </c>
      <c r="HM48" s="54">
        <v>71</v>
      </c>
      <c r="HN48" s="54">
        <v>114</v>
      </c>
      <c r="HO48" s="54">
        <v>40</v>
      </c>
      <c r="HP48" s="54">
        <v>67</v>
      </c>
      <c r="HQ48" s="54">
        <v>73</v>
      </c>
      <c r="HR48" s="38">
        <f t="shared" si="29"/>
        <v>762</v>
      </c>
      <c r="HS48" s="26"/>
      <c r="HT48" s="32">
        <v>0</v>
      </c>
      <c r="HU48" s="32">
        <v>0</v>
      </c>
      <c r="HV48" s="32">
        <v>1</v>
      </c>
      <c r="HW48" s="32">
        <v>0</v>
      </c>
      <c r="HX48" s="32">
        <v>4</v>
      </c>
      <c r="HY48" s="32">
        <v>1</v>
      </c>
      <c r="HZ48" s="32">
        <v>2</v>
      </c>
      <c r="IA48" s="92">
        <v>5</v>
      </c>
      <c r="IB48" s="32">
        <v>4</v>
      </c>
      <c r="IC48" s="32">
        <v>5</v>
      </c>
      <c r="ID48" s="32">
        <v>8</v>
      </c>
      <c r="IE48" s="69">
        <v>7</v>
      </c>
      <c r="IF48" s="38">
        <f t="shared" si="2"/>
        <v>37</v>
      </c>
      <c r="IG48" s="104">
        <v>21</v>
      </c>
      <c r="IH48" s="104">
        <v>5</v>
      </c>
      <c r="II48" s="104">
        <v>9</v>
      </c>
      <c r="IJ48" s="104">
        <v>11</v>
      </c>
      <c r="IK48" s="104">
        <v>10</v>
      </c>
      <c r="IL48" s="104">
        <v>11</v>
      </c>
      <c r="IM48" s="104">
        <v>11</v>
      </c>
      <c r="IN48" s="104">
        <v>1</v>
      </c>
      <c r="IO48" s="104">
        <v>20</v>
      </c>
      <c r="IP48" s="104">
        <v>9</v>
      </c>
      <c r="IQ48" s="104">
        <v>6</v>
      </c>
      <c r="IR48" s="107">
        <v>11</v>
      </c>
      <c r="IS48" s="38">
        <f t="shared" si="3"/>
        <v>125</v>
      </c>
      <c r="IT48" s="36">
        <f t="shared" si="39"/>
        <v>162</v>
      </c>
      <c r="IU48" s="26"/>
      <c r="IV48" s="32">
        <v>47</v>
      </c>
      <c r="IW48" s="32">
        <v>6</v>
      </c>
      <c r="IX48" s="32">
        <v>20</v>
      </c>
      <c r="IY48" s="32">
        <v>20</v>
      </c>
      <c r="IZ48" s="32">
        <v>10</v>
      </c>
      <c r="JA48" s="32">
        <v>4</v>
      </c>
      <c r="JB48" s="32">
        <v>28</v>
      </c>
      <c r="JC48" s="32">
        <v>18</v>
      </c>
      <c r="JD48" s="32">
        <v>19</v>
      </c>
      <c r="JE48" s="32">
        <v>39</v>
      </c>
      <c r="JF48" s="32">
        <v>14</v>
      </c>
      <c r="JG48" s="32">
        <v>21</v>
      </c>
      <c r="JH48" s="38">
        <f t="shared" si="4"/>
        <v>246</v>
      </c>
      <c r="JI48" s="110">
        <v>136</v>
      </c>
      <c r="JJ48" s="32">
        <v>34</v>
      </c>
      <c r="JK48" s="32">
        <v>22</v>
      </c>
      <c r="JL48" s="32">
        <v>15</v>
      </c>
      <c r="JM48" s="32">
        <v>22</v>
      </c>
      <c r="JN48" s="32">
        <v>86</v>
      </c>
      <c r="JO48" s="32">
        <v>67</v>
      </c>
      <c r="JP48" s="47">
        <v>91</v>
      </c>
      <c r="JQ48" s="32">
        <v>64</v>
      </c>
      <c r="JR48" s="32">
        <v>60</v>
      </c>
      <c r="JS48" s="32">
        <v>76</v>
      </c>
      <c r="JT48" s="32">
        <v>116</v>
      </c>
      <c r="JU48" s="35">
        <f t="shared" si="5"/>
        <v>789</v>
      </c>
      <c r="JV48" s="40">
        <f t="shared" si="30"/>
        <v>1035</v>
      </c>
      <c r="JW48" s="26"/>
      <c r="JX48" s="32">
        <v>12</v>
      </c>
      <c r="JY48" s="32">
        <v>1</v>
      </c>
      <c r="JZ48" s="32">
        <v>29</v>
      </c>
      <c r="KA48" s="32">
        <v>11</v>
      </c>
      <c r="KB48" s="32">
        <v>28</v>
      </c>
      <c r="KC48" s="32">
        <v>7</v>
      </c>
      <c r="KD48" s="32">
        <v>26</v>
      </c>
      <c r="KE48" s="92">
        <v>4</v>
      </c>
      <c r="KF48" s="32">
        <v>27</v>
      </c>
      <c r="KG48" s="32">
        <v>1</v>
      </c>
      <c r="KH48" s="32">
        <v>33</v>
      </c>
      <c r="KI48" s="32">
        <v>2</v>
      </c>
      <c r="KJ48" s="38">
        <f t="shared" si="6"/>
        <v>181</v>
      </c>
      <c r="KK48" s="32">
        <v>18</v>
      </c>
      <c r="KL48" s="113">
        <v>16</v>
      </c>
      <c r="KM48" s="113">
        <v>20</v>
      </c>
      <c r="KN48" s="49">
        <v>12</v>
      </c>
      <c r="KO48" s="49">
        <v>26</v>
      </c>
      <c r="KP48" s="49">
        <v>23</v>
      </c>
      <c r="KQ48" s="49">
        <v>28</v>
      </c>
      <c r="KR48" s="47">
        <v>58</v>
      </c>
      <c r="KS48" s="32">
        <v>10</v>
      </c>
      <c r="KT48" s="32">
        <v>33</v>
      </c>
      <c r="KU48" s="32">
        <v>32</v>
      </c>
      <c r="KV48" s="32">
        <v>25</v>
      </c>
      <c r="KW48" s="38">
        <f t="shared" si="7"/>
        <v>301</v>
      </c>
      <c r="KX48" s="36">
        <f t="shared" si="31"/>
        <v>482</v>
      </c>
      <c r="KY48" s="26"/>
      <c r="KZ48" s="101">
        <v>11</v>
      </c>
      <c r="LA48" s="101">
        <v>23</v>
      </c>
      <c r="LB48" s="101">
        <v>3</v>
      </c>
      <c r="LC48" s="101">
        <v>28</v>
      </c>
      <c r="LD48" s="101">
        <v>27</v>
      </c>
      <c r="LE48" s="101">
        <v>19</v>
      </c>
      <c r="LF48" s="101">
        <v>22</v>
      </c>
      <c r="LG48" s="102">
        <v>26</v>
      </c>
      <c r="LH48" s="101">
        <v>25</v>
      </c>
      <c r="LI48" s="101">
        <v>53</v>
      </c>
      <c r="LJ48" s="101">
        <v>24</v>
      </c>
      <c r="LK48" s="115">
        <v>25</v>
      </c>
      <c r="LL48" s="38">
        <f t="shared" si="32"/>
        <v>286</v>
      </c>
      <c r="LM48" s="26"/>
      <c r="LN48" s="45">
        <v>20</v>
      </c>
      <c r="LO48" s="45">
        <v>12</v>
      </c>
      <c r="LP48" s="45">
        <v>14</v>
      </c>
      <c r="LQ48" s="45">
        <v>4</v>
      </c>
      <c r="LR48" s="45">
        <v>15</v>
      </c>
      <c r="LS48" s="45">
        <v>19</v>
      </c>
      <c r="LT48" s="45">
        <v>11</v>
      </c>
      <c r="LU48" s="45">
        <v>27</v>
      </c>
      <c r="LV48" s="45">
        <v>16</v>
      </c>
      <c r="LW48" s="45">
        <v>13</v>
      </c>
      <c r="LX48" s="45">
        <v>26</v>
      </c>
      <c r="LY48" s="45">
        <v>17</v>
      </c>
      <c r="LZ48" s="38">
        <f t="shared" si="8"/>
        <v>194</v>
      </c>
      <c r="MA48" s="26"/>
      <c r="MB48" s="45">
        <v>55</v>
      </c>
      <c r="MC48" s="45">
        <v>48</v>
      </c>
      <c r="MD48" s="45">
        <v>39</v>
      </c>
      <c r="ME48" s="45">
        <v>44</v>
      </c>
      <c r="MF48" s="45">
        <v>153</v>
      </c>
      <c r="MG48" s="45">
        <v>148</v>
      </c>
      <c r="MH48" s="45">
        <v>129</v>
      </c>
      <c r="MI48" s="45">
        <v>48</v>
      </c>
      <c r="MJ48" s="45">
        <v>43</v>
      </c>
      <c r="MK48" s="45">
        <v>21</v>
      </c>
      <c r="ML48" s="45">
        <v>42</v>
      </c>
      <c r="MM48" s="45">
        <v>18</v>
      </c>
      <c r="MN48" s="38">
        <f t="shared" si="9"/>
        <v>788</v>
      </c>
      <c r="MO48" s="32">
        <v>54</v>
      </c>
      <c r="MP48" s="32">
        <v>67</v>
      </c>
      <c r="MQ48" s="32">
        <v>86</v>
      </c>
      <c r="MR48" s="32">
        <v>66</v>
      </c>
      <c r="MS48" s="32">
        <v>69</v>
      </c>
      <c r="MT48" s="32">
        <v>57</v>
      </c>
      <c r="MU48" s="32">
        <v>142</v>
      </c>
      <c r="MV48" s="47">
        <v>134</v>
      </c>
      <c r="MW48" s="32">
        <v>42</v>
      </c>
      <c r="MX48" s="32">
        <v>44</v>
      </c>
      <c r="MY48" s="32">
        <v>47</v>
      </c>
      <c r="MZ48" s="32">
        <v>3</v>
      </c>
      <c r="NA48" s="38">
        <f t="shared" si="10"/>
        <v>811</v>
      </c>
      <c r="NB48" s="36">
        <f t="shared" si="33"/>
        <v>1599</v>
      </c>
      <c r="NC48" s="26"/>
      <c r="ND48" s="98">
        <v>15</v>
      </c>
      <c r="NE48" s="32">
        <v>0</v>
      </c>
      <c r="NF48" s="32">
        <v>9</v>
      </c>
      <c r="NG48" s="32">
        <v>11</v>
      </c>
      <c r="NH48" s="32">
        <v>7</v>
      </c>
      <c r="NI48" s="32">
        <v>14</v>
      </c>
      <c r="NJ48" s="32">
        <v>19</v>
      </c>
      <c r="NK48" s="92">
        <v>25</v>
      </c>
      <c r="NL48" s="32">
        <v>13</v>
      </c>
      <c r="NM48" s="32">
        <v>18</v>
      </c>
      <c r="NN48" s="32">
        <v>15</v>
      </c>
      <c r="NO48" s="32">
        <v>8</v>
      </c>
      <c r="NP48" s="118">
        <f t="shared" si="11"/>
        <v>154</v>
      </c>
      <c r="NQ48" s="36">
        <f t="shared" si="34"/>
        <v>445</v>
      </c>
      <c r="NR48" s="36">
        <f t="shared" si="35"/>
        <v>5362</v>
      </c>
      <c r="NS48" s="36">
        <f t="shared" si="36"/>
        <v>10684</v>
      </c>
      <c r="NT48" s="36">
        <f t="shared" si="37"/>
        <v>16491</v>
      </c>
      <c r="NU48" s="10"/>
      <c r="NV48" s="10"/>
      <c r="NW48" s="10"/>
      <c r="NX48" s="10"/>
      <c r="NY48" s="10"/>
      <c r="NZ48" s="10"/>
      <c r="OA48" s="10"/>
      <c r="OB48" s="10"/>
      <c r="OC48" s="19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9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9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</row>
    <row r="49" spans="1:458" s="1" customFormat="1" ht="50.1" customHeight="1" x14ac:dyDescent="0.25">
      <c r="A49" s="120"/>
      <c r="B49" s="6" t="s">
        <v>20</v>
      </c>
      <c r="C49" s="23"/>
      <c r="D49" s="41">
        <f>SUM(D46:D48)</f>
        <v>2972</v>
      </c>
      <c r="E49" s="41">
        <f t="shared" ref="E49:O49" si="240">SUM(E46:E48)</f>
        <v>2734</v>
      </c>
      <c r="F49" s="41">
        <f t="shared" si="240"/>
        <v>2891</v>
      </c>
      <c r="G49" s="41">
        <f t="shared" si="240"/>
        <v>2257</v>
      </c>
      <c r="H49" s="41">
        <f t="shared" si="240"/>
        <v>2391</v>
      </c>
      <c r="I49" s="41">
        <f t="shared" si="240"/>
        <v>2882</v>
      </c>
      <c r="J49" s="41">
        <f t="shared" si="240"/>
        <v>2632</v>
      </c>
      <c r="K49" s="41">
        <f t="shared" si="240"/>
        <v>2337</v>
      </c>
      <c r="L49" s="41">
        <f t="shared" si="240"/>
        <v>2654</v>
      </c>
      <c r="M49" s="41">
        <f t="shared" si="240"/>
        <v>2727</v>
      </c>
      <c r="N49" s="41">
        <f t="shared" si="240"/>
        <v>1862</v>
      </c>
      <c r="O49" s="41">
        <f t="shared" si="240"/>
        <v>1949</v>
      </c>
      <c r="P49" s="38">
        <f t="shared" si="12"/>
        <v>30288</v>
      </c>
      <c r="Q49" s="45">
        <f>SUM(Q46:Q48)</f>
        <v>9894</v>
      </c>
      <c r="R49" s="45">
        <f t="shared" ref="R49:AB49" si="241">SUM(R46:R48)</f>
        <v>12912</v>
      </c>
      <c r="S49" s="45">
        <f t="shared" si="241"/>
        <v>13470</v>
      </c>
      <c r="T49" s="45">
        <f t="shared" si="241"/>
        <v>7891</v>
      </c>
      <c r="U49" s="45">
        <f t="shared" si="241"/>
        <v>12147</v>
      </c>
      <c r="V49" s="45">
        <f t="shared" si="241"/>
        <v>13261</v>
      </c>
      <c r="W49" s="45">
        <f t="shared" si="241"/>
        <v>13475</v>
      </c>
      <c r="X49" s="45">
        <f t="shared" si="241"/>
        <v>17243</v>
      </c>
      <c r="Y49" s="45">
        <f t="shared" si="241"/>
        <v>17093</v>
      </c>
      <c r="Z49" s="45">
        <f t="shared" si="241"/>
        <v>18574</v>
      </c>
      <c r="AA49" s="45">
        <f t="shared" si="241"/>
        <v>16432</v>
      </c>
      <c r="AB49" s="45">
        <f t="shared" si="241"/>
        <v>16098</v>
      </c>
      <c r="AC49" s="38">
        <f t="shared" si="38"/>
        <v>168490</v>
      </c>
      <c r="AD49" s="36">
        <f t="shared" si="13"/>
        <v>198778</v>
      </c>
      <c r="AE49" s="26"/>
      <c r="AF49" s="32">
        <f>SUM(AF46:AF48)</f>
        <v>191</v>
      </c>
      <c r="AG49" s="32">
        <f t="shared" ref="AG49:AQ49" si="242">SUM(AG46:AG48)</f>
        <v>181</v>
      </c>
      <c r="AH49" s="32">
        <f t="shared" si="242"/>
        <v>197</v>
      </c>
      <c r="AI49" s="32">
        <f t="shared" si="242"/>
        <v>133</v>
      </c>
      <c r="AJ49" s="32">
        <f t="shared" si="242"/>
        <v>174</v>
      </c>
      <c r="AK49" s="32">
        <f t="shared" si="242"/>
        <v>134</v>
      </c>
      <c r="AL49" s="32">
        <f t="shared" si="242"/>
        <v>116</v>
      </c>
      <c r="AM49" s="32">
        <f t="shared" si="242"/>
        <v>222</v>
      </c>
      <c r="AN49" s="32">
        <f t="shared" si="242"/>
        <v>354</v>
      </c>
      <c r="AO49" s="32">
        <f t="shared" si="242"/>
        <v>248</v>
      </c>
      <c r="AP49" s="32">
        <f t="shared" si="242"/>
        <v>257</v>
      </c>
      <c r="AQ49" s="32">
        <f t="shared" si="242"/>
        <v>258</v>
      </c>
      <c r="AR49" s="38">
        <f t="shared" si="14"/>
        <v>2465</v>
      </c>
      <c r="AS49" s="32">
        <f>SUM(AS46:AS48)</f>
        <v>949</v>
      </c>
      <c r="AT49" s="32">
        <f t="shared" ref="AT49:BD49" si="243">SUM(AT46:AT48)</f>
        <v>1326</v>
      </c>
      <c r="AU49" s="32">
        <f t="shared" si="243"/>
        <v>1226</v>
      </c>
      <c r="AV49" s="32">
        <f t="shared" si="243"/>
        <v>842</v>
      </c>
      <c r="AW49" s="32">
        <f t="shared" si="243"/>
        <v>882</v>
      </c>
      <c r="AX49" s="32">
        <f t="shared" si="243"/>
        <v>809</v>
      </c>
      <c r="AY49" s="32">
        <f t="shared" si="243"/>
        <v>853</v>
      </c>
      <c r="AZ49" s="32">
        <f>SUM(AZ46:AZ48)</f>
        <v>1229</v>
      </c>
      <c r="BA49" s="32">
        <f t="shared" si="243"/>
        <v>1460</v>
      </c>
      <c r="BB49" s="32">
        <f t="shared" si="243"/>
        <v>1275</v>
      </c>
      <c r="BC49" s="32">
        <f t="shared" si="243"/>
        <v>1078</v>
      </c>
      <c r="BD49" s="32">
        <f t="shared" si="243"/>
        <v>945</v>
      </c>
      <c r="BE49" s="38">
        <f t="shared" si="15"/>
        <v>12874</v>
      </c>
      <c r="BF49" s="36">
        <f t="shared" si="16"/>
        <v>15339</v>
      </c>
      <c r="BG49" s="26"/>
      <c r="BH49" s="41">
        <f>SUM(BH46:BH48)</f>
        <v>74</v>
      </c>
      <c r="BI49" s="41">
        <f t="shared" ref="BI49:CF49" si="244">SUM(BI46:BI48)</f>
        <v>57</v>
      </c>
      <c r="BJ49" s="41">
        <f t="shared" si="244"/>
        <v>68</v>
      </c>
      <c r="BK49" s="41">
        <f t="shared" si="244"/>
        <v>64</v>
      </c>
      <c r="BL49" s="41">
        <f t="shared" si="244"/>
        <v>61</v>
      </c>
      <c r="BM49" s="41">
        <f t="shared" si="244"/>
        <v>84</v>
      </c>
      <c r="BN49" s="41">
        <f t="shared" si="244"/>
        <v>98</v>
      </c>
      <c r="BO49" s="41">
        <f t="shared" si="244"/>
        <v>96</v>
      </c>
      <c r="BP49" s="41">
        <f t="shared" si="244"/>
        <v>136</v>
      </c>
      <c r="BQ49" s="41">
        <f t="shared" si="244"/>
        <v>103</v>
      </c>
      <c r="BR49" s="41">
        <f t="shared" si="244"/>
        <v>146</v>
      </c>
      <c r="BS49" s="41">
        <f t="shared" si="244"/>
        <v>114</v>
      </c>
      <c r="BT49" s="38">
        <f t="shared" si="17"/>
        <v>1101</v>
      </c>
      <c r="BU49" s="41">
        <f t="shared" si="244"/>
        <v>1058</v>
      </c>
      <c r="BV49" s="41">
        <f t="shared" si="244"/>
        <v>1068</v>
      </c>
      <c r="BW49" s="41">
        <f t="shared" si="244"/>
        <v>1383</v>
      </c>
      <c r="BX49" s="41">
        <f t="shared" si="244"/>
        <v>875</v>
      </c>
      <c r="BY49" s="41">
        <f t="shared" si="244"/>
        <v>1276</v>
      </c>
      <c r="BZ49" s="41">
        <f t="shared" si="244"/>
        <v>1183</v>
      </c>
      <c r="CA49" s="41">
        <f t="shared" si="244"/>
        <v>1126</v>
      </c>
      <c r="CB49" s="41">
        <f t="shared" si="244"/>
        <v>888</v>
      </c>
      <c r="CC49" s="41">
        <f t="shared" si="244"/>
        <v>1396</v>
      </c>
      <c r="CD49" s="41">
        <f t="shared" si="244"/>
        <v>1537</v>
      </c>
      <c r="CE49" s="41">
        <f t="shared" si="244"/>
        <v>1608</v>
      </c>
      <c r="CF49" s="41">
        <f t="shared" si="244"/>
        <v>1338</v>
      </c>
      <c r="CG49" s="38">
        <f t="shared" si="18"/>
        <v>14736</v>
      </c>
      <c r="CH49" s="36">
        <f t="shared" si="19"/>
        <v>15837</v>
      </c>
      <c r="CI49" s="26"/>
      <c r="CJ49" s="32">
        <f>SUM(CJ46:CJ48)</f>
        <v>695</v>
      </c>
      <c r="CK49" s="32">
        <f t="shared" ref="CK49:CU49" si="245">SUM(CK46:CK48)</f>
        <v>621</v>
      </c>
      <c r="CL49" s="32">
        <f t="shared" si="245"/>
        <v>797</v>
      </c>
      <c r="CM49" s="32">
        <f t="shared" si="245"/>
        <v>739</v>
      </c>
      <c r="CN49" s="32">
        <f t="shared" si="245"/>
        <v>847</v>
      </c>
      <c r="CO49" s="32">
        <f t="shared" si="245"/>
        <v>848</v>
      </c>
      <c r="CP49" s="32">
        <f t="shared" si="245"/>
        <v>857</v>
      </c>
      <c r="CQ49" s="32">
        <f t="shared" si="245"/>
        <v>984</v>
      </c>
      <c r="CR49" s="32">
        <f t="shared" si="245"/>
        <v>1057</v>
      </c>
      <c r="CS49" s="32">
        <f t="shared" si="245"/>
        <v>931</v>
      </c>
      <c r="CT49" s="32">
        <f t="shared" si="245"/>
        <v>686</v>
      </c>
      <c r="CU49" s="32">
        <f t="shared" si="245"/>
        <v>564</v>
      </c>
      <c r="CV49" s="38">
        <f t="shared" si="20"/>
        <v>9626</v>
      </c>
      <c r="CW49" s="32">
        <f t="shared" ref="CW49" si="246">SUM(CW46:CW48)</f>
        <v>1959</v>
      </c>
      <c r="CX49" s="32">
        <f t="shared" ref="CX49" si="247">SUM(CX46:CX48)</f>
        <v>1628</v>
      </c>
      <c r="CY49" s="32">
        <f t="shared" ref="CY49" si="248">SUM(CY46:CY48)</f>
        <v>2166</v>
      </c>
      <c r="CZ49" s="32">
        <f t="shared" ref="CZ49" si="249">SUM(CZ46:CZ48)</f>
        <v>1522</v>
      </c>
      <c r="DA49" s="32">
        <f t="shared" ref="DA49" si="250">SUM(DA46:DA48)</f>
        <v>2231</v>
      </c>
      <c r="DB49" s="32">
        <f t="shared" ref="DB49" si="251">SUM(DB46:DB48)</f>
        <v>2271</v>
      </c>
      <c r="DC49" s="32">
        <f t="shared" ref="DC49" si="252">SUM(DC46:DC48)</f>
        <v>1612</v>
      </c>
      <c r="DD49" s="32">
        <f t="shared" ref="DD49" si="253">SUM(DD46:DD48)</f>
        <v>2128</v>
      </c>
      <c r="DE49" s="32">
        <f t="shared" ref="DE49" si="254">SUM(DE46:DE48)</f>
        <v>2624</v>
      </c>
      <c r="DF49" s="32">
        <f t="shared" ref="DF49" si="255">SUM(DF46:DF48)</f>
        <v>2643</v>
      </c>
      <c r="DG49" s="32">
        <f t="shared" ref="DG49" si="256">SUM(DG46:DG48)</f>
        <v>2302</v>
      </c>
      <c r="DH49" s="32">
        <f t="shared" ref="DH49" si="257">SUM(DH46:DH48)</f>
        <v>1783</v>
      </c>
      <c r="DI49" s="38">
        <f t="shared" si="21"/>
        <v>24869</v>
      </c>
      <c r="DJ49" s="36">
        <f t="shared" si="22"/>
        <v>34495</v>
      </c>
      <c r="DK49" s="26"/>
      <c r="DL49" s="32">
        <f>SUM(DL46:DL48)</f>
        <v>787</v>
      </c>
      <c r="DM49" s="32">
        <f t="shared" ref="DM49:DW49" si="258">SUM(DM46:DM48)</f>
        <v>725</v>
      </c>
      <c r="DN49" s="32">
        <f t="shared" si="258"/>
        <v>820</v>
      </c>
      <c r="DO49" s="32">
        <f t="shared" si="258"/>
        <v>502</v>
      </c>
      <c r="DP49" s="32">
        <f t="shared" si="258"/>
        <v>591</v>
      </c>
      <c r="DQ49" s="32">
        <f t="shared" si="258"/>
        <v>864</v>
      </c>
      <c r="DR49" s="32">
        <f t="shared" si="258"/>
        <v>709</v>
      </c>
      <c r="DS49" s="32">
        <f t="shared" si="258"/>
        <v>719</v>
      </c>
      <c r="DT49" s="32">
        <f t="shared" si="258"/>
        <v>813</v>
      </c>
      <c r="DU49" s="32">
        <f t="shared" si="258"/>
        <v>843</v>
      </c>
      <c r="DV49" s="32">
        <f t="shared" si="258"/>
        <v>831</v>
      </c>
      <c r="DW49" s="32">
        <f t="shared" si="258"/>
        <v>693</v>
      </c>
      <c r="DX49" s="38">
        <f t="shared" si="0"/>
        <v>8897</v>
      </c>
      <c r="DY49" s="62">
        <f>SUM(DY46:DY48)</f>
        <v>1660</v>
      </c>
      <c r="DZ49" s="62">
        <f t="shared" ref="DZ49:EJ49" si="259">SUM(DZ46:DZ48)</f>
        <v>1457</v>
      </c>
      <c r="EA49" s="62">
        <f t="shared" si="259"/>
        <v>1893</v>
      </c>
      <c r="EB49" s="62">
        <f t="shared" si="259"/>
        <v>1207</v>
      </c>
      <c r="EC49" s="62">
        <f t="shared" si="259"/>
        <v>1742</v>
      </c>
      <c r="ED49" s="62">
        <f t="shared" si="259"/>
        <v>1430</v>
      </c>
      <c r="EE49" s="62">
        <f t="shared" si="259"/>
        <v>1574</v>
      </c>
      <c r="EF49" s="62">
        <f t="shared" si="259"/>
        <v>1698</v>
      </c>
      <c r="EG49" s="62">
        <f t="shared" si="259"/>
        <v>1590</v>
      </c>
      <c r="EH49" s="62">
        <f t="shared" si="259"/>
        <v>1761</v>
      </c>
      <c r="EI49" s="62">
        <f t="shared" si="259"/>
        <v>1601</v>
      </c>
      <c r="EJ49" s="62">
        <f t="shared" si="259"/>
        <v>1399</v>
      </c>
      <c r="EK49" s="38">
        <f t="shared" si="23"/>
        <v>19012</v>
      </c>
      <c r="EL49" s="36">
        <f t="shared" si="1"/>
        <v>27909</v>
      </c>
      <c r="EM49" s="26"/>
      <c r="EN49" s="32">
        <f>SUM(EN46:EN48)</f>
        <v>2320</v>
      </c>
      <c r="EO49" s="32">
        <f t="shared" ref="EO49:EY49" si="260">SUM(EO46:EO48)</f>
        <v>1875</v>
      </c>
      <c r="EP49" s="32">
        <f t="shared" si="260"/>
        <v>2031</v>
      </c>
      <c r="EQ49" s="32">
        <f t="shared" si="260"/>
        <v>1765</v>
      </c>
      <c r="ER49" s="32">
        <f t="shared" si="260"/>
        <v>1875</v>
      </c>
      <c r="ES49" s="32">
        <f t="shared" si="260"/>
        <v>1822</v>
      </c>
      <c r="ET49" s="32">
        <f t="shared" si="260"/>
        <v>1594</v>
      </c>
      <c r="EU49" s="32">
        <f t="shared" si="260"/>
        <v>1808</v>
      </c>
      <c r="EV49" s="32">
        <f t="shared" si="260"/>
        <v>1640</v>
      </c>
      <c r="EW49" s="32">
        <f t="shared" si="260"/>
        <v>2231</v>
      </c>
      <c r="EX49" s="32">
        <f t="shared" si="260"/>
        <v>1865</v>
      </c>
      <c r="EY49" s="32">
        <f t="shared" si="260"/>
        <v>1502</v>
      </c>
      <c r="EZ49" s="38">
        <f>SUM(EN49:EY49)</f>
        <v>22328</v>
      </c>
      <c r="FA49" s="26"/>
      <c r="FB49" s="104">
        <f>SUM(FB46:FB48)</f>
        <v>3448</v>
      </c>
      <c r="FC49" s="104">
        <f t="shared" ref="FC49:FM49" si="261">SUM(FC46:FC48)</f>
        <v>3520</v>
      </c>
      <c r="FD49" s="104">
        <f t="shared" si="261"/>
        <v>3986</v>
      </c>
      <c r="FE49" s="104">
        <f t="shared" si="261"/>
        <v>3281</v>
      </c>
      <c r="FF49" s="104">
        <f t="shared" si="261"/>
        <v>3821</v>
      </c>
      <c r="FG49" s="104">
        <f t="shared" si="261"/>
        <v>3789</v>
      </c>
      <c r="FH49" s="104">
        <f t="shared" si="261"/>
        <v>3996</v>
      </c>
      <c r="FI49" s="104">
        <f t="shared" si="261"/>
        <v>4455</v>
      </c>
      <c r="FJ49" s="104">
        <f t="shared" si="261"/>
        <v>4148</v>
      </c>
      <c r="FK49" s="104">
        <f t="shared" si="261"/>
        <v>3779</v>
      </c>
      <c r="FL49" s="104">
        <f t="shared" si="261"/>
        <v>2834</v>
      </c>
      <c r="FM49" s="104">
        <f t="shared" si="261"/>
        <v>3065</v>
      </c>
      <c r="FN49" s="38">
        <f t="shared" si="25"/>
        <v>44122</v>
      </c>
      <c r="FO49" s="26"/>
      <c r="FP49" s="32">
        <f>SUM(FP46:FP48)</f>
        <v>819</v>
      </c>
      <c r="FQ49" s="32">
        <f t="shared" ref="FQ49:GA49" si="262">SUM(FQ46:FQ48)</f>
        <v>732</v>
      </c>
      <c r="FR49" s="32">
        <f t="shared" si="262"/>
        <v>858</v>
      </c>
      <c r="FS49" s="32">
        <f t="shared" si="262"/>
        <v>689</v>
      </c>
      <c r="FT49" s="32">
        <f t="shared" si="262"/>
        <v>872</v>
      </c>
      <c r="FU49" s="32">
        <f t="shared" si="262"/>
        <v>761</v>
      </c>
      <c r="FV49" s="32">
        <f t="shared" si="262"/>
        <v>759</v>
      </c>
      <c r="FW49" s="32">
        <f t="shared" si="262"/>
        <v>1064</v>
      </c>
      <c r="FX49" s="32">
        <f t="shared" si="262"/>
        <v>1295</v>
      </c>
      <c r="FY49" s="32">
        <f t="shared" si="262"/>
        <v>1258</v>
      </c>
      <c r="FZ49" s="32">
        <f t="shared" si="262"/>
        <v>1028</v>
      </c>
      <c r="GA49" s="32">
        <f t="shared" si="262"/>
        <v>1007</v>
      </c>
      <c r="GB49" s="38">
        <f t="shared" si="26"/>
        <v>11142</v>
      </c>
      <c r="GC49" s="26"/>
      <c r="GD49" s="101">
        <f>SUM(GD46:GD48)</f>
        <v>2292</v>
      </c>
      <c r="GE49" s="101">
        <f t="shared" ref="GE49:GO49" si="263">SUM(GE46:GE48)</f>
        <v>1703</v>
      </c>
      <c r="GF49" s="101">
        <f t="shared" si="263"/>
        <v>1819</v>
      </c>
      <c r="GG49" s="101">
        <f t="shared" si="263"/>
        <v>1665</v>
      </c>
      <c r="GH49" s="101">
        <f t="shared" si="263"/>
        <v>2006</v>
      </c>
      <c r="GI49" s="101">
        <f t="shared" si="263"/>
        <v>2013</v>
      </c>
      <c r="GJ49" s="101">
        <f t="shared" si="263"/>
        <v>1580</v>
      </c>
      <c r="GK49" s="101">
        <f t="shared" si="263"/>
        <v>1542</v>
      </c>
      <c r="GL49" s="101">
        <f t="shared" si="263"/>
        <v>1501</v>
      </c>
      <c r="GM49" s="101">
        <f t="shared" si="263"/>
        <v>1576</v>
      </c>
      <c r="GN49" s="101">
        <f t="shared" si="263"/>
        <v>1312</v>
      </c>
      <c r="GO49" s="101">
        <f t="shared" si="263"/>
        <v>1352</v>
      </c>
      <c r="GP49" s="38">
        <f t="shared" si="27"/>
        <v>20361</v>
      </c>
      <c r="GQ49" s="26"/>
      <c r="GR49" s="32">
        <f>SUM(GR46:GR48)</f>
        <v>650</v>
      </c>
      <c r="GS49" s="32">
        <f t="shared" ref="GS49:HC49" si="264">SUM(GS46:GS48)</f>
        <v>634</v>
      </c>
      <c r="GT49" s="32">
        <f t="shared" si="264"/>
        <v>720</v>
      </c>
      <c r="GU49" s="32">
        <f t="shared" si="264"/>
        <v>487</v>
      </c>
      <c r="GV49" s="32">
        <f t="shared" si="264"/>
        <v>539</v>
      </c>
      <c r="GW49" s="32">
        <f t="shared" si="264"/>
        <v>527</v>
      </c>
      <c r="GX49" s="32">
        <f t="shared" si="264"/>
        <v>642</v>
      </c>
      <c r="GY49" s="32">
        <f t="shared" si="264"/>
        <v>624</v>
      </c>
      <c r="GZ49" s="32">
        <f t="shared" si="264"/>
        <v>799</v>
      </c>
      <c r="HA49" s="32">
        <f t="shared" si="264"/>
        <v>967</v>
      </c>
      <c r="HB49" s="32">
        <f t="shared" si="264"/>
        <v>894</v>
      </c>
      <c r="HC49" s="32">
        <f t="shared" si="264"/>
        <v>576</v>
      </c>
      <c r="HD49" s="38">
        <f t="shared" si="28"/>
        <v>8059</v>
      </c>
      <c r="HE49" s="26"/>
      <c r="HF49" s="54">
        <f>SUM(HF46:HF48)</f>
        <v>3853</v>
      </c>
      <c r="HG49" s="54">
        <f t="shared" ref="HG49:HQ49" si="265">SUM(HG46:HG48)</f>
        <v>3887</v>
      </c>
      <c r="HH49" s="54">
        <f t="shared" si="265"/>
        <v>3528</v>
      </c>
      <c r="HI49" s="54">
        <f t="shared" si="265"/>
        <v>3588</v>
      </c>
      <c r="HJ49" s="54">
        <f t="shared" si="265"/>
        <v>3628</v>
      </c>
      <c r="HK49" s="54">
        <f t="shared" si="265"/>
        <v>3666</v>
      </c>
      <c r="HL49" s="54">
        <f t="shared" si="265"/>
        <v>4035</v>
      </c>
      <c r="HM49" s="54">
        <f t="shared" si="265"/>
        <v>4140</v>
      </c>
      <c r="HN49" s="54">
        <f t="shared" si="265"/>
        <v>4126</v>
      </c>
      <c r="HO49" s="54">
        <f t="shared" si="265"/>
        <v>4490</v>
      </c>
      <c r="HP49" s="54">
        <f t="shared" si="265"/>
        <v>4073</v>
      </c>
      <c r="HQ49" s="54">
        <f t="shared" si="265"/>
        <v>3851</v>
      </c>
      <c r="HR49" s="38">
        <f t="shared" si="29"/>
        <v>46865</v>
      </c>
      <c r="HS49" s="26"/>
      <c r="HT49" s="32">
        <f>SUM(HT46:HT48)</f>
        <v>240</v>
      </c>
      <c r="HU49" s="32">
        <f t="shared" ref="HU49:IE49" si="266">SUM(HU46:HU48)</f>
        <v>189</v>
      </c>
      <c r="HV49" s="32">
        <f t="shared" si="266"/>
        <v>259</v>
      </c>
      <c r="HW49" s="32">
        <f t="shared" si="266"/>
        <v>276</v>
      </c>
      <c r="HX49" s="32">
        <f t="shared" si="266"/>
        <v>330</v>
      </c>
      <c r="HY49" s="32">
        <f t="shared" si="266"/>
        <v>396</v>
      </c>
      <c r="HZ49" s="32">
        <f t="shared" si="266"/>
        <v>309</v>
      </c>
      <c r="IA49" s="32">
        <f t="shared" si="266"/>
        <v>348</v>
      </c>
      <c r="IB49" s="32">
        <f t="shared" si="266"/>
        <v>277</v>
      </c>
      <c r="IC49" s="32">
        <f t="shared" si="266"/>
        <v>258</v>
      </c>
      <c r="ID49" s="32">
        <f t="shared" si="266"/>
        <v>232</v>
      </c>
      <c r="IE49" s="69">
        <f t="shared" si="266"/>
        <v>185</v>
      </c>
      <c r="IF49" s="38">
        <f t="shared" si="2"/>
        <v>3299</v>
      </c>
      <c r="IG49" s="104">
        <f>SUM(IG46:IG48)</f>
        <v>1325</v>
      </c>
      <c r="IH49" s="104">
        <f t="shared" ref="IH49:IR49" si="267">SUM(IH46:IH48)</f>
        <v>1331</v>
      </c>
      <c r="II49" s="104">
        <f t="shared" si="267"/>
        <v>1618</v>
      </c>
      <c r="IJ49" s="104">
        <f t="shared" si="267"/>
        <v>1417</v>
      </c>
      <c r="IK49" s="104">
        <f t="shared" si="267"/>
        <v>1594</v>
      </c>
      <c r="IL49" s="104">
        <f t="shared" si="267"/>
        <v>1484</v>
      </c>
      <c r="IM49" s="104">
        <f t="shared" si="267"/>
        <v>1520</v>
      </c>
      <c r="IN49" s="104">
        <f t="shared" si="267"/>
        <v>1637</v>
      </c>
      <c r="IO49" s="104">
        <f t="shared" si="267"/>
        <v>1814</v>
      </c>
      <c r="IP49" s="104">
        <f t="shared" si="267"/>
        <v>1839</v>
      </c>
      <c r="IQ49" s="104">
        <f t="shared" si="267"/>
        <v>1322</v>
      </c>
      <c r="IR49" s="107">
        <f t="shared" si="267"/>
        <v>1190</v>
      </c>
      <c r="IS49" s="38">
        <f t="shared" si="3"/>
        <v>18091</v>
      </c>
      <c r="IT49" s="36">
        <f t="shared" si="39"/>
        <v>21390</v>
      </c>
      <c r="IU49" s="26"/>
      <c r="IV49" s="32">
        <f>SUM(IV46:IV48)</f>
        <v>726</v>
      </c>
      <c r="IW49" s="32">
        <f t="shared" ref="IW49:JG49" si="268">SUM(IW46:IW48)</f>
        <v>616</v>
      </c>
      <c r="IX49" s="32">
        <f t="shared" si="268"/>
        <v>737</v>
      </c>
      <c r="IY49" s="32">
        <f t="shared" si="268"/>
        <v>664</v>
      </c>
      <c r="IZ49" s="32">
        <f t="shared" si="268"/>
        <v>831</v>
      </c>
      <c r="JA49" s="32">
        <f t="shared" si="268"/>
        <v>847</v>
      </c>
      <c r="JB49" s="32">
        <f t="shared" si="268"/>
        <v>787</v>
      </c>
      <c r="JC49" s="32">
        <f t="shared" si="268"/>
        <v>883</v>
      </c>
      <c r="JD49" s="32">
        <f t="shared" si="268"/>
        <v>901</v>
      </c>
      <c r="JE49" s="32">
        <f t="shared" si="268"/>
        <v>985</v>
      </c>
      <c r="JF49" s="32">
        <f t="shared" si="268"/>
        <v>751</v>
      </c>
      <c r="JG49" s="32">
        <f t="shared" si="268"/>
        <v>732</v>
      </c>
      <c r="JH49" s="38">
        <f t="shared" si="4"/>
        <v>9460</v>
      </c>
      <c r="JI49" s="110">
        <f>SUM(JI46:JI48)</f>
        <v>2691</v>
      </c>
      <c r="JJ49" s="32">
        <f t="shared" ref="JJ49:JT49" si="269">SUM(JJ46:JJ48)</f>
        <v>2361</v>
      </c>
      <c r="JK49" s="32">
        <f t="shared" si="269"/>
        <v>2981</v>
      </c>
      <c r="JL49" s="32">
        <f t="shared" si="269"/>
        <v>3022</v>
      </c>
      <c r="JM49" s="32">
        <f t="shared" si="269"/>
        <v>2803</v>
      </c>
      <c r="JN49" s="32">
        <f t="shared" si="269"/>
        <v>3060</v>
      </c>
      <c r="JO49" s="32">
        <f t="shared" si="269"/>
        <v>3175</v>
      </c>
      <c r="JP49" s="32">
        <f t="shared" si="269"/>
        <v>3554</v>
      </c>
      <c r="JQ49" s="32">
        <f t="shared" si="269"/>
        <v>4312</v>
      </c>
      <c r="JR49" s="32">
        <f t="shared" si="269"/>
        <v>3778</v>
      </c>
      <c r="JS49" s="32">
        <f t="shared" si="269"/>
        <v>3987</v>
      </c>
      <c r="JT49" s="32">
        <f t="shared" si="269"/>
        <v>3113</v>
      </c>
      <c r="JU49" s="35">
        <f t="shared" si="5"/>
        <v>38837</v>
      </c>
      <c r="JV49" s="40">
        <f t="shared" si="30"/>
        <v>48297</v>
      </c>
      <c r="JW49" s="26"/>
      <c r="JX49" s="32">
        <f>SUM(JX46:JX48)</f>
        <v>280</v>
      </c>
      <c r="JY49" s="32">
        <f t="shared" ref="JY49:KI49" si="270">SUM(JY46:JY48)</f>
        <v>298</v>
      </c>
      <c r="JZ49" s="32">
        <f t="shared" si="270"/>
        <v>408</v>
      </c>
      <c r="KA49" s="32">
        <f t="shared" si="270"/>
        <v>277</v>
      </c>
      <c r="KB49" s="32">
        <f t="shared" si="270"/>
        <v>324</v>
      </c>
      <c r="KC49" s="32">
        <f t="shared" si="270"/>
        <v>281</v>
      </c>
      <c r="KD49" s="32">
        <f t="shared" si="270"/>
        <v>302</v>
      </c>
      <c r="KE49" s="32">
        <f t="shared" si="270"/>
        <v>350</v>
      </c>
      <c r="KF49" s="32">
        <f t="shared" si="270"/>
        <v>412</v>
      </c>
      <c r="KG49" s="32">
        <f t="shared" si="270"/>
        <v>378</v>
      </c>
      <c r="KH49" s="32">
        <f t="shared" si="270"/>
        <v>321</v>
      </c>
      <c r="KI49" s="32">
        <f t="shared" si="270"/>
        <v>279</v>
      </c>
      <c r="KJ49" s="38">
        <f t="shared" si="6"/>
        <v>3910</v>
      </c>
      <c r="KK49" s="32">
        <f>SUM(KK46:KK48)</f>
        <v>1444</v>
      </c>
      <c r="KL49" s="32">
        <f t="shared" ref="KL49:KV49" si="271">SUM(KL46:KL48)</f>
        <v>1208</v>
      </c>
      <c r="KM49" s="32">
        <f t="shared" si="271"/>
        <v>1431</v>
      </c>
      <c r="KN49" s="32">
        <f t="shared" si="271"/>
        <v>1258</v>
      </c>
      <c r="KO49" s="32">
        <f t="shared" si="271"/>
        <v>1471</v>
      </c>
      <c r="KP49" s="32">
        <f t="shared" si="271"/>
        <v>1390</v>
      </c>
      <c r="KQ49" s="32">
        <f t="shared" si="271"/>
        <v>1229</v>
      </c>
      <c r="KR49" s="32">
        <f t="shared" si="271"/>
        <v>1387</v>
      </c>
      <c r="KS49" s="32">
        <f t="shared" si="271"/>
        <v>1390</v>
      </c>
      <c r="KT49" s="32">
        <f t="shared" si="271"/>
        <v>1558</v>
      </c>
      <c r="KU49" s="32">
        <f t="shared" si="271"/>
        <v>1398</v>
      </c>
      <c r="KV49" s="32">
        <f t="shared" si="271"/>
        <v>1321</v>
      </c>
      <c r="KW49" s="38">
        <f t="shared" si="7"/>
        <v>16485</v>
      </c>
      <c r="KX49" s="36">
        <f t="shared" si="31"/>
        <v>20395</v>
      </c>
      <c r="KY49" s="26"/>
      <c r="KZ49" s="101">
        <f>SUM(KZ46:KZ48)</f>
        <v>1296</v>
      </c>
      <c r="LA49" s="101">
        <f t="shared" ref="LA49:LK49" si="272">SUM(LA46:LA48)</f>
        <v>1357</v>
      </c>
      <c r="LB49" s="101">
        <f t="shared" si="272"/>
        <v>1600</v>
      </c>
      <c r="LC49" s="101">
        <f t="shared" si="272"/>
        <v>1573</v>
      </c>
      <c r="LD49" s="101">
        <f t="shared" si="272"/>
        <v>1845</v>
      </c>
      <c r="LE49" s="101">
        <f t="shared" si="272"/>
        <v>1721</v>
      </c>
      <c r="LF49" s="101">
        <f t="shared" si="272"/>
        <v>1635</v>
      </c>
      <c r="LG49" s="101">
        <f t="shared" si="272"/>
        <v>1890</v>
      </c>
      <c r="LH49" s="101">
        <f t="shared" si="272"/>
        <v>2196</v>
      </c>
      <c r="LI49" s="101">
        <f t="shared" si="272"/>
        <v>2087</v>
      </c>
      <c r="LJ49" s="101">
        <f t="shared" si="272"/>
        <v>1649</v>
      </c>
      <c r="LK49" s="115">
        <f t="shared" si="272"/>
        <v>1670</v>
      </c>
      <c r="LL49" s="38">
        <f t="shared" si="32"/>
        <v>20519</v>
      </c>
      <c r="LM49" s="26"/>
      <c r="LN49" s="45">
        <f>SUM(LN46:LN48)</f>
        <v>4908</v>
      </c>
      <c r="LO49" s="45">
        <f t="shared" ref="LO49:LY49" si="273">SUM(LO46:LO48)</f>
        <v>3173</v>
      </c>
      <c r="LP49" s="45">
        <f t="shared" si="273"/>
        <v>3736</v>
      </c>
      <c r="LQ49" s="45">
        <f t="shared" si="273"/>
        <v>3394</v>
      </c>
      <c r="LR49" s="45">
        <f t="shared" si="273"/>
        <v>3934</v>
      </c>
      <c r="LS49" s="45">
        <f t="shared" si="273"/>
        <v>3894</v>
      </c>
      <c r="LT49" s="45">
        <f t="shared" si="273"/>
        <v>4669</v>
      </c>
      <c r="LU49" s="45">
        <f t="shared" si="273"/>
        <v>4696</v>
      </c>
      <c r="LV49" s="45">
        <f t="shared" si="273"/>
        <v>5219</v>
      </c>
      <c r="LW49" s="45">
        <f t="shared" si="273"/>
        <v>5416</v>
      </c>
      <c r="LX49" s="45">
        <f t="shared" si="273"/>
        <v>4535</v>
      </c>
      <c r="LY49" s="45">
        <f t="shared" si="273"/>
        <v>4771</v>
      </c>
      <c r="LZ49" s="38">
        <f t="shared" si="8"/>
        <v>52345</v>
      </c>
      <c r="MA49" s="26"/>
      <c r="MB49" s="45">
        <f>SUM(MB46:MB48)</f>
        <v>5480</v>
      </c>
      <c r="MC49" s="45">
        <f t="shared" ref="MC49:MM49" si="274">SUM(MC46:MC48)</f>
        <v>5341</v>
      </c>
      <c r="MD49" s="45">
        <f t="shared" si="274"/>
        <v>5492</v>
      </c>
      <c r="ME49" s="45">
        <f t="shared" si="274"/>
        <v>4665</v>
      </c>
      <c r="MF49" s="45">
        <f t="shared" si="274"/>
        <v>5739</v>
      </c>
      <c r="MG49" s="45">
        <f t="shared" si="274"/>
        <v>3026</v>
      </c>
      <c r="MH49" s="45">
        <f t="shared" si="274"/>
        <v>5500</v>
      </c>
      <c r="MI49" s="45">
        <f t="shared" si="274"/>
        <v>5631</v>
      </c>
      <c r="MJ49" s="45">
        <f t="shared" si="274"/>
        <v>5443</v>
      </c>
      <c r="MK49" s="45">
        <f t="shared" si="274"/>
        <v>5357</v>
      </c>
      <c r="ML49" s="45">
        <f t="shared" si="274"/>
        <v>4621</v>
      </c>
      <c r="MM49" s="45">
        <f t="shared" si="274"/>
        <v>4271</v>
      </c>
      <c r="MN49" s="38">
        <f t="shared" si="9"/>
        <v>60566</v>
      </c>
      <c r="MO49" s="32">
        <f>SUM(MO46:MO48)</f>
        <v>9257</v>
      </c>
      <c r="MP49" s="32">
        <f t="shared" ref="MP49:MZ49" si="275">SUM(MP46:MP48)</f>
        <v>9123</v>
      </c>
      <c r="MQ49" s="32">
        <f t="shared" si="275"/>
        <v>9840</v>
      </c>
      <c r="MR49" s="32">
        <f t="shared" si="275"/>
        <v>8302</v>
      </c>
      <c r="MS49" s="32">
        <f t="shared" si="275"/>
        <v>9753</v>
      </c>
      <c r="MT49" s="32">
        <f t="shared" si="275"/>
        <v>9838</v>
      </c>
      <c r="MU49" s="32">
        <f t="shared" si="275"/>
        <v>8586</v>
      </c>
      <c r="MV49" s="32">
        <f t="shared" si="275"/>
        <v>10376</v>
      </c>
      <c r="MW49" s="32">
        <f t="shared" si="275"/>
        <v>11063</v>
      </c>
      <c r="MX49" s="32">
        <f t="shared" si="275"/>
        <v>10507</v>
      </c>
      <c r="MY49" s="32">
        <f t="shared" si="275"/>
        <v>9419</v>
      </c>
      <c r="MZ49" s="32">
        <f t="shared" si="275"/>
        <v>7737</v>
      </c>
      <c r="NA49" s="38">
        <f t="shared" si="10"/>
        <v>113801</v>
      </c>
      <c r="NB49" s="36">
        <f t="shared" si="33"/>
        <v>174367</v>
      </c>
      <c r="NC49" s="26"/>
      <c r="ND49" s="32">
        <f>SUM(ND46:ND48)</f>
        <v>899</v>
      </c>
      <c r="NE49" s="32">
        <f t="shared" ref="NE49:NO49" si="276">SUM(NE46:NE48)</f>
        <v>905</v>
      </c>
      <c r="NF49" s="32">
        <f t="shared" si="276"/>
        <v>1204</v>
      </c>
      <c r="NG49" s="32">
        <f t="shared" si="276"/>
        <v>889</v>
      </c>
      <c r="NH49" s="32">
        <f t="shared" si="276"/>
        <v>1084</v>
      </c>
      <c r="NI49" s="32">
        <f t="shared" si="276"/>
        <v>916</v>
      </c>
      <c r="NJ49" s="32">
        <f t="shared" si="276"/>
        <v>919</v>
      </c>
      <c r="NK49" s="32">
        <f t="shared" si="276"/>
        <v>945</v>
      </c>
      <c r="NL49" s="32">
        <f t="shared" si="276"/>
        <v>889</v>
      </c>
      <c r="NM49" s="32">
        <f t="shared" si="276"/>
        <v>1071</v>
      </c>
      <c r="NN49" s="32">
        <f t="shared" si="276"/>
        <v>673</v>
      </c>
      <c r="NO49" s="32">
        <f t="shared" si="276"/>
        <v>723</v>
      </c>
      <c r="NP49" s="118">
        <f t="shared" si="11"/>
        <v>11117</v>
      </c>
      <c r="NQ49" s="36">
        <f t="shared" si="34"/>
        <v>67645</v>
      </c>
      <c r="NR49" s="36">
        <f t="shared" si="35"/>
        <v>404892</v>
      </c>
      <c r="NS49" s="36">
        <f t="shared" si="36"/>
        <v>321128</v>
      </c>
      <c r="NT49" s="36">
        <f t="shared" si="37"/>
        <v>793665</v>
      </c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</row>
    <row r="50" spans="1:458" s="1" customFormat="1" ht="50.1" customHeight="1" x14ac:dyDescent="0.25">
      <c r="A50" s="120"/>
      <c r="B50" s="6" t="s">
        <v>21</v>
      </c>
      <c r="C50" s="23"/>
      <c r="D50" s="41">
        <v>0</v>
      </c>
      <c r="E50" s="41">
        <v>0</v>
      </c>
      <c r="F50" s="41">
        <v>2</v>
      </c>
      <c r="G50" s="41">
        <v>0</v>
      </c>
      <c r="H50" s="41">
        <v>0</v>
      </c>
      <c r="I50" s="41">
        <v>1</v>
      </c>
      <c r="J50" s="41">
        <v>2</v>
      </c>
      <c r="K50" s="41">
        <v>0</v>
      </c>
      <c r="L50" s="41">
        <v>0</v>
      </c>
      <c r="M50" s="41">
        <v>0</v>
      </c>
      <c r="N50" s="41">
        <v>1</v>
      </c>
      <c r="O50" s="41">
        <v>0</v>
      </c>
      <c r="P50" s="38">
        <f t="shared" si="12"/>
        <v>6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38">
        <f t="shared" si="38"/>
        <v>0</v>
      </c>
      <c r="AD50" s="36">
        <f t="shared" si="13"/>
        <v>6</v>
      </c>
      <c r="AE50" s="26"/>
      <c r="AF50" s="32">
        <v>0</v>
      </c>
      <c r="AG50" s="32">
        <v>0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47">
        <v>0</v>
      </c>
      <c r="AN50" s="32">
        <v>0</v>
      </c>
      <c r="AO50" s="32">
        <v>0</v>
      </c>
      <c r="AP50" s="32">
        <v>0</v>
      </c>
      <c r="AQ50" s="32">
        <v>0</v>
      </c>
      <c r="AR50" s="38">
        <f t="shared" si="14"/>
        <v>0</v>
      </c>
      <c r="AS50" s="32">
        <v>8</v>
      </c>
      <c r="AT50" s="32">
        <v>24</v>
      </c>
      <c r="AU50" s="32">
        <v>31</v>
      </c>
      <c r="AV50" s="32">
        <v>10</v>
      </c>
      <c r="AW50" s="32">
        <v>11</v>
      </c>
      <c r="AX50" s="32">
        <v>5</v>
      </c>
      <c r="AY50" s="32">
        <v>6</v>
      </c>
      <c r="AZ50" s="47">
        <v>3</v>
      </c>
      <c r="BA50" s="32">
        <v>18</v>
      </c>
      <c r="BB50" s="32">
        <v>30</v>
      </c>
      <c r="BC50" s="32">
        <v>6</v>
      </c>
      <c r="BD50" s="32">
        <v>9</v>
      </c>
      <c r="BE50" s="38">
        <f t="shared" si="15"/>
        <v>161</v>
      </c>
      <c r="BF50" s="36">
        <f t="shared" si="16"/>
        <v>161</v>
      </c>
      <c r="BG50" s="26"/>
      <c r="BH50" s="41">
        <v>0</v>
      </c>
      <c r="BI50" s="41">
        <v>0</v>
      </c>
      <c r="BJ50" s="41">
        <v>0</v>
      </c>
      <c r="BK50" s="41">
        <v>0</v>
      </c>
      <c r="BL50" s="41">
        <v>0</v>
      </c>
      <c r="BM50" s="41">
        <v>0</v>
      </c>
      <c r="BN50" s="41">
        <v>0</v>
      </c>
      <c r="BO50" s="41">
        <v>0</v>
      </c>
      <c r="BP50" s="41">
        <v>0</v>
      </c>
      <c r="BQ50" s="41">
        <v>0</v>
      </c>
      <c r="BR50" s="41">
        <v>0</v>
      </c>
      <c r="BS50" s="41">
        <v>0</v>
      </c>
      <c r="BT50" s="38">
        <f t="shared" si="17"/>
        <v>0</v>
      </c>
      <c r="BU50" s="54">
        <v>0</v>
      </c>
      <c r="BV50" s="54">
        <v>2</v>
      </c>
      <c r="BW50" s="54">
        <v>3</v>
      </c>
      <c r="BX50" s="54">
        <v>4</v>
      </c>
      <c r="BY50" s="54">
        <v>5</v>
      </c>
      <c r="BZ50" s="54">
        <v>3</v>
      </c>
      <c r="CA50" s="54">
        <v>2</v>
      </c>
      <c r="CB50" s="54">
        <v>4</v>
      </c>
      <c r="CC50" s="54">
        <v>4</v>
      </c>
      <c r="CD50" s="54">
        <v>3</v>
      </c>
      <c r="CE50" s="54">
        <v>0</v>
      </c>
      <c r="CF50" s="54">
        <v>0</v>
      </c>
      <c r="CG50" s="38">
        <f t="shared" si="18"/>
        <v>30</v>
      </c>
      <c r="CH50" s="36">
        <f t="shared" si="19"/>
        <v>30</v>
      </c>
      <c r="CI50" s="26"/>
      <c r="CJ50" s="32">
        <v>10</v>
      </c>
      <c r="CK50" s="32">
        <v>2</v>
      </c>
      <c r="CL50" s="32">
        <v>1</v>
      </c>
      <c r="CM50" s="32">
        <v>0</v>
      </c>
      <c r="CN50" s="32">
        <v>0</v>
      </c>
      <c r="CO50" s="32">
        <v>0</v>
      </c>
      <c r="CP50" s="32">
        <v>0</v>
      </c>
      <c r="CQ50" s="32">
        <v>0</v>
      </c>
      <c r="CR50" s="32">
        <v>0</v>
      </c>
      <c r="CS50" s="32">
        <v>0</v>
      </c>
      <c r="CT50" s="32">
        <v>0</v>
      </c>
      <c r="CU50" s="32">
        <v>0</v>
      </c>
      <c r="CV50" s="38">
        <f t="shared" si="20"/>
        <v>13</v>
      </c>
      <c r="CW50" s="54">
        <v>55</v>
      </c>
      <c r="CX50" s="54">
        <v>18</v>
      </c>
      <c r="CY50" s="54">
        <v>43</v>
      </c>
      <c r="CZ50" s="54">
        <v>6</v>
      </c>
      <c r="DA50" s="54">
        <v>52</v>
      </c>
      <c r="DB50" s="54">
        <v>46</v>
      </c>
      <c r="DC50" s="54">
        <v>15</v>
      </c>
      <c r="DD50" s="54">
        <v>9</v>
      </c>
      <c r="DE50" s="54">
        <v>7</v>
      </c>
      <c r="DF50" s="54">
        <v>11</v>
      </c>
      <c r="DG50" s="54">
        <v>16</v>
      </c>
      <c r="DH50" s="54">
        <v>10</v>
      </c>
      <c r="DI50" s="38">
        <f t="shared" si="21"/>
        <v>288</v>
      </c>
      <c r="DJ50" s="36">
        <f t="shared" si="22"/>
        <v>301</v>
      </c>
      <c r="DK50" s="26"/>
      <c r="DL50" s="75">
        <v>0</v>
      </c>
      <c r="DM50" s="75">
        <v>0</v>
      </c>
      <c r="DN50" s="75">
        <v>0</v>
      </c>
      <c r="DO50" s="75">
        <v>0</v>
      </c>
      <c r="DP50" s="75">
        <v>0</v>
      </c>
      <c r="DQ50" s="75">
        <v>0</v>
      </c>
      <c r="DR50" s="75">
        <v>0</v>
      </c>
      <c r="DS50" s="75">
        <v>0</v>
      </c>
      <c r="DT50" s="75">
        <v>0</v>
      </c>
      <c r="DU50" s="75">
        <v>0</v>
      </c>
      <c r="DV50" s="75">
        <v>0</v>
      </c>
      <c r="DW50" s="75">
        <v>0</v>
      </c>
      <c r="DX50" s="38">
        <f t="shared" si="0"/>
        <v>0</v>
      </c>
      <c r="DY50" s="64">
        <v>122</v>
      </c>
      <c r="DZ50" s="64">
        <v>95</v>
      </c>
      <c r="EA50" s="64">
        <v>116</v>
      </c>
      <c r="EB50" s="64">
        <v>74</v>
      </c>
      <c r="EC50" s="64">
        <v>100</v>
      </c>
      <c r="ED50" s="64">
        <v>112</v>
      </c>
      <c r="EE50" s="64">
        <v>135</v>
      </c>
      <c r="EF50" s="66">
        <v>176</v>
      </c>
      <c r="EG50" s="65">
        <v>119</v>
      </c>
      <c r="EH50" s="65">
        <v>80</v>
      </c>
      <c r="EI50" s="65">
        <v>148</v>
      </c>
      <c r="EJ50" s="65">
        <v>106</v>
      </c>
      <c r="EK50" s="38">
        <f t="shared" si="23"/>
        <v>1383</v>
      </c>
      <c r="EL50" s="36">
        <f t="shared" si="1"/>
        <v>1383</v>
      </c>
      <c r="EM50" s="26"/>
      <c r="EN50" s="32">
        <v>0</v>
      </c>
      <c r="EO50" s="32">
        <v>0</v>
      </c>
      <c r="EP50" s="32">
        <v>0</v>
      </c>
      <c r="EQ50" s="32">
        <v>1</v>
      </c>
      <c r="ER50" s="32">
        <v>4</v>
      </c>
      <c r="ES50" s="32">
        <v>6</v>
      </c>
      <c r="ET50" s="32">
        <v>12</v>
      </c>
      <c r="EU50" s="47">
        <v>5</v>
      </c>
      <c r="EV50" s="32">
        <v>8</v>
      </c>
      <c r="EW50" s="32">
        <v>4</v>
      </c>
      <c r="EX50" s="32">
        <v>8</v>
      </c>
      <c r="EY50" s="32">
        <v>3</v>
      </c>
      <c r="EZ50" s="38">
        <f t="shared" si="24"/>
        <v>51</v>
      </c>
      <c r="FA50" s="26"/>
      <c r="FB50" s="104">
        <v>0</v>
      </c>
      <c r="FC50" s="104">
        <v>0</v>
      </c>
      <c r="FD50" s="104">
        <v>0</v>
      </c>
      <c r="FE50" s="104">
        <v>0</v>
      </c>
      <c r="FF50" s="104">
        <v>0</v>
      </c>
      <c r="FG50" s="104">
        <v>0</v>
      </c>
      <c r="FH50" s="104">
        <v>0</v>
      </c>
      <c r="FI50" s="104">
        <v>0</v>
      </c>
      <c r="FJ50" s="104">
        <v>0</v>
      </c>
      <c r="FK50" s="104">
        <v>0</v>
      </c>
      <c r="FL50" s="104">
        <v>0</v>
      </c>
      <c r="FM50" s="104">
        <v>0</v>
      </c>
      <c r="FN50" s="38">
        <f t="shared" si="25"/>
        <v>0</v>
      </c>
      <c r="FO50" s="26"/>
      <c r="FP50" s="32">
        <v>12</v>
      </c>
      <c r="FQ50" s="32">
        <v>28</v>
      </c>
      <c r="FR50" s="32">
        <v>13</v>
      </c>
      <c r="FS50" s="32">
        <v>30</v>
      </c>
      <c r="FT50" s="32">
        <v>24</v>
      </c>
      <c r="FU50" s="32">
        <v>36</v>
      </c>
      <c r="FV50" s="32">
        <v>33</v>
      </c>
      <c r="FW50" s="92">
        <v>5</v>
      </c>
      <c r="FX50" s="32">
        <v>4</v>
      </c>
      <c r="FY50" s="32">
        <v>4</v>
      </c>
      <c r="FZ50" s="32">
        <v>3</v>
      </c>
      <c r="GA50" s="32">
        <v>5</v>
      </c>
      <c r="GB50" s="38">
        <f t="shared" si="26"/>
        <v>197</v>
      </c>
      <c r="GC50" s="26"/>
      <c r="GD50" s="101">
        <v>22</v>
      </c>
      <c r="GE50" s="106">
        <v>10</v>
      </c>
      <c r="GF50" s="101">
        <v>22</v>
      </c>
      <c r="GG50" s="101">
        <v>5</v>
      </c>
      <c r="GH50" s="101">
        <v>10</v>
      </c>
      <c r="GI50" s="101">
        <v>15</v>
      </c>
      <c r="GJ50" s="101">
        <v>10</v>
      </c>
      <c r="GK50" s="102">
        <v>9</v>
      </c>
      <c r="GL50" s="101">
        <v>15</v>
      </c>
      <c r="GM50" s="101">
        <v>24</v>
      </c>
      <c r="GN50" s="101">
        <v>10</v>
      </c>
      <c r="GO50" s="101">
        <v>2</v>
      </c>
      <c r="GP50" s="38">
        <f t="shared" si="27"/>
        <v>154</v>
      </c>
      <c r="GQ50" s="26"/>
      <c r="GR50" s="32">
        <v>0</v>
      </c>
      <c r="GS50" s="32">
        <v>0</v>
      </c>
      <c r="GT50" s="32">
        <v>0</v>
      </c>
      <c r="GU50" s="32">
        <v>0</v>
      </c>
      <c r="GV50" s="32">
        <v>2</v>
      </c>
      <c r="GW50" s="32">
        <v>13</v>
      </c>
      <c r="GX50" s="32">
        <v>12</v>
      </c>
      <c r="GY50" s="32">
        <v>6</v>
      </c>
      <c r="GZ50" s="32">
        <v>0</v>
      </c>
      <c r="HA50" s="32">
        <v>0</v>
      </c>
      <c r="HB50" s="32">
        <v>4</v>
      </c>
      <c r="HC50" s="32">
        <v>2</v>
      </c>
      <c r="HD50" s="38">
        <f t="shared" si="28"/>
        <v>39</v>
      </c>
      <c r="HE50" s="26"/>
      <c r="HF50" s="54">
        <v>0</v>
      </c>
      <c r="HG50" s="54">
        <v>0</v>
      </c>
      <c r="HH50" s="54">
        <v>0</v>
      </c>
      <c r="HI50" s="54">
        <v>0</v>
      </c>
      <c r="HJ50" s="54">
        <v>0</v>
      </c>
      <c r="HK50" s="54">
        <v>0</v>
      </c>
      <c r="HL50" s="54">
        <v>0</v>
      </c>
      <c r="HM50" s="54">
        <v>0</v>
      </c>
      <c r="HN50" s="54">
        <v>0</v>
      </c>
      <c r="HO50" s="54">
        <v>0</v>
      </c>
      <c r="HP50" s="54">
        <v>0</v>
      </c>
      <c r="HQ50" s="54">
        <v>0</v>
      </c>
      <c r="HR50" s="38">
        <f t="shared" si="29"/>
        <v>0</v>
      </c>
      <c r="HS50" s="26"/>
      <c r="HT50" s="32">
        <v>2</v>
      </c>
      <c r="HU50" s="32">
        <v>2</v>
      </c>
      <c r="HV50" s="32">
        <v>1</v>
      </c>
      <c r="HW50" s="32">
        <v>1</v>
      </c>
      <c r="HX50" s="32">
        <v>2</v>
      </c>
      <c r="HY50" s="32">
        <v>1</v>
      </c>
      <c r="HZ50" s="32">
        <v>0</v>
      </c>
      <c r="IA50" s="92">
        <v>1</v>
      </c>
      <c r="IB50" s="32">
        <v>2</v>
      </c>
      <c r="IC50" s="32">
        <v>2</v>
      </c>
      <c r="ID50" s="32">
        <v>1</v>
      </c>
      <c r="IE50" s="69">
        <v>3</v>
      </c>
      <c r="IF50" s="38">
        <f t="shared" si="2"/>
        <v>18</v>
      </c>
      <c r="IG50" s="104">
        <v>38</v>
      </c>
      <c r="IH50" s="104">
        <v>35</v>
      </c>
      <c r="II50" s="104">
        <v>3</v>
      </c>
      <c r="IJ50" s="104">
        <v>41</v>
      </c>
      <c r="IK50" s="104">
        <v>40</v>
      </c>
      <c r="IL50" s="104">
        <v>17</v>
      </c>
      <c r="IM50" s="104">
        <v>65</v>
      </c>
      <c r="IN50" s="104">
        <v>7</v>
      </c>
      <c r="IO50" s="104">
        <v>1</v>
      </c>
      <c r="IP50" s="104">
        <v>0</v>
      </c>
      <c r="IQ50" s="104">
        <v>7</v>
      </c>
      <c r="IR50" s="107">
        <v>5</v>
      </c>
      <c r="IS50" s="38">
        <f t="shared" si="3"/>
        <v>259</v>
      </c>
      <c r="IT50" s="36">
        <f t="shared" si="39"/>
        <v>277</v>
      </c>
      <c r="IU50" s="26"/>
      <c r="IV50" s="32">
        <v>5</v>
      </c>
      <c r="IW50" s="32">
        <v>21</v>
      </c>
      <c r="IX50" s="32">
        <v>13</v>
      </c>
      <c r="IY50" s="32">
        <v>11</v>
      </c>
      <c r="IZ50" s="32">
        <v>9</v>
      </c>
      <c r="JA50" s="32">
        <v>15</v>
      </c>
      <c r="JB50" s="32">
        <v>13</v>
      </c>
      <c r="JC50" s="32">
        <v>18</v>
      </c>
      <c r="JD50" s="32">
        <v>0</v>
      </c>
      <c r="JE50" s="32">
        <v>0</v>
      </c>
      <c r="JF50" s="32">
        <v>0</v>
      </c>
      <c r="JG50" s="32">
        <v>0</v>
      </c>
      <c r="JH50" s="38">
        <f t="shared" si="4"/>
        <v>105</v>
      </c>
      <c r="JI50" s="110">
        <v>25</v>
      </c>
      <c r="JJ50" s="32">
        <v>54</v>
      </c>
      <c r="JK50" s="32">
        <v>40</v>
      </c>
      <c r="JL50" s="32">
        <v>18</v>
      </c>
      <c r="JM50" s="32">
        <v>62</v>
      </c>
      <c r="JN50" s="32">
        <v>21</v>
      </c>
      <c r="JO50" s="32">
        <v>68</v>
      </c>
      <c r="JP50" s="47">
        <v>52</v>
      </c>
      <c r="JQ50" s="32">
        <v>41</v>
      </c>
      <c r="JR50" s="32">
        <v>56</v>
      </c>
      <c r="JS50" s="32">
        <v>44</v>
      </c>
      <c r="JT50" s="32">
        <v>89</v>
      </c>
      <c r="JU50" s="35">
        <f t="shared" si="5"/>
        <v>570</v>
      </c>
      <c r="JV50" s="40">
        <f t="shared" si="30"/>
        <v>675</v>
      </c>
      <c r="JW50" s="26"/>
      <c r="JX50" s="32">
        <v>0</v>
      </c>
      <c r="JY50" s="32">
        <v>0</v>
      </c>
      <c r="JZ50" s="32">
        <v>0</v>
      </c>
      <c r="KA50" s="32">
        <v>3</v>
      </c>
      <c r="KB50" s="32">
        <v>0</v>
      </c>
      <c r="KC50" s="32">
        <v>1</v>
      </c>
      <c r="KD50" s="32">
        <v>2</v>
      </c>
      <c r="KE50" s="32">
        <v>1</v>
      </c>
      <c r="KF50" s="32">
        <v>4</v>
      </c>
      <c r="KG50" s="32">
        <v>5</v>
      </c>
      <c r="KH50" s="32">
        <v>9</v>
      </c>
      <c r="KI50" s="32">
        <v>0</v>
      </c>
      <c r="KJ50" s="38">
        <f t="shared" si="6"/>
        <v>25</v>
      </c>
      <c r="KK50" s="32">
        <v>41</v>
      </c>
      <c r="KL50" s="113">
        <v>15</v>
      </c>
      <c r="KM50" s="113">
        <v>26</v>
      </c>
      <c r="KN50" s="49">
        <v>15</v>
      </c>
      <c r="KO50" s="49">
        <v>47</v>
      </c>
      <c r="KP50" s="49">
        <v>27</v>
      </c>
      <c r="KQ50" s="49">
        <v>22</v>
      </c>
      <c r="KR50" s="47">
        <v>42</v>
      </c>
      <c r="KS50" s="32">
        <v>16</v>
      </c>
      <c r="KT50" s="32">
        <v>15</v>
      </c>
      <c r="KU50" s="32">
        <v>9</v>
      </c>
      <c r="KV50" s="32">
        <v>24</v>
      </c>
      <c r="KW50" s="38">
        <f t="shared" si="7"/>
        <v>299</v>
      </c>
      <c r="KX50" s="36">
        <f t="shared" si="31"/>
        <v>324</v>
      </c>
      <c r="KY50" s="26"/>
      <c r="KZ50" s="32">
        <v>1</v>
      </c>
      <c r="LA50" s="32">
        <v>0</v>
      </c>
      <c r="LB50" s="32">
        <v>0</v>
      </c>
      <c r="LC50" s="101">
        <v>11</v>
      </c>
      <c r="LD50" s="101">
        <v>3</v>
      </c>
      <c r="LE50" s="101">
        <v>0</v>
      </c>
      <c r="LF50" s="101">
        <v>3</v>
      </c>
      <c r="LG50" s="102">
        <v>2</v>
      </c>
      <c r="LH50" s="101">
        <v>3</v>
      </c>
      <c r="LI50" s="101">
        <v>0</v>
      </c>
      <c r="LJ50" s="101">
        <v>1</v>
      </c>
      <c r="LK50" s="115">
        <v>0</v>
      </c>
      <c r="LL50" s="38">
        <f t="shared" si="32"/>
        <v>24</v>
      </c>
      <c r="LM50" s="26"/>
      <c r="LN50" s="45">
        <v>86</v>
      </c>
      <c r="LO50" s="45">
        <v>15</v>
      </c>
      <c r="LP50" s="45">
        <v>9</v>
      </c>
      <c r="LQ50" s="45">
        <v>16</v>
      </c>
      <c r="LR50" s="45">
        <v>8</v>
      </c>
      <c r="LS50" s="45">
        <v>33</v>
      </c>
      <c r="LT50" s="45">
        <v>22</v>
      </c>
      <c r="LU50" s="45">
        <v>68</v>
      </c>
      <c r="LV50" s="45">
        <v>59</v>
      </c>
      <c r="LW50" s="45">
        <v>21</v>
      </c>
      <c r="LX50" s="45">
        <v>41</v>
      </c>
      <c r="LY50" s="45">
        <v>40</v>
      </c>
      <c r="LZ50" s="38">
        <f t="shared" si="8"/>
        <v>418</v>
      </c>
      <c r="MA50" s="26"/>
      <c r="MB50" s="45">
        <v>71</v>
      </c>
      <c r="MC50" s="45">
        <v>39</v>
      </c>
      <c r="MD50" s="45">
        <v>61</v>
      </c>
      <c r="ME50" s="45">
        <v>42</v>
      </c>
      <c r="MF50" s="45">
        <v>71</v>
      </c>
      <c r="MG50" s="45">
        <v>49</v>
      </c>
      <c r="MH50" s="45">
        <v>51</v>
      </c>
      <c r="MI50" s="45">
        <v>52</v>
      </c>
      <c r="MJ50" s="45">
        <v>22</v>
      </c>
      <c r="MK50" s="45">
        <v>34</v>
      </c>
      <c r="ML50" s="45">
        <v>58</v>
      </c>
      <c r="MM50" s="45">
        <v>12</v>
      </c>
      <c r="MN50" s="38">
        <f t="shared" si="9"/>
        <v>562</v>
      </c>
      <c r="MO50" s="32">
        <v>35</v>
      </c>
      <c r="MP50" s="32">
        <v>10</v>
      </c>
      <c r="MQ50" s="32">
        <v>35</v>
      </c>
      <c r="MR50" s="32">
        <v>20</v>
      </c>
      <c r="MS50" s="32">
        <v>38</v>
      </c>
      <c r="MT50" s="32">
        <v>19</v>
      </c>
      <c r="MU50" s="32">
        <v>20</v>
      </c>
      <c r="MV50" s="47">
        <v>54</v>
      </c>
      <c r="MW50" s="32">
        <v>21</v>
      </c>
      <c r="MX50" s="32">
        <v>18</v>
      </c>
      <c r="MY50" s="32">
        <v>25</v>
      </c>
      <c r="MZ50" s="32">
        <v>42</v>
      </c>
      <c r="NA50" s="38">
        <f t="shared" si="10"/>
        <v>337</v>
      </c>
      <c r="NB50" s="36">
        <f t="shared" si="33"/>
        <v>899</v>
      </c>
      <c r="NC50" s="26"/>
      <c r="ND50" s="32">
        <v>24</v>
      </c>
      <c r="NE50" s="32">
        <v>14</v>
      </c>
      <c r="NF50" s="32">
        <v>2</v>
      </c>
      <c r="NG50" s="32">
        <v>16</v>
      </c>
      <c r="NH50" s="32">
        <v>9</v>
      </c>
      <c r="NI50" s="32">
        <v>6</v>
      </c>
      <c r="NJ50" s="32">
        <v>2</v>
      </c>
      <c r="NK50" s="32">
        <v>12</v>
      </c>
      <c r="NL50" s="32">
        <v>13</v>
      </c>
      <c r="NM50" s="32">
        <v>0</v>
      </c>
      <c r="NN50" s="32">
        <v>0</v>
      </c>
      <c r="NO50" s="32">
        <v>0</v>
      </c>
      <c r="NP50" s="118">
        <f t="shared" si="11"/>
        <v>98</v>
      </c>
      <c r="NQ50" s="36">
        <f t="shared" si="34"/>
        <v>101</v>
      </c>
      <c r="NR50" s="36">
        <f t="shared" si="35"/>
        <v>4029</v>
      </c>
      <c r="NS50" s="36">
        <f t="shared" si="36"/>
        <v>907</v>
      </c>
      <c r="NT50" s="36">
        <f t="shared" si="37"/>
        <v>5037</v>
      </c>
      <c r="NU50" s="10"/>
      <c r="NV50" s="10"/>
      <c r="NW50" s="10"/>
      <c r="NX50" s="10"/>
      <c r="NY50" s="10"/>
      <c r="NZ50" s="10"/>
      <c r="OA50" s="10"/>
      <c r="OB50" s="10"/>
      <c r="OC50" s="19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9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9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</row>
    <row r="51" spans="1:458" s="1" customFormat="1" ht="50.1" customHeight="1" x14ac:dyDescent="0.25">
      <c r="A51" s="120"/>
      <c r="B51" s="6" t="s">
        <v>22</v>
      </c>
      <c r="C51" s="23"/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38">
        <f t="shared" si="12"/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38">
        <f t="shared" si="38"/>
        <v>0</v>
      </c>
      <c r="AD51" s="36">
        <f t="shared" si="13"/>
        <v>0</v>
      </c>
      <c r="AE51" s="26"/>
      <c r="AF51" s="32">
        <v>0</v>
      </c>
      <c r="AG51" s="32">
        <v>0</v>
      </c>
      <c r="AH51" s="32">
        <v>0</v>
      </c>
      <c r="AI51" s="32">
        <v>0</v>
      </c>
      <c r="AJ51" s="32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8">
        <f t="shared" si="14"/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 s="32">
        <v>0</v>
      </c>
      <c r="BD51" s="32">
        <v>0</v>
      </c>
      <c r="BE51" s="38">
        <f t="shared" si="15"/>
        <v>0</v>
      </c>
      <c r="BF51" s="36">
        <f t="shared" si="16"/>
        <v>0</v>
      </c>
      <c r="BG51" s="26"/>
      <c r="BH51" s="41">
        <v>0</v>
      </c>
      <c r="BI51" s="41">
        <v>0</v>
      </c>
      <c r="BJ51" s="41">
        <v>0</v>
      </c>
      <c r="BK51" s="41">
        <v>0</v>
      </c>
      <c r="BL51" s="41">
        <v>0</v>
      </c>
      <c r="BM51" s="41">
        <v>0</v>
      </c>
      <c r="BN51" s="41">
        <v>0</v>
      </c>
      <c r="BO51" s="41">
        <v>0</v>
      </c>
      <c r="BP51" s="41">
        <v>0</v>
      </c>
      <c r="BQ51" s="41">
        <v>0</v>
      </c>
      <c r="BR51" s="41">
        <v>0</v>
      </c>
      <c r="BS51" s="41">
        <v>0</v>
      </c>
      <c r="BT51" s="38">
        <f t="shared" si="17"/>
        <v>0</v>
      </c>
      <c r="BU51" s="54">
        <v>0</v>
      </c>
      <c r="BV51" s="54">
        <v>0</v>
      </c>
      <c r="BW51" s="54">
        <v>0</v>
      </c>
      <c r="BX51" s="54">
        <v>0</v>
      </c>
      <c r="BY51" s="54">
        <v>0</v>
      </c>
      <c r="BZ51" s="54">
        <v>0</v>
      </c>
      <c r="CA51" s="54">
        <v>0</v>
      </c>
      <c r="CB51" s="54">
        <v>0</v>
      </c>
      <c r="CC51" s="54">
        <v>0</v>
      </c>
      <c r="CD51" s="54">
        <v>0</v>
      </c>
      <c r="CE51" s="54">
        <v>0</v>
      </c>
      <c r="CF51" s="54">
        <v>0</v>
      </c>
      <c r="CG51" s="38">
        <f t="shared" si="18"/>
        <v>0</v>
      </c>
      <c r="CH51" s="36">
        <f t="shared" si="19"/>
        <v>0</v>
      </c>
      <c r="CI51" s="26"/>
      <c r="CJ51" s="32">
        <v>0</v>
      </c>
      <c r="CK51" s="32">
        <v>0</v>
      </c>
      <c r="CL51" s="32">
        <v>0</v>
      </c>
      <c r="CM51" s="32">
        <v>0</v>
      </c>
      <c r="CN51" s="32">
        <v>0</v>
      </c>
      <c r="CO51" s="32">
        <v>0</v>
      </c>
      <c r="CP51" s="32">
        <v>0</v>
      </c>
      <c r="CQ51" s="32">
        <v>0</v>
      </c>
      <c r="CR51" s="32">
        <v>0</v>
      </c>
      <c r="CS51" s="32">
        <v>0</v>
      </c>
      <c r="CT51" s="32">
        <v>0</v>
      </c>
      <c r="CU51" s="32">
        <v>0</v>
      </c>
      <c r="CV51" s="38">
        <f t="shared" si="20"/>
        <v>0</v>
      </c>
      <c r="CW51" s="54">
        <v>0</v>
      </c>
      <c r="CX51" s="54">
        <v>0</v>
      </c>
      <c r="CY51" s="54">
        <v>0</v>
      </c>
      <c r="CZ51" s="54">
        <v>0</v>
      </c>
      <c r="DA51" s="54">
        <v>0</v>
      </c>
      <c r="DB51" s="54">
        <v>0</v>
      </c>
      <c r="DC51" s="54">
        <v>0</v>
      </c>
      <c r="DD51" s="54">
        <v>0</v>
      </c>
      <c r="DE51" s="54">
        <v>0</v>
      </c>
      <c r="DF51" s="54">
        <v>0</v>
      </c>
      <c r="DG51" s="54">
        <v>0</v>
      </c>
      <c r="DH51" s="54">
        <v>0</v>
      </c>
      <c r="DI51" s="38">
        <f t="shared" si="21"/>
        <v>0</v>
      </c>
      <c r="DJ51" s="36">
        <f t="shared" si="22"/>
        <v>0</v>
      </c>
      <c r="DK51" s="26"/>
      <c r="DL51" s="75">
        <v>0</v>
      </c>
      <c r="DM51" s="75">
        <v>0</v>
      </c>
      <c r="DN51" s="75">
        <v>0</v>
      </c>
      <c r="DO51" s="75">
        <v>0</v>
      </c>
      <c r="DP51" s="75">
        <v>0</v>
      </c>
      <c r="DQ51" s="75">
        <v>0</v>
      </c>
      <c r="DR51" s="75">
        <v>0</v>
      </c>
      <c r="DS51" s="75">
        <v>0</v>
      </c>
      <c r="DT51" s="75">
        <v>0</v>
      </c>
      <c r="DU51" s="75">
        <v>0</v>
      </c>
      <c r="DV51" s="75">
        <v>0</v>
      </c>
      <c r="DW51" s="75">
        <v>0</v>
      </c>
      <c r="DX51" s="38">
        <f t="shared" si="0"/>
        <v>0</v>
      </c>
      <c r="DY51" s="63">
        <v>0</v>
      </c>
      <c r="DZ51" s="63">
        <v>0</v>
      </c>
      <c r="EA51" s="63">
        <v>0</v>
      </c>
      <c r="EB51" s="63">
        <v>0</v>
      </c>
      <c r="EC51" s="63">
        <v>0</v>
      </c>
      <c r="ED51" s="63">
        <v>0</v>
      </c>
      <c r="EE51" s="63">
        <v>0</v>
      </c>
      <c r="EF51" s="63">
        <v>0</v>
      </c>
      <c r="EG51" s="63">
        <v>0</v>
      </c>
      <c r="EH51" s="63">
        <v>0</v>
      </c>
      <c r="EI51" s="63">
        <v>0</v>
      </c>
      <c r="EJ51" s="63">
        <v>0</v>
      </c>
      <c r="EK51" s="38">
        <f t="shared" si="23"/>
        <v>0</v>
      </c>
      <c r="EL51" s="36">
        <f t="shared" si="1"/>
        <v>0</v>
      </c>
      <c r="EM51" s="26"/>
      <c r="EN51" s="32">
        <v>0</v>
      </c>
      <c r="EO51" s="32">
        <v>0</v>
      </c>
      <c r="EP51" s="32">
        <v>0</v>
      </c>
      <c r="EQ51" s="32">
        <v>0</v>
      </c>
      <c r="ER51" s="32">
        <v>0</v>
      </c>
      <c r="ES51" s="32">
        <v>0</v>
      </c>
      <c r="ET51" s="32">
        <v>0</v>
      </c>
      <c r="EU51" s="32">
        <v>0</v>
      </c>
      <c r="EV51" s="32">
        <v>0</v>
      </c>
      <c r="EW51" s="32">
        <v>0</v>
      </c>
      <c r="EX51" s="32">
        <v>0</v>
      </c>
      <c r="EY51" s="32">
        <v>0</v>
      </c>
      <c r="EZ51" s="38">
        <f t="shared" si="24"/>
        <v>0</v>
      </c>
      <c r="FA51" s="26"/>
      <c r="FB51" s="104">
        <v>0</v>
      </c>
      <c r="FC51" s="104">
        <v>0</v>
      </c>
      <c r="FD51" s="104">
        <v>0</v>
      </c>
      <c r="FE51" s="104">
        <v>0</v>
      </c>
      <c r="FF51" s="104">
        <v>0</v>
      </c>
      <c r="FG51" s="104">
        <v>0</v>
      </c>
      <c r="FH51" s="104">
        <v>0</v>
      </c>
      <c r="FI51" s="104">
        <v>0</v>
      </c>
      <c r="FJ51" s="104">
        <v>0</v>
      </c>
      <c r="FK51" s="104">
        <v>0</v>
      </c>
      <c r="FL51" s="104">
        <v>0</v>
      </c>
      <c r="FM51" s="104">
        <v>0</v>
      </c>
      <c r="FN51" s="38">
        <f t="shared" si="25"/>
        <v>0</v>
      </c>
      <c r="FO51" s="26"/>
      <c r="FP51" s="32">
        <v>0</v>
      </c>
      <c r="FQ51" s="32">
        <v>0</v>
      </c>
      <c r="FR51" s="32">
        <v>0</v>
      </c>
      <c r="FS51" s="32">
        <v>0</v>
      </c>
      <c r="FT51" s="32">
        <v>0</v>
      </c>
      <c r="FU51" s="32">
        <v>0</v>
      </c>
      <c r="FV51" s="32">
        <v>0</v>
      </c>
      <c r="FW51" s="32">
        <v>0</v>
      </c>
      <c r="FX51" s="32">
        <v>0</v>
      </c>
      <c r="FY51" s="32">
        <v>0</v>
      </c>
      <c r="FZ51" s="32">
        <v>0</v>
      </c>
      <c r="GA51" s="32">
        <v>0</v>
      </c>
      <c r="GB51" s="38">
        <f t="shared" si="26"/>
        <v>0</v>
      </c>
      <c r="GC51" s="26"/>
      <c r="GD51" s="32">
        <v>0</v>
      </c>
      <c r="GE51" s="32">
        <v>0</v>
      </c>
      <c r="GF51" s="32">
        <v>0</v>
      </c>
      <c r="GG51" s="32">
        <v>0</v>
      </c>
      <c r="GH51" s="32">
        <v>0</v>
      </c>
      <c r="GI51" s="32">
        <v>0</v>
      </c>
      <c r="GJ51" s="32">
        <v>0</v>
      </c>
      <c r="GK51" s="32">
        <v>0</v>
      </c>
      <c r="GL51" s="32">
        <v>0</v>
      </c>
      <c r="GM51" s="32">
        <v>0</v>
      </c>
      <c r="GN51" s="32">
        <v>0</v>
      </c>
      <c r="GO51" s="32">
        <v>0</v>
      </c>
      <c r="GP51" s="38">
        <f t="shared" si="27"/>
        <v>0</v>
      </c>
      <c r="GQ51" s="26"/>
      <c r="GR51" s="32">
        <v>0</v>
      </c>
      <c r="GS51" s="32">
        <v>0</v>
      </c>
      <c r="GT51" s="32">
        <v>0</v>
      </c>
      <c r="GU51" s="32">
        <v>0</v>
      </c>
      <c r="GV51" s="32">
        <v>0</v>
      </c>
      <c r="GW51" s="32">
        <v>0</v>
      </c>
      <c r="GX51" s="32">
        <v>0</v>
      </c>
      <c r="GY51" s="32">
        <v>0</v>
      </c>
      <c r="GZ51" s="32">
        <v>0</v>
      </c>
      <c r="HA51" s="32">
        <v>0</v>
      </c>
      <c r="HB51" s="32">
        <v>0</v>
      </c>
      <c r="HC51" s="32">
        <v>0</v>
      </c>
      <c r="HD51" s="38">
        <f t="shared" si="28"/>
        <v>0</v>
      </c>
      <c r="HE51" s="26"/>
      <c r="HF51" s="54">
        <v>0</v>
      </c>
      <c r="HG51" s="54">
        <v>0</v>
      </c>
      <c r="HH51" s="54">
        <v>0</v>
      </c>
      <c r="HI51" s="54">
        <v>0</v>
      </c>
      <c r="HJ51" s="54">
        <v>0</v>
      </c>
      <c r="HK51" s="54">
        <v>0</v>
      </c>
      <c r="HL51" s="54">
        <v>0</v>
      </c>
      <c r="HM51" s="54">
        <v>0</v>
      </c>
      <c r="HN51" s="54">
        <v>0</v>
      </c>
      <c r="HO51" s="54">
        <v>0</v>
      </c>
      <c r="HP51" s="54">
        <v>0</v>
      </c>
      <c r="HQ51" s="54">
        <v>0</v>
      </c>
      <c r="HR51" s="38">
        <f t="shared" si="29"/>
        <v>0</v>
      </c>
      <c r="HS51" s="26"/>
      <c r="HT51" s="32">
        <v>0</v>
      </c>
      <c r="HU51" s="32">
        <v>0</v>
      </c>
      <c r="HV51" s="32">
        <v>0</v>
      </c>
      <c r="HW51" s="32">
        <v>0</v>
      </c>
      <c r="HX51" s="32">
        <v>0</v>
      </c>
      <c r="HY51" s="32">
        <v>0</v>
      </c>
      <c r="HZ51" s="32">
        <v>0</v>
      </c>
      <c r="IA51" s="32">
        <v>0</v>
      </c>
      <c r="IB51" s="32">
        <v>0</v>
      </c>
      <c r="IC51" s="32">
        <v>0</v>
      </c>
      <c r="ID51" s="32">
        <v>0</v>
      </c>
      <c r="IE51" s="69">
        <v>0</v>
      </c>
      <c r="IF51" s="38">
        <f t="shared" si="2"/>
        <v>0</v>
      </c>
      <c r="IG51" s="104">
        <v>0</v>
      </c>
      <c r="IH51" s="104">
        <v>0</v>
      </c>
      <c r="II51" s="104">
        <v>0</v>
      </c>
      <c r="IJ51" s="104">
        <v>0</v>
      </c>
      <c r="IK51" s="104">
        <v>0</v>
      </c>
      <c r="IL51" s="104">
        <v>0</v>
      </c>
      <c r="IM51" s="104">
        <v>0</v>
      </c>
      <c r="IN51" s="104">
        <v>0</v>
      </c>
      <c r="IO51" s="104">
        <v>0</v>
      </c>
      <c r="IP51" s="104">
        <v>0</v>
      </c>
      <c r="IQ51" s="104">
        <v>0</v>
      </c>
      <c r="IR51" s="107">
        <v>0</v>
      </c>
      <c r="IS51" s="38">
        <f t="shared" si="3"/>
        <v>0</v>
      </c>
      <c r="IT51" s="36">
        <f t="shared" si="39"/>
        <v>0</v>
      </c>
      <c r="IU51" s="26"/>
      <c r="IV51" s="32">
        <v>0</v>
      </c>
      <c r="IW51" s="32">
        <v>0</v>
      </c>
      <c r="IX51" s="32">
        <v>0</v>
      </c>
      <c r="IY51" s="32">
        <v>0</v>
      </c>
      <c r="IZ51" s="32">
        <v>0</v>
      </c>
      <c r="JA51" s="32">
        <v>0</v>
      </c>
      <c r="JB51" s="32">
        <v>0</v>
      </c>
      <c r="JC51" s="32">
        <v>0</v>
      </c>
      <c r="JD51" s="32">
        <v>0</v>
      </c>
      <c r="JE51" s="32">
        <v>0</v>
      </c>
      <c r="JF51" s="32">
        <v>0</v>
      </c>
      <c r="JG51" s="32">
        <v>0</v>
      </c>
      <c r="JH51" s="38">
        <f t="shared" si="4"/>
        <v>0</v>
      </c>
      <c r="JI51" s="110">
        <v>0</v>
      </c>
      <c r="JJ51" s="32">
        <v>0</v>
      </c>
      <c r="JK51" s="32">
        <v>0</v>
      </c>
      <c r="JL51" s="32">
        <v>0</v>
      </c>
      <c r="JM51" s="32">
        <v>0</v>
      </c>
      <c r="JN51" s="32">
        <v>0</v>
      </c>
      <c r="JO51" s="32">
        <v>0</v>
      </c>
      <c r="JP51" s="32">
        <v>0</v>
      </c>
      <c r="JQ51" s="32">
        <v>0</v>
      </c>
      <c r="JR51" s="32">
        <v>0</v>
      </c>
      <c r="JS51" s="32">
        <v>0</v>
      </c>
      <c r="JT51" s="32">
        <v>0</v>
      </c>
      <c r="JU51" s="35">
        <f t="shared" si="5"/>
        <v>0</v>
      </c>
      <c r="JV51" s="40">
        <f t="shared" si="30"/>
        <v>0</v>
      </c>
      <c r="JW51" s="26"/>
      <c r="JX51" s="32">
        <v>0</v>
      </c>
      <c r="JY51" s="32">
        <v>0</v>
      </c>
      <c r="JZ51" s="32">
        <v>0</v>
      </c>
      <c r="KA51" s="32">
        <v>0</v>
      </c>
      <c r="KB51" s="32">
        <v>0</v>
      </c>
      <c r="KC51" s="32">
        <v>0</v>
      </c>
      <c r="KD51" s="32">
        <v>0</v>
      </c>
      <c r="KE51" s="32">
        <v>0</v>
      </c>
      <c r="KF51" s="32">
        <v>0</v>
      </c>
      <c r="KG51" s="32">
        <v>0</v>
      </c>
      <c r="KH51" s="32">
        <v>0</v>
      </c>
      <c r="KI51" s="32">
        <v>0</v>
      </c>
      <c r="KJ51" s="38">
        <f t="shared" si="6"/>
        <v>0</v>
      </c>
      <c r="KK51" s="32">
        <v>0</v>
      </c>
      <c r="KL51" s="32">
        <v>0</v>
      </c>
      <c r="KM51" s="32">
        <v>0</v>
      </c>
      <c r="KN51" s="32">
        <v>0</v>
      </c>
      <c r="KO51" s="32">
        <v>0</v>
      </c>
      <c r="KP51" s="32">
        <v>0</v>
      </c>
      <c r="KQ51" s="32">
        <v>0</v>
      </c>
      <c r="KR51" s="32">
        <v>0</v>
      </c>
      <c r="KS51" s="32">
        <v>0</v>
      </c>
      <c r="KT51" s="32">
        <v>0</v>
      </c>
      <c r="KU51" s="32">
        <v>0</v>
      </c>
      <c r="KV51" s="32">
        <v>0</v>
      </c>
      <c r="KW51" s="38">
        <f t="shared" si="7"/>
        <v>0</v>
      </c>
      <c r="KX51" s="36">
        <f t="shared" si="31"/>
        <v>0</v>
      </c>
      <c r="KY51" s="26"/>
      <c r="KZ51" s="32">
        <v>0</v>
      </c>
      <c r="LA51" s="32">
        <v>0</v>
      </c>
      <c r="LB51" s="32">
        <v>0</v>
      </c>
      <c r="LC51" s="32">
        <v>0</v>
      </c>
      <c r="LD51" s="32">
        <v>0</v>
      </c>
      <c r="LE51" s="32">
        <v>0</v>
      </c>
      <c r="LF51" s="32">
        <v>0</v>
      </c>
      <c r="LG51" s="32">
        <v>0</v>
      </c>
      <c r="LH51" s="32">
        <v>0</v>
      </c>
      <c r="LI51" s="32">
        <v>0</v>
      </c>
      <c r="LJ51" s="32">
        <v>0</v>
      </c>
      <c r="LK51" s="69">
        <v>0</v>
      </c>
      <c r="LL51" s="38">
        <f t="shared" si="32"/>
        <v>0</v>
      </c>
      <c r="LM51" s="26"/>
      <c r="LN51" s="71">
        <v>0</v>
      </c>
      <c r="LO51" s="71">
        <v>0</v>
      </c>
      <c r="LP51" s="71">
        <v>0</v>
      </c>
      <c r="LQ51" s="71">
        <v>0</v>
      </c>
      <c r="LR51" s="71">
        <v>0</v>
      </c>
      <c r="LS51" s="71">
        <v>0</v>
      </c>
      <c r="LT51" s="71">
        <v>0</v>
      </c>
      <c r="LU51" s="45">
        <v>0</v>
      </c>
      <c r="LV51" s="45">
        <v>0</v>
      </c>
      <c r="LW51" s="45">
        <v>0</v>
      </c>
      <c r="LX51" s="45">
        <v>0</v>
      </c>
      <c r="LY51" s="45">
        <v>0</v>
      </c>
      <c r="LZ51" s="38">
        <f t="shared" si="8"/>
        <v>0</v>
      </c>
      <c r="MA51" s="26"/>
      <c r="MB51" s="45">
        <v>0</v>
      </c>
      <c r="MC51" s="45">
        <v>0</v>
      </c>
      <c r="MD51" s="45">
        <v>0</v>
      </c>
      <c r="ME51" s="45">
        <v>0</v>
      </c>
      <c r="MF51" s="45">
        <v>0</v>
      </c>
      <c r="MG51" s="45">
        <v>0</v>
      </c>
      <c r="MH51" s="45">
        <v>0</v>
      </c>
      <c r="MI51" s="45">
        <v>0</v>
      </c>
      <c r="MJ51" s="45">
        <v>0</v>
      </c>
      <c r="MK51" s="45">
        <v>0</v>
      </c>
      <c r="ML51" s="45">
        <v>0</v>
      </c>
      <c r="MM51" s="45">
        <v>0</v>
      </c>
      <c r="MN51" s="38">
        <f t="shared" si="9"/>
        <v>0</v>
      </c>
      <c r="MO51" s="32">
        <v>0</v>
      </c>
      <c r="MP51" s="32">
        <v>0</v>
      </c>
      <c r="MQ51" s="32">
        <v>0</v>
      </c>
      <c r="MR51" s="32">
        <v>0</v>
      </c>
      <c r="MS51" s="32">
        <v>0</v>
      </c>
      <c r="MT51" s="32">
        <v>0</v>
      </c>
      <c r="MU51" s="32">
        <v>0</v>
      </c>
      <c r="MV51" s="32">
        <v>0</v>
      </c>
      <c r="MW51" s="32">
        <v>0</v>
      </c>
      <c r="MX51" s="32">
        <v>0</v>
      </c>
      <c r="MY51" s="32">
        <v>0</v>
      </c>
      <c r="MZ51" s="32">
        <v>0</v>
      </c>
      <c r="NA51" s="38">
        <f t="shared" si="10"/>
        <v>0</v>
      </c>
      <c r="NB51" s="36">
        <f t="shared" si="33"/>
        <v>0</v>
      </c>
      <c r="NC51" s="26"/>
      <c r="ND51" s="32">
        <v>0</v>
      </c>
      <c r="NE51" s="32">
        <v>0</v>
      </c>
      <c r="NF51" s="32">
        <v>0</v>
      </c>
      <c r="NG51" s="32">
        <v>0</v>
      </c>
      <c r="NH51" s="32">
        <v>0</v>
      </c>
      <c r="NI51" s="32">
        <v>0</v>
      </c>
      <c r="NJ51" s="32">
        <v>0</v>
      </c>
      <c r="NK51" s="32">
        <v>0</v>
      </c>
      <c r="NL51" s="32"/>
      <c r="NM51" s="32">
        <v>0</v>
      </c>
      <c r="NN51" s="32">
        <v>0</v>
      </c>
      <c r="NO51" s="32">
        <v>0</v>
      </c>
      <c r="NP51" s="118">
        <f t="shared" si="11"/>
        <v>0</v>
      </c>
      <c r="NQ51" s="36">
        <f t="shared" si="34"/>
        <v>0</v>
      </c>
      <c r="NR51" s="36">
        <f t="shared" si="35"/>
        <v>0</v>
      </c>
      <c r="NS51" s="36">
        <f t="shared" si="36"/>
        <v>0</v>
      </c>
      <c r="NT51" s="36">
        <f t="shared" si="37"/>
        <v>0</v>
      </c>
      <c r="NU51" s="18"/>
      <c r="NV51" s="18"/>
      <c r="NW51" s="18"/>
      <c r="NX51" s="19"/>
      <c r="NY51" s="19"/>
      <c r="NZ51" s="19"/>
      <c r="OA51" s="19"/>
      <c r="OB51" s="19"/>
      <c r="OC51" s="19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8"/>
      <c r="OR51" s="18"/>
      <c r="OS51" s="18"/>
      <c r="OT51" s="18"/>
      <c r="OU51" s="18"/>
      <c r="OV51" s="18"/>
      <c r="OW51" s="18"/>
      <c r="OX51" s="19"/>
      <c r="OY51" s="19"/>
      <c r="OZ51" s="19"/>
      <c r="PA51" s="19"/>
      <c r="PB51" s="19"/>
      <c r="PC51" s="19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8"/>
      <c r="PR51" s="18"/>
      <c r="PS51" s="18"/>
      <c r="PT51" s="18"/>
      <c r="PU51" s="18"/>
      <c r="PV51" s="18"/>
      <c r="PW51" s="18"/>
      <c r="PX51" s="19"/>
      <c r="PY51" s="19"/>
      <c r="PZ51" s="19"/>
      <c r="QA51" s="19"/>
      <c r="QB51" s="19"/>
      <c r="QC51" s="19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</row>
    <row r="52" spans="1:458" s="1" customFormat="1" ht="50.1" customHeight="1" x14ac:dyDescent="0.25">
      <c r="A52" s="120">
        <v>2024</v>
      </c>
      <c r="B52" s="6" t="s">
        <v>17</v>
      </c>
      <c r="C52" s="23"/>
      <c r="D52" s="41">
        <v>2887</v>
      </c>
      <c r="E52" s="41">
        <v>2311</v>
      </c>
      <c r="F52" s="41">
        <v>2596</v>
      </c>
      <c r="G52" s="41">
        <v>2550</v>
      </c>
      <c r="H52" s="41">
        <v>1223</v>
      </c>
      <c r="I52" s="41"/>
      <c r="J52" s="41"/>
      <c r="K52" s="41"/>
      <c r="L52" s="41"/>
      <c r="M52" s="41"/>
      <c r="N52" s="41"/>
      <c r="O52" s="41"/>
      <c r="P52" s="38">
        <f t="shared" si="12"/>
        <v>11567</v>
      </c>
      <c r="Q52" s="49">
        <v>13466</v>
      </c>
      <c r="R52" s="49">
        <v>10703</v>
      </c>
      <c r="S52" s="49">
        <v>9791</v>
      </c>
      <c r="T52" s="49">
        <v>10865</v>
      </c>
      <c r="U52" s="49">
        <v>3684</v>
      </c>
      <c r="V52" s="45"/>
      <c r="W52" s="45"/>
      <c r="X52" s="45"/>
      <c r="Y52" s="45"/>
      <c r="Z52" s="45"/>
      <c r="AA52" s="45"/>
      <c r="AB52" s="45"/>
      <c r="AC52" s="38">
        <f t="shared" si="38"/>
        <v>48509</v>
      </c>
      <c r="AD52" s="36">
        <f t="shared" si="13"/>
        <v>60076</v>
      </c>
      <c r="AE52" s="26"/>
      <c r="AF52" s="32">
        <v>137</v>
      </c>
      <c r="AG52" s="32">
        <v>122</v>
      </c>
      <c r="AH52" s="32">
        <v>122</v>
      </c>
      <c r="AI52" s="32">
        <v>170</v>
      </c>
      <c r="AJ52" s="32">
        <v>58</v>
      </c>
      <c r="AK52" s="32"/>
      <c r="AL52" s="32"/>
      <c r="AM52" s="32"/>
      <c r="AN52" s="32"/>
      <c r="AO52" s="32"/>
      <c r="AP52" s="32"/>
      <c r="AQ52" s="32"/>
      <c r="AR52" s="38">
        <f t="shared" si="14"/>
        <v>609</v>
      </c>
      <c r="AS52" s="32">
        <v>1078</v>
      </c>
      <c r="AT52" s="32">
        <v>905</v>
      </c>
      <c r="AU52" s="32">
        <v>1030</v>
      </c>
      <c r="AV52" s="32">
        <v>1097</v>
      </c>
      <c r="AW52" s="32">
        <v>280</v>
      </c>
      <c r="AX52" s="32"/>
      <c r="AY52" s="32"/>
      <c r="AZ52" s="32"/>
      <c r="BA52" s="32"/>
      <c r="BB52" s="32"/>
      <c r="BC52" s="32"/>
      <c r="BD52" s="32"/>
      <c r="BE52" s="38">
        <f t="shared" si="15"/>
        <v>4390</v>
      </c>
      <c r="BF52" s="36">
        <f t="shared" si="16"/>
        <v>4999</v>
      </c>
      <c r="BG52" s="26"/>
      <c r="BH52" s="41">
        <v>95</v>
      </c>
      <c r="BI52" s="41">
        <v>143</v>
      </c>
      <c r="BJ52" s="41">
        <v>109</v>
      </c>
      <c r="BK52" s="41">
        <v>95</v>
      </c>
      <c r="BL52" s="41">
        <v>58</v>
      </c>
      <c r="BM52" s="41"/>
      <c r="BN52" s="41"/>
      <c r="BO52" s="41"/>
      <c r="BP52" s="41"/>
      <c r="BQ52" s="41"/>
      <c r="BR52" s="41"/>
      <c r="BS52" s="41"/>
      <c r="BT52" s="38">
        <f t="shared" si="17"/>
        <v>500</v>
      </c>
      <c r="BU52" s="54">
        <v>1403</v>
      </c>
      <c r="BV52" s="54">
        <v>1363</v>
      </c>
      <c r="BW52" s="54">
        <v>1261</v>
      </c>
      <c r="BX52" s="54">
        <v>1209</v>
      </c>
      <c r="BY52" s="54">
        <v>515</v>
      </c>
      <c r="BZ52" s="54"/>
      <c r="CA52" s="54"/>
      <c r="CB52" s="54"/>
      <c r="CC52" s="54"/>
      <c r="CD52" s="54"/>
      <c r="CE52" s="54"/>
      <c r="CF52" s="54"/>
      <c r="CG52" s="38">
        <f t="shared" si="18"/>
        <v>5751</v>
      </c>
      <c r="CH52" s="36">
        <f t="shared" si="19"/>
        <v>6251</v>
      </c>
      <c r="CI52" s="26"/>
      <c r="CJ52" s="32">
        <v>704</v>
      </c>
      <c r="CK52" s="32">
        <v>533</v>
      </c>
      <c r="CL52" s="32">
        <v>462</v>
      </c>
      <c r="CM52" s="32">
        <v>432</v>
      </c>
      <c r="CN52" s="32">
        <v>335</v>
      </c>
      <c r="CO52" s="32"/>
      <c r="CP52" s="32"/>
      <c r="CQ52" s="32"/>
      <c r="CR52" s="32"/>
      <c r="CS52" s="32"/>
      <c r="CT52" s="32"/>
      <c r="CU52" s="32"/>
      <c r="CV52" s="38">
        <f t="shared" si="20"/>
        <v>2466</v>
      </c>
      <c r="CW52" s="54">
        <v>1635</v>
      </c>
      <c r="CX52" s="54">
        <v>1741</v>
      </c>
      <c r="CY52" s="54">
        <v>1748</v>
      </c>
      <c r="CZ52" s="54">
        <v>1650</v>
      </c>
      <c r="DA52" s="54">
        <v>730</v>
      </c>
      <c r="DB52" s="54"/>
      <c r="DC52" s="54"/>
      <c r="DD52" s="54"/>
      <c r="DE52" s="54"/>
      <c r="DF52" s="54"/>
      <c r="DG52" s="54"/>
      <c r="DH52" s="54"/>
      <c r="DI52" s="38">
        <f t="shared" si="21"/>
        <v>7504</v>
      </c>
      <c r="DJ52" s="36">
        <f t="shared" si="22"/>
        <v>9970</v>
      </c>
      <c r="DK52" s="26"/>
      <c r="DL52" s="78">
        <v>793</v>
      </c>
      <c r="DM52" s="75">
        <v>452</v>
      </c>
      <c r="DN52" s="75">
        <v>460</v>
      </c>
      <c r="DO52" s="75">
        <v>478</v>
      </c>
      <c r="DP52" s="75">
        <v>107</v>
      </c>
      <c r="DQ52" s="32"/>
      <c r="DR52" s="32"/>
      <c r="DS52" s="32"/>
      <c r="DT52" s="32"/>
      <c r="DU52" s="32"/>
      <c r="DV52" s="32"/>
      <c r="DW52" s="32"/>
      <c r="DX52" s="38">
        <f t="shared" si="0"/>
        <v>2290</v>
      </c>
      <c r="DY52" s="64">
        <v>1450</v>
      </c>
      <c r="DZ52" s="64">
        <v>1337</v>
      </c>
      <c r="EA52" s="64">
        <v>1266</v>
      </c>
      <c r="EB52" s="64">
        <v>1627</v>
      </c>
      <c r="EC52" s="64">
        <v>449</v>
      </c>
      <c r="ED52" s="64"/>
      <c r="EE52" s="64"/>
      <c r="EF52" s="64"/>
      <c r="EG52" s="64"/>
      <c r="EH52" s="64"/>
      <c r="EI52" s="64"/>
      <c r="EJ52" s="64"/>
      <c r="EK52" s="38">
        <f t="shared" si="23"/>
        <v>6129</v>
      </c>
      <c r="EL52" s="36">
        <f t="shared" si="1"/>
        <v>8419</v>
      </c>
      <c r="EM52" s="26"/>
      <c r="EN52" s="32">
        <v>1785</v>
      </c>
      <c r="EO52" s="32">
        <v>1628</v>
      </c>
      <c r="EP52" s="32">
        <v>1710</v>
      </c>
      <c r="EQ52" s="32">
        <v>1456</v>
      </c>
      <c r="ER52" s="32">
        <v>619</v>
      </c>
      <c r="ES52" s="32"/>
      <c r="ET52" s="32"/>
      <c r="EU52" s="32"/>
      <c r="EV52" s="32"/>
      <c r="EW52" s="32"/>
      <c r="EX52" s="32"/>
      <c r="EY52" s="32"/>
      <c r="EZ52" s="38">
        <f t="shared" si="24"/>
        <v>7198</v>
      </c>
      <c r="FA52" s="26"/>
      <c r="FB52" s="104">
        <v>3270</v>
      </c>
      <c r="FC52" s="104">
        <v>2435</v>
      </c>
      <c r="FD52" s="104">
        <v>2067</v>
      </c>
      <c r="FE52" s="104">
        <v>2390</v>
      </c>
      <c r="FF52" s="104">
        <v>1029</v>
      </c>
      <c r="FG52" s="104"/>
      <c r="FH52" s="104"/>
      <c r="FI52" s="104"/>
      <c r="FJ52" s="104"/>
      <c r="FK52" s="104"/>
      <c r="FL52" s="104"/>
      <c r="FM52" s="104"/>
      <c r="FN52" s="38">
        <f t="shared" si="25"/>
        <v>11191</v>
      </c>
      <c r="FO52" s="26"/>
      <c r="FP52" s="32">
        <v>1161</v>
      </c>
      <c r="FQ52" s="32">
        <v>948</v>
      </c>
      <c r="FR52" s="32">
        <v>1002</v>
      </c>
      <c r="FS52" s="32">
        <v>995</v>
      </c>
      <c r="FT52" s="32">
        <v>722</v>
      </c>
      <c r="FU52" s="32"/>
      <c r="FV52" s="32"/>
      <c r="FW52" s="32"/>
      <c r="FX52" s="32"/>
      <c r="FY52" s="32"/>
      <c r="FZ52" s="32"/>
      <c r="GA52" s="32"/>
      <c r="GB52" s="38">
        <f t="shared" si="26"/>
        <v>4828</v>
      </c>
      <c r="GC52" s="26"/>
      <c r="GD52" s="101">
        <v>1333</v>
      </c>
      <c r="GE52" s="101">
        <v>1313</v>
      </c>
      <c r="GF52" s="101">
        <v>1293</v>
      </c>
      <c r="GG52" s="101">
        <v>1487</v>
      </c>
      <c r="GH52" s="101">
        <v>398</v>
      </c>
      <c r="GI52" s="101"/>
      <c r="GJ52" s="101"/>
      <c r="GK52" s="101"/>
      <c r="GL52" s="101"/>
      <c r="GM52" s="101"/>
      <c r="GN52" s="101"/>
      <c r="GO52" s="101"/>
      <c r="GP52" s="38">
        <f t="shared" si="27"/>
        <v>5824</v>
      </c>
      <c r="GQ52" s="26"/>
      <c r="GR52" s="32">
        <v>565</v>
      </c>
      <c r="GS52" s="32">
        <v>451</v>
      </c>
      <c r="GT52" s="32">
        <v>175</v>
      </c>
      <c r="GU52" s="32">
        <v>533</v>
      </c>
      <c r="GV52" s="32">
        <v>172</v>
      </c>
      <c r="GW52" s="32"/>
      <c r="GX52" s="32"/>
      <c r="GY52" s="32"/>
      <c r="GZ52" s="32"/>
      <c r="HA52" s="32"/>
      <c r="HB52" s="32"/>
      <c r="HC52" s="32"/>
      <c r="HD52" s="38">
        <f t="shared" si="28"/>
        <v>1896</v>
      </c>
      <c r="HE52" s="26"/>
      <c r="HF52" s="54">
        <v>3676</v>
      </c>
      <c r="HG52" s="54">
        <v>3291</v>
      </c>
      <c r="HH52" s="54">
        <v>3383</v>
      </c>
      <c r="HI52" s="54">
        <v>3573</v>
      </c>
      <c r="HJ52" s="54">
        <v>1858</v>
      </c>
      <c r="HK52" s="54"/>
      <c r="HL52" s="54"/>
      <c r="HM52" s="54"/>
      <c r="HN52" s="54"/>
      <c r="HO52" s="54"/>
      <c r="HP52" s="54"/>
      <c r="HQ52" s="54"/>
      <c r="HR52" s="38">
        <f t="shared" si="29"/>
        <v>15781</v>
      </c>
      <c r="HS52" s="26"/>
      <c r="HT52" s="32">
        <v>151</v>
      </c>
      <c r="HU52" s="32">
        <v>151</v>
      </c>
      <c r="HV52" s="32">
        <v>90</v>
      </c>
      <c r="HW52" s="32">
        <v>159</v>
      </c>
      <c r="HX52" s="32">
        <v>78</v>
      </c>
      <c r="HY52" s="32"/>
      <c r="HZ52" s="32"/>
      <c r="IA52" s="32"/>
      <c r="IB52" s="32"/>
      <c r="IC52" s="32"/>
      <c r="ID52" s="32"/>
      <c r="IE52" s="69"/>
      <c r="IF52" s="38">
        <f t="shared" si="2"/>
        <v>629</v>
      </c>
      <c r="IG52" s="104">
        <v>1153</v>
      </c>
      <c r="IH52" s="104">
        <v>670</v>
      </c>
      <c r="II52" s="104">
        <v>590</v>
      </c>
      <c r="IJ52" s="104">
        <v>679</v>
      </c>
      <c r="IK52" s="104">
        <v>307</v>
      </c>
      <c r="IL52" s="104"/>
      <c r="IM52" s="104"/>
      <c r="IN52" s="104"/>
      <c r="IO52" s="104"/>
      <c r="IP52" s="104"/>
      <c r="IQ52" s="104"/>
      <c r="IR52" s="107"/>
      <c r="IS52" s="38">
        <f t="shared" si="3"/>
        <v>3399</v>
      </c>
      <c r="IT52" s="36">
        <f t="shared" si="39"/>
        <v>4028</v>
      </c>
      <c r="IU52" s="26"/>
      <c r="IV52" s="101">
        <v>530</v>
      </c>
      <c r="IW52" s="101">
        <v>434</v>
      </c>
      <c r="IX52" s="101">
        <v>438</v>
      </c>
      <c r="IY52" s="101">
        <v>630</v>
      </c>
      <c r="IZ52" s="101">
        <v>278</v>
      </c>
      <c r="JA52" s="101"/>
      <c r="JB52" s="101"/>
      <c r="JC52" s="101"/>
      <c r="JD52" s="101"/>
      <c r="JE52" s="101"/>
      <c r="JF52" s="101"/>
      <c r="JG52" s="101"/>
      <c r="JH52" s="38">
        <f t="shared" si="4"/>
        <v>2310</v>
      </c>
      <c r="JI52" s="110">
        <v>2021</v>
      </c>
      <c r="JJ52" s="32">
        <v>2029</v>
      </c>
      <c r="JK52" s="32">
        <v>2037</v>
      </c>
      <c r="JL52" s="32">
        <v>1332</v>
      </c>
      <c r="JM52" s="32">
        <v>840</v>
      </c>
      <c r="JN52" s="32"/>
      <c r="JO52" s="32"/>
      <c r="JP52" s="32"/>
      <c r="JQ52" s="32"/>
      <c r="JR52" s="32"/>
      <c r="JS52" s="32"/>
      <c r="JT52" s="32"/>
      <c r="JU52" s="35">
        <f t="shared" si="5"/>
        <v>8259</v>
      </c>
      <c r="JV52" s="40">
        <f t="shared" si="30"/>
        <v>10569</v>
      </c>
      <c r="JW52" s="26"/>
      <c r="JX52" s="32">
        <v>246</v>
      </c>
      <c r="JY52" s="32">
        <v>259</v>
      </c>
      <c r="JZ52" s="32">
        <v>232</v>
      </c>
      <c r="KA52" s="32">
        <v>293</v>
      </c>
      <c r="KB52" s="32">
        <v>150</v>
      </c>
      <c r="KC52" s="32"/>
      <c r="KD52" s="32"/>
      <c r="KE52" s="32"/>
      <c r="KF52" s="32"/>
      <c r="KG52" s="32"/>
      <c r="KH52" s="32"/>
      <c r="KI52" s="32"/>
      <c r="KJ52" s="38">
        <f t="shared" si="6"/>
        <v>1180</v>
      </c>
      <c r="KK52" s="49">
        <v>2371</v>
      </c>
      <c r="KL52" s="49">
        <v>2012</v>
      </c>
      <c r="KM52" s="49">
        <v>1961</v>
      </c>
      <c r="KN52" s="49">
        <v>2239</v>
      </c>
      <c r="KO52" s="49">
        <v>1018</v>
      </c>
      <c r="KP52" s="32"/>
      <c r="KQ52" s="32"/>
      <c r="KR52" s="32"/>
      <c r="KS52" s="32"/>
      <c r="KT52" s="32"/>
      <c r="KU52" s="32"/>
      <c r="KV52" s="32"/>
      <c r="KW52" s="38">
        <f t="shared" si="7"/>
        <v>9601</v>
      </c>
      <c r="KX52" s="36">
        <f t="shared" si="31"/>
        <v>10781</v>
      </c>
      <c r="KY52" s="26"/>
      <c r="KZ52" s="101">
        <v>1428</v>
      </c>
      <c r="LA52" s="101">
        <v>1242</v>
      </c>
      <c r="LB52" s="101">
        <v>1235</v>
      </c>
      <c r="LC52" s="101">
        <v>1415</v>
      </c>
      <c r="LD52" s="101">
        <v>682</v>
      </c>
      <c r="LE52" s="101"/>
      <c r="LF52" s="101"/>
      <c r="LG52" s="101"/>
      <c r="LH52" s="101"/>
      <c r="LI52" s="101"/>
      <c r="LJ52" s="101"/>
      <c r="LK52" s="115"/>
      <c r="LL52" s="38">
        <f t="shared" si="32"/>
        <v>6002</v>
      </c>
      <c r="LM52" s="26"/>
      <c r="LN52" s="71">
        <v>4400</v>
      </c>
      <c r="LO52" s="71">
        <v>4585</v>
      </c>
      <c r="LP52" s="71">
        <v>4815</v>
      </c>
      <c r="LQ52" s="71">
        <v>4687</v>
      </c>
      <c r="LR52" s="71">
        <v>1768</v>
      </c>
      <c r="LS52" s="71"/>
      <c r="LT52" s="71"/>
      <c r="LU52" s="45"/>
      <c r="LV52" s="45"/>
      <c r="LW52" s="45"/>
      <c r="LX52" s="45"/>
      <c r="LY52" s="45"/>
      <c r="LZ52" s="38">
        <f t="shared" si="8"/>
        <v>20255</v>
      </c>
      <c r="MA52" s="26"/>
      <c r="MB52" s="45">
        <v>5751</v>
      </c>
      <c r="MC52" s="45">
        <v>5031</v>
      </c>
      <c r="MD52" s="45">
        <v>4349</v>
      </c>
      <c r="ME52" s="45">
        <v>4627</v>
      </c>
      <c r="MF52" s="45">
        <v>2282</v>
      </c>
      <c r="MG52" s="45"/>
      <c r="MH52" s="45"/>
      <c r="MI52" s="45"/>
      <c r="MJ52" s="45"/>
      <c r="MK52" s="45"/>
      <c r="ML52" s="45"/>
      <c r="MM52" s="45"/>
      <c r="MN52" s="38">
        <f t="shared" si="9"/>
        <v>22040</v>
      </c>
      <c r="MO52" s="32">
        <v>9527</v>
      </c>
      <c r="MP52" s="32">
        <v>9058</v>
      </c>
      <c r="MQ52" s="32">
        <v>7215</v>
      </c>
      <c r="MR52" s="32">
        <v>8455</v>
      </c>
      <c r="MS52" s="32">
        <v>3668</v>
      </c>
      <c r="MT52" s="32"/>
      <c r="MU52" s="32"/>
      <c r="MV52" s="32"/>
      <c r="MW52" s="32"/>
      <c r="MX52" s="32"/>
      <c r="MY52" s="32"/>
      <c r="MZ52" s="32"/>
      <c r="NA52" s="38">
        <f t="shared" si="10"/>
        <v>37923</v>
      </c>
      <c r="NB52" s="36">
        <f t="shared" si="33"/>
        <v>59963</v>
      </c>
      <c r="NC52" s="26"/>
      <c r="ND52" s="32">
        <v>1306</v>
      </c>
      <c r="NE52" s="32">
        <v>1035</v>
      </c>
      <c r="NF52" s="32">
        <v>1256</v>
      </c>
      <c r="NG52" s="32">
        <v>935</v>
      </c>
      <c r="NH52" s="32">
        <v>367</v>
      </c>
      <c r="NI52" s="32"/>
      <c r="NJ52" s="32"/>
      <c r="NK52" s="32"/>
      <c r="NL52" s="32"/>
      <c r="NM52" s="32"/>
      <c r="NN52" s="32"/>
      <c r="NO52" s="32"/>
      <c r="NP52" s="118">
        <f t="shared" si="11"/>
        <v>4899</v>
      </c>
      <c r="NQ52" s="36">
        <f t="shared" si="34"/>
        <v>21137</v>
      </c>
      <c r="NR52" s="36">
        <f t="shared" si="35"/>
        <v>137102</v>
      </c>
      <c r="NS52" s="36">
        <f t="shared" si="36"/>
        <v>94691</v>
      </c>
      <c r="NT52" s="36">
        <f t="shared" si="37"/>
        <v>252930</v>
      </c>
      <c r="NU52" s="18"/>
      <c r="NV52" s="18"/>
      <c r="NW52" s="18"/>
      <c r="NX52" s="19"/>
      <c r="NY52" s="19"/>
      <c r="NZ52" s="19"/>
      <c r="OA52" s="19"/>
      <c r="OB52" s="19"/>
      <c r="OC52" s="19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8"/>
      <c r="OR52" s="18"/>
      <c r="OS52" s="18"/>
      <c r="OT52" s="18"/>
      <c r="OU52" s="18"/>
      <c r="OV52" s="18"/>
      <c r="OW52" s="18"/>
      <c r="OX52" s="19"/>
      <c r="OY52" s="19"/>
      <c r="OZ52" s="19"/>
      <c r="PA52" s="19"/>
      <c r="PB52" s="19"/>
      <c r="PC52" s="19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8"/>
      <c r="PR52" s="18"/>
      <c r="PS52" s="18"/>
      <c r="PT52" s="18"/>
      <c r="PU52" s="18"/>
      <c r="PV52" s="18"/>
      <c r="PW52" s="18"/>
      <c r="PX52" s="19"/>
      <c r="PY52" s="19"/>
      <c r="PZ52" s="19"/>
      <c r="QA52" s="19"/>
      <c r="QB52" s="19"/>
      <c r="QC52" s="19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</row>
    <row r="53" spans="1:458" s="1" customFormat="1" ht="50.1" customHeight="1" x14ac:dyDescent="0.25">
      <c r="A53" s="120"/>
      <c r="B53" s="6" t="s">
        <v>18</v>
      </c>
      <c r="C53" s="23"/>
      <c r="D53" s="41">
        <v>179</v>
      </c>
      <c r="E53" s="41">
        <v>248</v>
      </c>
      <c r="F53" s="41">
        <v>246</v>
      </c>
      <c r="G53" s="41">
        <v>437</v>
      </c>
      <c r="H53" s="41">
        <v>135</v>
      </c>
      <c r="I53" s="41"/>
      <c r="J53" s="41"/>
      <c r="K53" s="41"/>
      <c r="L53" s="41"/>
      <c r="M53" s="41"/>
      <c r="N53" s="41"/>
      <c r="O53" s="41"/>
      <c r="P53" s="38">
        <f t="shared" si="12"/>
        <v>1245</v>
      </c>
      <c r="Q53" s="49">
        <v>3854</v>
      </c>
      <c r="R53" s="49">
        <v>4573</v>
      </c>
      <c r="S53" s="49">
        <v>4858</v>
      </c>
      <c r="T53" s="49">
        <v>4743</v>
      </c>
      <c r="U53" s="49">
        <v>2085</v>
      </c>
      <c r="V53" s="45"/>
      <c r="W53" s="45"/>
      <c r="X53" s="45"/>
      <c r="Y53" s="45"/>
      <c r="Z53" s="45"/>
      <c r="AA53" s="45"/>
      <c r="AB53" s="45"/>
      <c r="AC53" s="38">
        <f t="shared" si="38"/>
        <v>20113</v>
      </c>
      <c r="AD53" s="36">
        <f t="shared" si="13"/>
        <v>21358</v>
      </c>
      <c r="AE53" s="26"/>
      <c r="AF53" s="32">
        <v>0</v>
      </c>
      <c r="AG53" s="32">
        <v>5</v>
      </c>
      <c r="AH53" s="32">
        <v>11</v>
      </c>
      <c r="AI53" s="32">
        <v>3</v>
      </c>
      <c r="AJ53" s="32">
        <v>10</v>
      </c>
      <c r="AK53" s="32"/>
      <c r="AL53" s="32"/>
      <c r="AM53" s="32"/>
      <c r="AN53" s="32"/>
      <c r="AO53" s="32"/>
      <c r="AP53" s="32"/>
      <c r="AQ53" s="32"/>
      <c r="AR53" s="38">
        <f t="shared" si="14"/>
        <v>29</v>
      </c>
      <c r="AS53" s="32">
        <v>145</v>
      </c>
      <c r="AT53" s="32">
        <v>160</v>
      </c>
      <c r="AU53" s="32">
        <v>184</v>
      </c>
      <c r="AV53" s="32">
        <v>136</v>
      </c>
      <c r="AW53" s="32">
        <v>9</v>
      </c>
      <c r="AX53" s="32"/>
      <c r="AY53" s="32"/>
      <c r="AZ53" s="32"/>
      <c r="BA53" s="32"/>
      <c r="BB53" s="32"/>
      <c r="BC53" s="32"/>
      <c r="BD53" s="32"/>
      <c r="BE53" s="38">
        <f t="shared" si="15"/>
        <v>634</v>
      </c>
      <c r="BF53" s="36">
        <f t="shared" si="16"/>
        <v>663</v>
      </c>
      <c r="BG53" s="26"/>
      <c r="BH53" s="41">
        <v>3</v>
      </c>
      <c r="BI53" s="41">
        <v>7</v>
      </c>
      <c r="BJ53" s="41">
        <v>7</v>
      </c>
      <c r="BK53" s="41">
        <v>14</v>
      </c>
      <c r="BL53" s="41">
        <v>1</v>
      </c>
      <c r="BM53" s="41"/>
      <c r="BN53" s="41"/>
      <c r="BO53" s="41"/>
      <c r="BP53" s="41"/>
      <c r="BQ53" s="41"/>
      <c r="BR53" s="41"/>
      <c r="BS53" s="41"/>
      <c r="BT53" s="38">
        <f t="shared" si="17"/>
        <v>32</v>
      </c>
      <c r="BU53" s="54">
        <v>115</v>
      </c>
      <c r="BV53" s="54">
        <v>191</v>
      </c>
      <c r="BW53" s="54">
        <v>227</v>
      </c>
      <c r="BX53" s="54">
        <v>213</v>
      </c>
      <c r="BY53" s="54">
        <v>83</v>
      </c>
      <c r="BZ53" s="54"/>
      <c r="CA53" s="54"/>
      <c r="CB53" s="54"/>
      <c r="CC53" s="54"/>
      <c r="CD53" s="54"/>
      <c r="CE53" s="54"/>
      <c r="CF53" s="54"/>
      <c r="CG53" s="38">
        <f t="shared" si="18"/>
        <v>829</v>
      </c>
      <c r="CH53" s="36">
        <f t="shared" si="19"/>
        <v>861</v>
      </c>
      <c r="CI53" s="26"/>
      <c r="CJ53" s="32">
        <v>150</v>
      </c>
      <c r="CK53" s="32">
        <v>150</v>
      </c>
      <c r="CL53" s="32">
        <v>123</v>
      </c>
      <c r="CM53" s="32">
        <v>123</v>
      </c>
      <c r="CN53" s="32">
        <v>78</v>
      </c>
      <c r="CO53" s="32"/>
      <c r="CP53" s="32"/>
      <c r="CQ53" s="32"/>
      <c r="CR53" s="32"/>
      <c r="CS53" s="32"/>
      <c r="CT53" s="32"/>
      <c r="CU53" s="32"/>
      <c r="CV53" s="38">
        <f t="shared" si="20"/>
        <v>624</v>
      </c>
      <c r="CW53" s="54">
        <v>303</v>
      </c>
      <c r="CX53" s="54">
        <v>361</v>
      </c>
      <c r="CY53" s="54">
        <v>377</v>
      </c>
      <c r="CZ53" s="54">
        <v>348</v>
      </c>
      <c r="DA53" s="54">
        <v>230</v>
      </c>
      <c r="DB53" s="54"/>
      <c r="DC53" s="54"/>
      <c r="DD53" s="54"/>
      <c r="DE53" s="54"/>
      <c r="DF53" s="54"/>
      <c r="DG53" s="54"/>
      <c r="DH53" s="54"/>
      <c r="DI53" s="38">
        <f t="shared" si="21"/>
        <v>1619</v>
      </c>
      <c r="DJ53" s="36">
        <f t="shared" si="22"/>
        <v>2243</v>
      </c>
      <c r="DK53" s="26"/>
      <c r="DL53" s="75">
        <v>80</v>
      </c>
      <c r="DM53" s="75">
        <v>135</v>
      </c>
      <c r="DN53" s="75">
        <v>101</v>
      </c>
      <c r="DO53" s="75">
        <v>124</v>
      </c>
      <c r="DP53" s="75">
        <v>56</v>
      </c>
      <c r="DQ53" s="32"/>
      <c r="DR53" s="32"/>
      <c r="DS53" s="32"/>
      <c r="DT53" s="32"/>
      <c r="DU53" s="32"/>
      <c r="DV53" s="32"/>
      <c r="DW53" s="32"/>
      <c r="DX53" s="38">
        <f t="shared" si="0"/>
        <v>496</v>
      </c>
      <c r="DY53" s="64">
        <v>135</v>
      </c>
      <c r="DZ53" s="64">
        <v>192</v>
      </c>
      <c r="EA53" s="64">
        <v>255</v>
      </c>
      <c r="EB53" s="64">
        <v>252</v>
      </c>
      <c r="EC53" s="64">
        <v>109</v>
      </c>
      <c r="ED53" s="64"/>
      <c r="EE53" s="64"/>
      <c r="EF53" s="64"/>
      <c r="EG53" s="64"/>
      <c r="EH53" s="64"/>
      <c r="EI53" s="64"/>
      <c r="EJ53" s="64"/>
      <c r="EK53" s="38">
        <f t="shared" si="23"/>
        <v>943</v>
      </c>
      <c r="EL53" s="36">
        <f t="shared" si="1"/>
        <v>1439</v>
      </c>
      <c r="EM53" s="26"/>
      <c r="EN53" s="32">
        <v>108</v>
      </c>
      <c r="EO53" s="32">
        <v>147</v>
      </c>
      <c r="EP53" s="32">
        <v>259</v>
      </c>
      <c r="EQ53" s="32">
        <v>162</v>
      </c>
      <c r="ER53" s="32">
        <v>86</v>
      </c>
      <c r="ES53" s="32"/>
      <c r="ET53" s="32"/>
      <c r="EU53" s="32"/>
      <c r="EV53" s="32"/>
      <c r="EW53" s="32"/>
      <c r="EX53" s="32"/>
      <c r="EY53" s="32"/>
      <c r="EZ53" s="38">
        <f t="shared" si="24"/>
        <v>762</v>
      </c>
      <c r="FA53" s="26"/>
      <c r="FB53" s="104">
        <v>928</v>
      </c>
      <c r="FC53" s="104">
        <v>1010</v>
      </c>
      <c r="FD53" s="104">
        <v>1069</v>
      </c>
      <c r="FE53" s="104">
        <v>1434</v>
      </c>
      <c r="FF53" s="104">
        <v>617</v>
      </c>
      <c r="FG53" s="104"/>
      <c r="FH53" s="104"/>
      <c r="FI53" s="104"/>
      <c r="FJ53" s="104"/>
      <c r="FK53" s="104"/>
      <c r="FL53" s="104"/>
      <c r="FM53" s="104"/>
      <c r="FN53" s="38">
        <f t="shared" si="25"/>
        <v>5058</v>
      </c>
      <c r="FO53" s="26"/>
      <c r="FP53" s="32">
        <v>32</v>
      </c>
      <c r="FQ53" s="32">
        <v>37</v>
      </c>
      <c r="FR53" s="32">
        <v>36</v>
      </c>
      <c r="FS53" s="32">
        <v>38</v>
      </c>
      <c r="FT53" s="32">
        <v>25</v>
      </c>
      <c r="FU53" s="32"/>
      <c r="FV53" s="32"/>
      <c r="FW53" s="32"/>
      <c r="FX53" s="32"/>
      <c r="FY53" s="32"/>
      <c r="FZ53" s="32"/>
      <c r="GA53" s="32"/>
      <c r="GB53" s="38">
        <f t="shared" si="26"/>
        <v>168</v>
      </c>
      <c r="GC53" s="26"/>
      <c r="GD53" s="101">
        <v>52</v>
      </c>
      <c r="GE53" s="101">
        <v>51</v>
      </c>
      <c r="GF53" s="101">
        <v>64</v>
      </c>
      <c r="GG53" s="101">
        <v>104</v>
      </c>
      <c r="GH53" s="101">
        <v>143</v>
      </c>
      <c r="GI53" s="101"/>
      <c r="GJ53" s="101"/>
      <c r="GK53" s="101"/>
      <c r="GL53" s="101"/>
      <c r="GM53" s="101"/>
      <c r="GN53" s="101"/>
      <c r="GO53" s="101"/>
      <c r="GP53" s="38">
        <f t="shared" si="27"/>
        <v>414</v>
      </c>
      <c r="GQ53" s="26"/>
      <c r="GR53" s="32">
        <v>99</v>
      </c>
      <c r="GS53" s="32">
        <v>272</v>
      </c>
      <c r="GT53" s="32">
        <v>510</v>
      </c>
      <c r="GU53" s="32">
        <v>116</v>
      </c>
      <c r="GV53" s="32">
        <v>48</v>
      </c>
      <c r="GW53" s="32"/>
      <c r="GX53" s="32"/>
      <c r="GY53" s="32"/>
      <c r="GZ53" s="32"/>
      <c r="HA53" s="32"/>
      <c r="HB53" s="32"/>
      <c r="HC53" s="32"/>
      <c r="HD53" s="38">
        <f t="shared" si="28"/>
        <v>1045</v>
      </c>
      <c r="HE53" s="26"/>
      <c r="HF53" s="54">
        <v>929</v>
      </c>
      <c r="HG53" s="54">
        <v>718</v>
      </c>
      <c r="HH53" s="54">
        <v>688</v>
      </c>
      <c r="HI53" s="54">
        <v>818</v>
      </c>
      <c r="HJ53" s="54">
        <v>553</v>
      </c>
      <c r="HK53" s="54"/>
      <c r="HL53" s="54"/>
      <c r="HM53" s="54"/>
      <c r="HN53" s="54"/>
      <c r="HO53" s="54"/>
      <c r="HP53" s="54"/>
      <c r="HQ53" s="54"/>
      <c r="HR53" s="38">
        <f>SUM(HF53:HQ53)</f>
        <v>3706</v>
      </c>
      <c r="HS53" s="26"/>
      <c r="HT53" s="32">
        <v>27</v>
      </c>
      <c r="HU53" s="32">
        <v>21</v>
      </c>
      <c r="HV53" s="32">
        <v>13</v>
      </c>
      <c r="HW53" s="32">
        <v>11</v>
      </c>
      <c r="HX53" s="32">
        <v>3</v>
      </c>
      <c r="HY53" s="32"/>
      <c r="HZ53" s="32"/>
      <c r="IA53" s="32"/>
      <c r="IB53" s="32"/>
      <c r="IC53" s="32"/>
      <c r="ID53" s="32"/>
      <c r="IE53" s="69"/>
      <c r="IF53" s="38">
        <f t="shared" si="2"/>
        <v>75</v>
      </c>
      <c r="IG53" s="104">
        <v>436</v>
      </c>
      <c r="IH53" s="104">
        <v>335</v>
      </c>
      <c r="II53" s="104">
        <v>383</v>
      </c>
      <c r="IJ53" s="104">
        <v>370</v>
      </c>
      <c r="IK53" s="104">
        <v>213</v>
      </c>
      <c r="IL53" s="104"/>
      <c r="IM53" s="104"/>
      <c r="IN53" s="104"/>
      <c r="IO53" s="104"/>
      <c r="IP53" s="104"/>
      <c r="IQ53" s="104"/>
      <c r="IR53" s="107"/>
      <c r="IS53" s="38">
        <f t="shared" si="3"/>
        <v>1737</v>
      </c>
      <c r="IT53" s="36">
        <f t="shared" si="39"/>
        <v>1812</v>
      </c>
      <c r="IU53" s="26"/>
      <c r="IV53" s="101">
        <v>260</v>
      </c>
      <c r="IW53" s="101">
        <v>135</v>
      </c>
      <c r="IX53" s="101">
        <v>155</v>
      </c>
      <c r="IY53" s="101">
        <v>177</v>
      </c>
      <c r="IZ53" s="101">
        <v>53</v>
      </c>
      <c r="JA53" s="101"/>
      <c r="JB53" s="101"/>
      <c r="JC53" s="101"/>
      <c r="JD53" s="101"/>
      <c r="JE53" s="101"/>
      <c r="JF53" s="101"/>
      <c r="JG53" s="101"/>
      <c r="JH53" s="38">
        <f t="shared" si="4"/>
        <v>780</v>
      </c>
      <c r="JI53" s="110">
        <v>220</v>
      </c>
      <c r="JJ53" s="32">
        <v>185</v>
      </c>
      <c r="JK53" s="32">
        <v>165</v>
      </c>
      <c r="JL53" s="32">
        <v>145</v>
      </c>
      <c r="JM53" s="32">
        <v>316</v>
      </c>
      <c r="JN53" s="32"/>
      <c r="JO53" s="32"/>
      <c r="JP53" s="32"/>
      <c r="JQ53" s="32"/>
      <c r="JR53" s="32"/>
      <c r="JS53" s="32"/>
      <c r="JT53" s="32"/>
      <c r="JU53" s="35">
        <f t="shared" si="5"/>
        <v>1031</v>
      </c>
      <c r="JV53" s="40">
        <f t="shared" si="30"/>
        <v>1811</v>
      </c>
      <c r="JW53" s="26"/>
      <c r="JX53" s="32">
        <v>44</v>
      </c>
      <c r="JY53" s="32">
        <v>88</v>
      </c>
      <c r="JZ53" s="32">
        <v>62</v>
      </c>
      <c r="KA53" s="32">
        <v>57</v>
      </c>
      <c r="KB53" s="32">
        <v>14</v>
      </c>
      <c r="KC53" s="32"/>
      <c r="KD53" s="32"/>
      <c r="KE53" s="32"/>
      <c r="KF53" s="32"/>
      <c r="KG53" s="32"/>
      <c r="KH53" s="32"/>
      <c r="KI53" s="32"/>
      <c r="KJ53" s="38">
        <f t="shared" si="6"/>
        <v>265</v>
      </c>
      <c r="KK53" s="49">
        <v>316</v>
      </c>
      <c r="KL53" s="49">
        <v>335</v>
      </c>
      <c r="KM53" s="49">
        <v>271</v>
      </c>
      <c r="KN53" s="49">
        <v>267</v>
      </c>
      <c r="KO53" s="49">
        <v>166</v>
      </c>
      <c r="KP53" s="32"/>
      <c r="KQ53" s="32"/>
      <c r="KR53" s="32"/>
      <c r="KS53" s="32"/>
      <c r="KT53" s="32"/>
      <c r="KU53" s="32"/>
      <c r="KV53" s="32"/>
      <c r="KW53" s="38">
        <f t="shared" si="7"/>
        <v>1355</v>
      </c>
      <c r="KX53" s="36">
        <f t="shared" si="31"/>
        <v>1620</v>
      </c>
      <c r="KY53" s="26"/>
      <c r="KZ53" s="101">
        <v>52</v>
      </c>
      <c r="LA53" s="101">
        <v>389</v>
      </c>
      <c r="LB53" s="101">
        <v>337</v>
      </c>
      <c r="LC53" s="101">
        <v>300</v>
      </c>
      <c r="LD53" s="101">
        <v>61</v>
      </c>
      <c r="LE53" s="101"/>
      <c r="LF53" s="101"/>
      <c r="LG53" s="101"/>
      <c r="LH53" s="101"/>
      <c r="LI53" s="101"/>
      <c r="LJ53" s="101"/>
      <c r="LK53" s="115"/>
      <c r="LL53" s="38">
        <f t="shared" si="32"/>
        <v>1139</v>
      </c>
      <c r="LM53" s="26"/>
      <c r="LN53" s="71">
        <v>452</v>
      </c>
      <c r="LO53" s="71">
        <v>453</v>
      </c>
      <c r="LP53" s="71">
        <v>396</v>
      </c>
      <c r="LQ53" s="71">
        <v>348</v>
      </c>
      <c r="LR53" s="71">
        <v>151</v>
      </c>
      <c r="LS53" s="71"/>
      <c r="LT53" s="71"/>
      <c r="LU53" s="45"/>
      <c r="LV53" s="45"/>
      <c r="LW53" s="45"/>
      <c r="LX53" s="45"/>
      <c r="LY53" s="45"/>
      <c r="LZ53" s="38">
        <f t="shared" si="8"/>
        <v>1800</v>
      </c>
      <c r="MA53" s="26"/>
      <c r="MB53" s="45">
        <v>344</v>
      </c>
      <c r="MC53" s="45">
        <v>483</v>
      </c>
      <c r="MD53" s="45">
        <v>525</v>
      </c>
      <c r="ME53" s="45">
        <v>360</v>
      </c>
      <c r="MF53" s="45">
        <v>182</v>
      </c>
      <c r="MG53" s="45"/>
      <c r="MH53" s="45"/>
      <c r="MI53" s="45"/>
      <c r="MJ53" s="45"/>
      <c r="MK53" s="45"/>
      <c r="ML53" s="45"/>
      <c r="MM53" s="45"/>
      <c r="MN53" s="38">
        <f t="shared" si="9"/>
        <v>1894</v>
      </c>
      <c r="MO53" s="32">
        <v>1088</v>
      </c>
      <c r="MP53" s="32">
        <v>1391</v>
      </c>
      <c r="MQ53" s="32">
        <v>1639</v>
      </c>
      <c r="MR53" s="32">
        <v>289</v>
      </c>
      <c r="MS53" s="32">
        <v>830</v>
      </c>
      <c r="MT53" s="32"/>
      <c r="MU53" s="32"/>
      <c r="MV53" s="32"/>
      <c r="MW53" s="32"/>
      <c r="MX53" s="32"/>
      <c r="MY53" s="32"/>
      <c r="MZ53" s="32"/>
      <c r="NA53" s="38">
        <f t="shared" si="10"/>
        <v>5237</v>
      </c>
      <c r="NB53" s="36">
        <f t="shared" si="33"/>
        <v>7131</v>
      </c>
      <c r="NC53" s="26"/>
      <c r="ND53" s="32">
        <v>194</v>
      </c>
      <c r="NE53" s="32">
        <v>209</v>
      </c>
      <c r="NF53" s="32">
        <v>234</v>
      </c>
      <c r="NG53" s="32">
        <v>261</v>
      </c>
      <c r="NH53" s="32">
        <v>109</v>
      </c>
      <c r="NI53" s="32"/>
      <c r="NJ53" s="32"/>
      <c r="NK53" s="32"/>
      <c r="NL53" s="32"/>
      <c r="NM53" s="32"/>
      <c r="NN53" s="32"/>
      <c r="NO53" s="32"/>
      <c r="NP53" s="118">
        <f t="shared" si="11"/>
        <v>1007</v>
      </c>
      <c r="NQ53" s="36">
        <f t="shared" si="34"/>
        <v>3811</v>
      </c>
      <c r="NR53" s="36">
        <f t="shared" si="35"/>
        <v>23845</v>
      </c>
      <c r="NS53" s="36">
        <f t="shared" si="36"/>
        <v>26381</v>
      </c>
      <c r="NT53" s="36">
        <f t="shared" si="37"/>
        <v>54037</v>
      </c>
      <c r="NU53" s="18"/>
      <c r="NV53" s="18"/>
      <c r="NW53" s="18"/>
      <c r="NX53" s="19"/>
      <c r="NY53" s="19"/>
      <c r="NZ53" s="19"/>
      <c r="OA53" s="19"/>
      <c r="OB53" s="19"/>
      <c r="OC53" s="19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8"/>
      <c r="OR53" s="18"/>
      <c r="OS53" s="18"/>
      <c r="OT53" s="18"/>
      <c r="OU53" s="18"/>
      <c r="OV53" s="18"/>
      <c r="OW53" s="18"/>
      <c r="OX53" s="19"/>
      <c r="OY53" s="19"/>
      <c r="OZ53" s="19"/>
      <c r="PA53" s="19"/>
      <c r="PB53" s="19"/>
      <c r="PC53" s="19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8"/>
      <c r="PR53" s="18"/>
      <c r="PS53" s="18"/>
      <c r="PT53" s="18"/>
      <c r="PU53" s="18"/>
      <c r="PV53" s="18"/>
      <c r="PW53" s="18"/>
      <c r="PX53" s="19"/>
      <c r="PY53" s="19"/>
      <c r="PZ53" s="19"/>
      <c r="QA53" s="19"/>
      <c r="QB53" s="19"/>
      <c r="QC53" s="19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</row>
    <row r="54" spans="1:458" s="1" customFormat="1" ht="50.1" customHeight="1" x14ac:dyDescent="0.25">
      <c r="A54" s="120"/>
      <c r="B54" s="6" t="s">
        <v>19</v>
      </c>
      <c r="C54" s="23"/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/>
      <c r="J54" s="41"/>
      <c r="K54" s="41"/>
      <c r="L54" s="41"/>
      <c r="M54" s="41"/>
      <c r="N54" s="41"/>
      <c r="O54" s="41"/>
      <c r="P54" s="38">
        <f t="shared" si="12"/>
        <v>0</v>
      </c>
      <c r="Q54" s="49">
        <v>1139</v>
      </c>
      <c r="R54" s="49">
        <v>1388</v>
      </c>
      <c r="S54" s="49">
        <v>1667</v>
      </c>
      <c r="T54" s="49">
        <v>2055</v>
      </c>
      <c r="U54" s="49">
        <v>960</v>
      </c>
      <c r="V54" s="45"/>
      <c r="W54" s="45"/>
      <c r="X54" s="45"/>
      <c r="Y54" s="45"/>
      <c r="Z54" s="45"/>
      <c r="AA54" s="45"/>
      <c r="AB54" s="45"/>
      <c r="AC54" s="38">
        <f t="shared" si="38"/>
        <v>7209</v>
      </c>
      <c r="AD54" s="36">
        <f t="shared" si="13"/>
        <v>7209</v>
      </c>
      <c r="AE54" s="26"/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/>
      <c r="AL54" s="32"/>
      <c r="AM54" s="32"/>
      <c r="AN54" s="32"/>
      <c r="AO54" s="32"/>
      <c r="AP54" s="32"/>
      <c r="AQ54" s="32"/>
      <c r="AR54" s="38">
        <f t="shared" si="14"/>
        <v>0</v>
      </c>
      <c r="AS54" s="32">
        <v>11</v>
      </c>
      <c r="AT54" s="32">
        <v>2</v>
      </c>
      <c r="AU54" s="32">
        <v>21</v>
      </c>
      <c r="AV54" s="32">
        <v>8</v>
      </c>
      <c r="AW54" s="32">
        <v>5</v>
      </c>
      <c r="AX54" s="32"/>
      <c r="AY54" s="32"/>
      <c r="AZ54" s="32"/>
      <c r="BA54" s="32"/>
      <c r="BB54" s="32"/>
      <c r="BC54" s="32"/>
      <c r="BD54" s="32"/>
      <c r="BE54" s="38">
        <f t="shared" si="15"/>
        <v>47</v>
      </c>
      <c r="BF54" s="36">
        <f t="shared" si="16"/>
        <v>47</v>
      </c>
      <c r="BG54" s="26"/>
      <c r="BH54" s="41">
        <v>6</v>
      </c>
      <c r="BI54" s="41">
        <v>4</v>
      </c>
      <c r="BJ54" s="41">
        <v>1</v>
      </c>
      <c r="BK54" s="41">
        <v>3</v>
      </c>
      <c r="BL54" s="41">
        <v>0</v>
      </c>
      <c r="BM54" s="41"/>
      <c r="BN54" s="41"/>
      <c r="BO54" s="41"/>
      <c r="BP54" s="41"/>
      <c r="BQ54" s="41"/>
      <c r="BR54" s="41"/>
      <c r="BS54" s="41"/>
      <c r="BT54" s="38">
        <f t="shared" si="17"/>
        <v>14</v>
      </c>
      <c r="BU54" s="54">
        <v>7</v>
      </c>
      <c r="BV54" s="54">
        <v>4</v>
      </c>
      <c r="BW54" s="54">
        <v>15</v>
      </c>
      <c r="BX54" s="54">
        <v>10</v>
      </c>
      <c r="BY54" s="54">
        <v>1</v>
      </c>
      <c r="BZ54" s="54"/>
      <c r="CA54" s="54"/>
      <c r="CB54" s="54"/>
      <c r="CC54" s="54"/>
      <c r="CD54" s="54"/>
      <c r="CE54" s="54"/>
      <c r="CF54" s="54"/>
      <c r="CG54" s="38">
        <f t="shared" si="18"/>
        <v>37</v>
      </c>
      <c r="CH54" s="36">
        <f t="shared" si="19"/>
        <v>51</v>
      </c>
      <c r="CI54" s="26"/>
      <c r="CJ54" s="32">
        <v>1</v>
      </c>
      <c r="CK54" s="32">
        <v>1</v>
      </c>
      <c r="CL54" s="32">
        <v>0</v>
      </c>
      <c r="CM54" s="32">
        <v>1</v>
      </c>
      <c r="CN54" s="32">
        <v>1</v>
      </c>
      <c r="CO54" s="32"/>
      <c r="CP54" s="32"/>
      <c r="CQ54" s="32"/>
      <c r="CR54" s="32"/>
      <c r="CS54" s="32"/>
      <c r="CT54" s="32"/>
      <c r="CU54" s="32"/>
      <c r="CV54" s="38">
        <f t="shared" si="20"/>
        <v>4</v>
      </c>
      <c r="CW54" s="54">
        <v>68</v>
      </c>
      <c r="CX54" s="54">
        <v>92</v>
      </c>
      <c r="CY54" s="54">
        <v>179</v>
      </c>
      <c r="CZ54" s="54">
        <v>186</v>
      </c>
      <c r="DA54" s="54">
        <v>94</v>
      </c>
      <c r="DB54" s="54"/>
      <c r="DC54" s="54"/>
      <c r="DD54" s="54"/>
      <c r="DE54" s="54"/>
      <c r="DF54" s="54"/>
      <c r="DG54" s="54"/>
      <c r="DH54" s="54"/>
      <c r="DI54" s="38">
        <f t="shared" si="21"/>
        <v>619</v>
      </c>
      <c r="DJ54" s="36">
        <f t="shared" si="22"/>
        <v>623</v>
      </c>
      <c r="DK54" s="26"/>
      <c r="DL54" s="75">
        <v>50</v>
      </c>
      <c r="DM54" s="75">
        <v>66</v>
      </c>
      <c r="DN54" s="75">
        <v>34</v>
      </c>
      <c r="DO54" s="75">
        <v>46</v>
      </c>
      <c r="DP54" s="75">
        <v>69</v>
      </c>
      <c r="DQ54" s="32"/>
      <c r="DR54" s="32"/>
      <c r="DS54" s="32"/>
      <c r="DT54" s="32"/>
      <c r="DU54" s="32"/>
      <c r="DV54" s="32"/>
      <c r="DW54" s="32"/>
      <c r="DX54" s="38">
        <f t="shared" si="0"/>
        <v>265</v>
      </c>
      <c r="DY54" s="64">
        <v>25</v>
      </c>
      <c r="DZ54" s="64">
        <v>27</v>
      </c>
      <c r="EA54" s="64">
        <v>26</v>
      </c>
      <c r="EB54" s="64">
        <v>11</v>
      </c>
      <c r="EC54" s="64">
        <v>10</v>
      </c>
      <c r="ED54" s="64"/>
      <c r="EE54" s="64"/>
      <c r="EF54" s="64"/>
      <c r="EG54" s="64"/>
      <c r="EH54" s="64"/>
      <c r="EI54" s="64"/>
      <c r="EJ54" s="64"/>
      <c r="EK54" s="38">
        <f t="shared" si="23"/>
        <v>99</v>
      </c>
      <c r="EL54" s="36">
        <f t="shared" si="1"/>
        <v>364</v>
      </c>
      <c r="EM54" s="26"/>
      <c r="EN54" s="32">
        <v>30</v>
      </c>
      <c r="EO54" s="32">
        <v>35</v>
      </c>
      <c r="EP54" s="32">
        <v>33</v>
      </c>
      <c r="EQ54" s="32">
        <v>52</v>
      </c>
      <c r="ER54" s="32">
        <v>29</v>
      </c>
      <c r="ES54" s="32"/>
      <c r="ET54" s="32"/>
      <c r="EU54" s="32"/>
      <c r="EV54" s="32"/>
      <c r="EW54" s="32"/>
      <c r="EX54" s="32"/>
      <c r="EY54" s="32"/>
      <c r="EZ54" s="38">
        <f t="shared" si="24"/>
        <v>179</v>
      </c>
      <c r="FA54" s="26"/>
      <c r="FB54" s="104">
        <v>7</v>
      </c>
      <c r="FC54" s="104">
        <v>3</v>
      </c>
      <c r="FD54" s="104">
        <v>7</v>
      </c>
      <c r="FE54" s="104">
        <v>7</v>
      </c>
      <c r="FF54" s="104">
        <v>14</v>
      </c>
      <c r="FG54" s="104"/>
      <c r="FH54" s="104"/>
      <c r="FI54" s="104"/>
      <c r="FJ54" s="104"/>
      <c r="FK54" s="104"/>
      <c r="FL54" s="104"/>
      <c r="FM54" s="104"/>
      <c r="FN54" s="38">
        <f t="shared" si="25"/>
        <v>38</v>
      </c>
      <c r="FO54" s="26"/>
      <c r="FP54" s="32">
        <v>1</v>
      </c>
      <c r="FQ54" s="32">
        <v>9</v>
      </c>
      <c r="FR54" s="32">
        <v>2</v>
      </c>
      <c r="FS54" s="32">
        <v>8</v>
      </c>
      <c r="FT54" s="32">
        <v>2</v>
      </c>
      <c r="FU54" s="32"/>
      <c r="FV54" s="32"/>
      <c r="FW54" s="32"/>
      <c r="FX54" s="32"/>
      <c r="FY54" s="32"/>
      <c r="FZ54" s="32"/>
      <c r="GA54" s="32"/>
      <c r="GB54" s="38">
        <f t="shared" si="26"/>
        <v>22</v>
      </c>
      <c r="GC54" s="26"/>
      <c r="GD54" s="101">
        <v>23</v>
      </c>
      <c r="GE54" s="101">
        <v>24</v>
      </c>
      <c r="GF54" s="101">
        <v>20</v>
      </c>
      <c r="GG54" s="101">
        <v>98</v>
      </c>
      <c r="GH54" s="101">
        <v>3</v>
      </c>
      <c r="GI54" s="101"/>
      <c r="GJ54" s="101"/>
      <c r="GK54" s="101"/>
      <c r="GL54" s="101"/>
      <c r="GM54" s="101"/>
      <c r="GN54" s="101"/>
      <c r="GO54" s="101"/>
      <c r="GP54" s="38">
        <f t="shared" si="27"/>
        <v>168</v>
      </c>
      <c r="GQ54" s="26"/>
      <c r="GR54" s="32">
        <v>2</v>
      </c>
      <c r="GS54" s="32">
        <v>0</v>
      </c>
      <c r="GT54" s="32">
        <v>0</v>
      </c>
      <c r="GU54" s="32">
        <v>0</v>
      </c>
      <c r="GV54" s="32">
        <v>3</v>
      </c>
      <c r="GW54" s="32"/>
      <c r="GX54" s="32"/>
      <c r="GY54" s="32"/>
      <c r="GZ54" s="32"/>
      <c r="HA54" s="32"/>
      <c r="HB54" s="32"/>
      <c r="HC54" s="32"/>
      <c r="HD54" s="38">
        <f t="shared" si="28"/>
        <v>5</v>
      </c>
      <c r="HE54" s="26"/>
      <c r="HF54" s="54">
        <v>69</v>
      </c>
      <c r="HG54" s="54">
        <v>63</v>
      </c>
      <c r="HH54" s="54">
        <v>52</v>
      </c>
      <c r="HI54" s="54">
        <v>43</v>
      </c>
      <c r="HJ54" s="54">
        <v>27</v>
      </c>
      <c r="HK54" s="54"/>
      <c r="HL54" s="54"/>
      <c r="HM54" s="54"/>
      <c r="HN54" s="54"/>
      <c r="HO54" s="54"/>
      <c r="HP54" s="54"/>
      <c r="HQ54" s="54"/>
      <c r="HR54" s="38">
        <f t="shared" si="29"/>
        <v>254</v>
      </c>
      <c r="HS54" s="26"/>
      <c r="HT54" s="32">
        <v>2</v>
      </c>
      <c r="HU54" s="32">
        <v>2</v>
      </c>
      <c r="HV54" s="32">
        <v>6</v>
      </c>
      <c r="HW54" s="32">
        <v>1</v>
      </c>
      <c r="HX54" s="32">
        <v>0</v>
      </c>
      <c r="HY54" s="32"/>
      <c r="HZ54" s="32"/>
      <c r="IA54" s="32"/>
      <c r="IB54" s="32"/>
      <c r="IC54" s="32"/>
      <c r="ID54" s="32"/>
      <c r="IE54" s="69"/>
      <c r="IF54" s="38">
        <f t="shared" si="2"/>
        <v>11</v>
      </c>
      <c r="IG54" s="104">
        <v>64</v>
      </c>
      <c r="IH54" s="104">
        <v>95</v>
      </c>
      <c r="II54" s="104">
        <v>81</v>
      </c>
      <c r="IJ54" s="104">
        <v>89</v>
      </c>
      <c r="IK54" s="104">
        <v>3</v>
      </c>
      <c r="IL54" s="104"/>
      <c r="IM54" s="104"/>
      <c r="IN54" s="104"/>
      <c r="IO54" s="104"/>
      <c r="IP54" s="104"/>
      <c r="IQ54" s="104"/>
      <c r="IR54" s="107"/>
      <c r="IS54" s="38">
        <f t="shared" si="3"/>
        <v>332</v>
      </c>
      <c r="IT54" s="36">
        <f t="shared" si="39"/>
        <v>343</v>
      </c>
      <c r="IU54" s="26"/>
      <c r="IV54" s="101">
        <v>76</v>
      </c>
      <c r="IW54" s="101">
        <v>61</v>
      </c>
      <c r="IX54" s="101">
        <v>49</v>
      </c>
      <c r="IY54" s="101">
        <v>63</v>
      </c>
      <c r="IZ54" s="101">
        <v>29</v>
      </c>
      <c r="JA54" s="101"/>
      <c r="JB54" s="101"/>
      <c r="JC54" s="101"/>
      <c r="JD54" s="101"/>
      <c r="JE54" s="101"/>
      <c r="JF54" s="101"/>
      <c r="JG54" s="101"/>
      <c r="JH54" s="38">
        <f t="shared" si="4"/>
        <v>278</v>
      </c>
      <c r="JI54" s="110">
        <v>74</v>
      </c>
      <c r="JJ54" s="32">
        <v>56</v>
      </c>
      <c r="JK54" s="32">
        <v>99</v>
      </c>
      <c r="JL54" s="32">
        <v>128</v>
      </c>
      <c r="JM54" s="32">
        <v>31</v>
      </c>
      <c r="JN54" s="32"/>
      <c r="JO54" s="32"/>
      <c r="JP54" s="32"/>
      <c r="JQ54" s="32"/>
      <c r="JR54" s="32"/>
      <c r="JS54" s="32"/>
      <c r="JT54" s="32"/>
      <c r="JU54" s="35">
        <f t="shared" si="5"/>
        <v>388</v>
      </c>
      <c r="JV54" s="40">
        <f t="shared" si="30"/>
        <v>666</v>
      </c>
      <c r="JW54" s="26"/>
      <c r="JX54" s="32">
        <v>19</v>
      </c>
      <c r="JY54" s="32">
        <v>44</v>
      </c>
      <c r="JZ54" s="32">
        <v>23</v>
      </c>
      <c r="KA54" s="32">
        <v>4</v>
      </c>
      <c r="KB54" s="32">
        <v>0</v>
      </c>
      <c r="KC54" s="32"/>
      <c r="KD54" s="32"/>
      <c r="KE54" s="32"/>
      <c r="KF54" s="32"/>
      <c r="KG54" s="32"/>
      <c r="KH54" s="32"/>
      <c r="KI54" s="32"/>
      <c r="KJ54" s="38">
        <f t="shared" si="6"/>
        <v>90</v>
      </c>
      <c r="KK54" s="49">
        <v>77</v>
      </c>
      <c r="KL54" s="49">
        <v>81</v>
      </c>
      <c r="KM54" s="49">
        <v>41</v>
      </c>
      <c r="KN54" s="49">
        <v>91</v>
      </c>
      <c r="KO54" s="49">
        <v>31</v>
      </c>
      <c r="KP54" s="32"/>
      <c r="KQ54" s="32"/>
      <c r="KR54" s="32"/>
      <c r="KS54" s="32"/>
      <c r="KT54" s="32"/>
      <c r="KU54" s="32"/>
      <c r="KV54" s="32"/>
      <c r="KW54" s="38">
        <f t="shared" si="7"/>
        <v>321</v>
      </c>
      <c r="KX54" s="36">
        <f t="shared" si="31"/>
        <v>411</v>
      </c>
      <c r="KY54" s="26"/>
      <c r="KZ54" s="101">
        <v>104</v>
      </c>
      <c r="LA54" s="101">
        <v>16</v>
      </c>
      <c r="LB54" s="101">
        <v>19</v>
      </c>
      <c r="LC54" s="101">
        <v>50</v>
      </c>
      <c r="LD54" s="101">
        <v>17</v>
      </c>
      <c r="LE54" s="101"/>
      <c r="LF54" s="101"/>
      <c r="LG54" s="101"/>
      <c r="LH54" s="101"/>
      <c r="LI54" s="101"/>
      <c r="LJ54" s="101"/>
      <c r="LK54" s="115"/>
      <c r="LL54" s="38">
        <f t="shared" si="32"/>
        <v>206</v>
      </c>
      <c r="LM54" s="26"/>
      <c r="LN54" s="71">
        <v>9</v>
      </c>
      <c r="LO54" s="71">
        <v>7</v>
      </c>
      <c r="LP54" s="71">
        <v>16</v>
      </c>
      <c r="LQ54" s="71">
        <v>14</v>
      </c>
      <c r="LR54" s="71">
        <v>13</v>
      </c>
      <c r="LS54" s="71"/>
      <c r="LT54" s="71"/>
      <c r="LU54" s="45"/>
      <c r="LV54" s="45"/>
      <c r="LW54" s="45"/>
      <c r="LX54" s="45"/>
      <c r="LY54" s="45"/>
      <c r="LZ54" s="38">
        <f t="shared" si="8"/>
        <v>59</v>
      </c>
      <c r="MA54" s="26"/>
      <c r="MB54" s="45">
        <v>55</v>
      </c>
      <c r="MC54" s="45">
        <v>42</v>
      </c>
      <c r="MD54" s="45">
        <v>47</v>
      </c>
      <c r="ME54" s="45">
        <v>88</v>
      </c>
      <c r="MF54" s="45">
        <v>52</v>
      </c>
      <c r="MG54" s="45"/>
      <c r="MH54" s="45"/>
      <c r="MI54" s="45"/>
      <c r="MJ54" s="45"/>
      <c r="MK54" s="45"/>
      <c r="ML54" s="45"/>
      <c r="MM54" s="45"/>
      <c r="MN54" s="38">
        <f t="shared" si="9"/>
        <v>284</v>
      </c>
      <c r="MO54" s="32">
        <v>27</v>
      </c>
      <c r="MP54" s="32">
        <v>67</v>
      </c>
      <c r="MQ54" s="32">
        <v>56</v>
      </c>
      <c r="MR54" s="32">
        <v>114</v>
      </c>
      <c r="MS54" s="32">
        <v>93</v>
      </c>
      <c r="MT54" s="32"/>
      <c r="MU54" s="32"/>
      <c r="MV54" s="32"/>
      <c r="MW54" s="32"/>
      <c r="MX54" s="32"/>
      <c r="MY54" s="32"/>
      <c r="MZ54" s="32"/>
      <c r="NA54" s="38">
        <f t="shared" si="10"/>
        <v>357</v>
      </c>
      <c r="NB54" s="36">
        <f t="shared" si="33"/>
        <v>641</v>
      </c>
      <c r="NC54" s="26"/>
      <c r="ND54" s="32">
        <v>37</v>
      </c>
      <c r="NE54" s="32">
        <v>16</v>
      </c>
      <c r="NF54" s="32">
        <v>55</v>
      </c>
      <c r="NG54" s="32">
        <v>40</v>
      </c>
      <c r="NH54" s="32">
        <v>11</v>
      </c>
      <c r="NI54" s="32"/>
      <c r="NJ54" s="32"/>
      <c r="NK54" s="32"/>
      <c r="NL54" s="32"/>
      <c r="NM54" s="32"/>
      <c r="NN54" s="32"/>
      <c r="NO54" s="32"/>
      <c r="NP54" s="118">
        <f t="shared" si="11"/>
        <v>159</v>
      </c>
      <c r="NQ54" s="36">
        <f t="shared" si="34"/>
        <v>389</v>
      </c>
      <c r="NR54" s="36">
        <f t="shared" si="35"/>
        <v>3102</v>
      </c>
      <c r="NS54" s="36">
        <f t="shared" si="36"/>
        <v>7954</v>
      </c>
      <c r="NT54" s="36">
        <f t="shared" si="37"/>
        <v>11445</v>
      </c>
      <c r="NU54" s="18"/>
      <c r="NV54" s="18"/>
      <c r="NW54" s="18"/>
      <c r="NX54" s="19"/>
      <c r="NY54" s="19"/>
      <c r="NZ54" s="19"/>
      <c r="OA54" s="19"/>
      <c r="OB54" s="19"/>
      <c r="OC54" s="19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8"/>
      <c r="OR54" s="18"/>
      <c r="OS54" s="18"/>
      <c r="OT54" s="18"/>
      <c r="OU54" s="18"/>
      <c r="OV54" s="18"/>
      <c r="OW54" s="18"/>
      <c r="OX54" s="19"/>
      <c r="OY54" s="19"/>
      <c r="OZ54" s="19"/>
      <c r="PA54" s="19"/>
      <c r="PB54" s="19"/>
      <c r="PC54" s="19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8"/>
      <c r="PR54" s="18"/>
      <c r="PS54" s="18"/>
      <c r="PT54" s="18"/>
      <c r="PU54" s="18"/>
      <c r="PV54" s="18"/>
      <c r="PW54" s="18"/>
      <c r="PX54" s="19"/>
      <c r="PY54" s="19"/>
      <c r="PZ54" s="19"/>
      <c r="QA54" s="19"/>
      <c r="QB54" s="19"/>
      <c r="QC54" s="19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</row>
    <row r="55" spans="1:458" s="1" customFormat="1" ht="50.1" customHeight="1" x14ac:dyDescent="0.25">
      <c r="A55" s="120"/>
      <c r="B55" s="6" t="s">
        <v>20</v>
      </c>
      <c r="C55" s="23"/>
      <c r="D55" s="41">
        <f>SUM(D52:D54)</f>
        <v>3066</v>
      </c>
      <c r="E55" s="41">
        <f t="shared" ref="E55:H55" si="277">SUM(E52:E54)</f>
        <v>2559</v>
      </c>
      <c r="F55" s="41">
        <f t="shared" si="277"/>
        <v>2842</v>
      </c>
      <c r="G55" s="41">
        <f t="shared" si="277"/>
        <v>2987</v>
      </c>
      <c r="H55" s="41">
        <f t="shared" si="277"/>
        <v>1358</v>
      </c>
      <c r="I55" s="41"/>
      <c r="J55" s="41"/>
      <c r="K55" s="41"/>
      <c r="L55" s="41"/>
      <c r="M55" s="41"/>
      <c r="N55" s="41"/>
      <c r="O55" s="41"/>
      <c r="P55" s="38">
        <f t="shared" si="12"/>
        <v>12812</v>
      </c>
      <c r="Q55" s="49">
        <f>SUM(Q52:Q54)</f>
        <v>18459</v>
      </c>
      <c r="R55" s="49">
        <f t="shared" ref="R55:U55" si="278">SUM(R52:R54)</f>
        <v>16664</v>
      </c>
      <c r="S55" s="49">
        <f t="shared" si="278"/>
        <v>16316</v>
      </c>
      <c r="T55" s="49">
        <f t="shared" si="278"/>
        <v>17663</v>
      </c>
      <c r="U55" s="49">
        <f t="shared" si="278"/>
        <v>6729</v>
      </c>
      <c r="V55" s="49"/>
      <c r="W55" s="49"/>
      <c r="X55" s="49"/>
      <c r="Y55" s="49"/>
      <c r="Z55" s="49"/>
      <c r="AA55" s="49"/>
      <c r="AB55" s="49"/>
      <c r="AC55" s="38">
        <f t="shared" si="38"/>
        <v>75831</v>
      </c>
      <c r="AD55" s="36">
        <f t="shared" si="13"/>
        <v>88643</v>
      </c>
      <c r="AE55" s="26"/>
      <c r="AF55" s="32">
        <f>SUM(AF52:AF54)</f>
        <v>137</v>
      </c>
      <c r="AG55" s="32">
        <f t="shared" ref="AG55:AJ55" si="279">SUM(AG52:AG54)</f>
        <v>127</v>
      </c>
      <c r="AH55" s="32">
        <f t="shared" si="279"/>
        <v>133</v>
      </c>
      <c r="AI55" s="32">
        <f t="shared" si="279"/>
        <v>173</v>
      </c>
      <c r="AJ55" s="32">
        <f t="shared" si="279"/>
        <v>68</v>
      </c>
      <c r="AK55" s="32"/>
      <c r="AL55" s="32"/>
      <c r="AM55" s="32"/>
      <c r="AN55" s="32"/>
      <c r="AO55" s="32"/>
      <c r="AP55" s="32"/>
      <c r="AQ55" s="32"/>
      <c r="AR55" s="38">
        <f t="shared" si="14"/>
        <v>638</v>
      </c>
      <c r="AS55" s="32">
        <f>SUM(AS52:AS54)</f>
        <v>1234</v>
      </c>
      <c r="AT55" s="32">
        <f t="shared" ref="AT55:AW55" si="280">SUM(AT52:AT54)</f>
        <v>1067</v>
      </c>
      <c r="AU55" s="32">
        <f t="shared" si="280"/>
        <v>1235</v>
      </c>
      <c r="AV55" s="32">
        <f t="shared" si="280"/>
        <v>1241</v>
      </c>
      <c r="AW55" s="32">
        <f t="shared" si="280"/>
        <v>294</v>
      </c>
      <c r="AX55" s="32"/>
      <c r="AY55" s="32"/>
      <c r="AZ55" s="32"/>
      <c r="BA55" s="32"/>
      <c r="BB55" s="32"/>
      <c r="BC55" s="32"/>
      <c r="BD55" s="32"/>
      <c r="BE55" s="38">
        <f t="shared" si="15"/>
        <v>5071</v>
      </c>
      <c r="BF55" s="36">
        <f t="shared" si="16"/>
        <v>5709</v>
      </c>
      <c r="BG55" s="26"/>
      <c r="BH55" s="41">
        <f>SUM(BH52:BH54)</f>
        <v>104</v>
      </c>
      <c r="BI55" s="41">
        <f t="shared" ref="BI55:BY55" si="281">SUM(BI52:BI54)</f>
        <v>154</v>
      </c>
      <c r="BJ55" s="41">
        <f t="shared" si="281"/>
        <v>117</v>
      </c>
      <c r="BK55" s="41">
        <f t="shared" si="281"/>
        <v>112</v>
      </c>
      <c r="BL55" s="41">
        <f t="shared" si="281"/>
        <v>59</v>
      </c>
      <c r="BM55" s="41"/>
      <c r="BN55" s="41"/>
      <c r="BO55" s="41"/>
      <c r="BP55" s="41"/>
      <c r="BQ55" s="41"/>
      <c r="BR55" s="41"/>
      <c r="BS55" s="41"/>
      <c r="BT55" s="38">
        <f t="shared" si="17"/>
        <v>546</v>
      </c>
      <c r="BU55" s="41">
        <f t="shared" si="281"/>
        <v>1525</v>
      </c>
      <c r="BV55" s="41">
        <f t="shared" si="281"/>
        <v>1558</v>
      </c>
      <c r="BW55" s="41">
        <f t="shared" si="281"/>
        <v>1503</v>
      </c>
      <c r="BX55" s="41">
        <f t="shared" si="281"/>
        <v>1432</v>
      </c>
      <c r="BY55" s="41">
        <f t="shared" si="281"/>
        <v>599</v>
      </c>
      <c r="BZ55" s="41"/>
      <c r="CA55" s="41"/>
      <c r="CB55" s="41"/>
      <c r="CC55" s="41"/>
      <c r="CD55" s="41"/>
      <c r="CE55" s="41"/>
      <c r="CF55" s="41"/>
      <c r="CG55" s="38">
        <f t="shared" si="18"/>
        <v>6617</v>
      </c>
      <c r="CH55" s="36">
        <f t="shared" si="19"/>
        <v>7163</v>
      </c>
      <c r="CI55" s="26"/>
      <c r="CJ55" s="32">
        <f>SUM(CJ52:CJ54)</f>
        <v>855</v>
      </c>
      <c r="CK55" s="32">
        <f t="shared" ref="CK55:CN55" si="282">SUM(CK52:CK54)</f>
        <v>684</v>
      </c>
      <c r="CL55" s="32">
        <f t="shared" si="282"/>
        <v>585</v>
      </c>
      <c r="CM55" s="32">
        <f t="shared" si="282"/>
        <v>556</v>
      </c>
      <c r="CN55" s="32">
        <f t="shared" si="282"/>
        <v>414</v>
      </c>
      <c r="CO55" s="32"/>
      <c r="CP55" s="32"/>
      <c r="CQ55" s="32"/>
      <c r="CR55" s="32"/>
      <c r="CS55" s="32"/>
      <c r="CT55" s="32"/>
      <c r="CU55" s="32"/>
      <c r="CV55" s="38">
        <f t="shared" si="20"/>
        <v>3094</v>
      </c>
      <c r="CW55" s="54">
        <f>SUM(CW52:CW54)</f>
        <v>2006</v>
      </c>
      <c r="CX55" s="54">
        <f t="shared" ref="CX55:DA55" si="283">SUM(CX52:CX54)</f>
        <v>2194</v>
      </c>
      <c r="CY55" s="54">
        <f t="shared" si="283"/>
        <v>2304</v>
      </c>
      <c r="CZ55" s="54">
        <f t="shared" si="283"/>
        <v>2184</v>
      </c>
      <c r="DA55" s="54">
        <f t="shared" si="283"/>
        <v>1054</v>
      </c>
      <c r="DB55" s="54"/>
      <c r="DC55" s="54"/>
      <c r="DD55" s="54"/>
      <c r="DE55" s="54"/>
      <c r="DF55" s="54"/>
      <c r="DG55" s="54"/>
      <c r="DH55" s="54"/>
      <c r="DI55" s="38">
        <f t="shared" si="21"/>
        <v>9742</v>
      </c>
      <c r="DJ55" s="36">
        <f t="shared" si="22"/>
        <v>12836</v>
      </c>
      <c r="DK55" s="26"/>
      <c r="DL55" s="32">
        <f>SUM(DL52:DL54)</f>
        <v>923</v>
      </c>
      <c r="DM55" s="32">
        <f t="shared" ref="DM55:DP55" si="284">SUM(DM52:DM54)</f>
        <v>653</v>
      </c>
      <c r="DN55" s="32">
        <f t="shared" si="284"/>
        <v>595</v>
      </c>
      <c r="DO55" s="32">
        <f t="shared" si="284"/>
        <v>648</v>
      </c>
      <c r="DP55" s="32">
        <f t="shared" si="284"/>
        <v>232</v>
      </c>
      <c r="DQ55" s="32"/>
      <c r="DR55" s="32"/>
      <c r="DS55" s="32"/>
      <c r="DT55" s="32"/>
      <c r="DU55" s="32"/>
      <c r="DV55" s="32"/>
      <c r="DW55" s="32"/>
      <c r="DX55" s="38">
        <f t="shared" si="0"/>
        <v>3051</v>
      </c>
      <c r="DY55" s="64">
        <f>SUM(DY52:DY54)</f>
        <v>1610</v>
      </c>
      <c r="DZ55" s="64">
        <f t="shared" ref="DZ55:EC55" si="285">SUM(DZ52:DZ54)</f>
        <v>1556</v>
      </c>
      <c r="EA55" s="64">
        <f t="shared" si="285"/>
        <v>1547</v>
      </c>
      <c r="EB55" s="64">
        <f t="shared" si="285"/>
        <v>1890</v>
      </c>
      <c r="EC55" s="64">
        <f t="shared" si="285"/>
        <v>568</v>
      </c>
      <c r="ED55" s="64"/>
      <c r="EE55" s="64"/>
      <c r="EF55" s="64"/>
      <c r="EG55" s="64"/>
      <c r="EH55" s="64"/>
      <c r="EI55" s="64"/>
      <c r="EJ55" s="64"/>
      <c r="EK55" s="38">
        <f t="shared" si="23"/>
        <v>7171</v>
      </c>
      <c r="EL55" s="36">
        <f t="shared" si="1"/>
        <v>10222</v>
      </c>
      <c r="EM55" s="26"/>
      <c r="EN55" s="32">
        <f>SUM(EN52:EN54)</f>
        <v>1923</v>
      </c>
      <c r="EO55" s="32">
        <f t="shared" ref="EO55:ER55" si="286">SUM(EO52:EO54)</f>
        <v>1810</v>
      </c>
      <c r="EP55" s="32">
        <f t="shared" si="286"/>
        <v>2002</v>
      </c>
      <c r="EQ55" s="32">
        <f t="shared" si="286"/>
        <v>1670</v>
      </c>
      <c r="ER55" s="32">
        <f t="shared" si="286"/>
        <v>734</v>
      </c>
      <c r="ES55" s="32"/>
      <c r="ET55" s="32"/>
      <c r="EU55" s="32"/>
      <c r="EV55" s="32"/>
      <c r="EW55" s="32"/>
      <c r="EX55" s="32"/>
      <c r="EY55" s="32"/>
      <c r="EZ55" s="38">
        <f t="shared" si="24"/>
        <v>8139</v>
      </c>
      <c r="FA55" s="26"/>
      <c r="FB55" s="104">
        <f>SUM(FB52:FB54)</f>
        <v>4205</v>
      </c>
      <c r="FC55" s="104">
        <f t="shared" ref="FC55:FF55" si="287">SUM(FC52:FC54)</f>
        <v>3448</v>
      </c>
      <c r="FD55" s="104">
        <f t="shared" si="287"/>
        <v>3143</v>
      </c>
      <c r="FE55" s="104">
        <f t="shared" si="287"/>
        <v>3831</v>
      </c>
      <c r="FF55" s="104">
        <f t="shared" si="287"/>
        <v>1660</v>
      </c>
      <c r="FG55" s="104"/>
      <c r="FH55" s="104"/>
      <c r="FI55" s="104"/>
      <c r="FJ55" s="104"/>
      <c r="FK55" s="104"/>
      <c r="FL55" s="104"/>
      <c r="FM55" s="104"/>
      <c r="FN55" s="38">
        <f t="shared" si="25"/>
        <v>16287</v>
      </c>
      <c r="FO55" s="26"/>
      <c r="FP55" s="32">
        <f>SUM(FP52:FP54)</f>
        <v>1194</v>
      </c>
      <c r="FQ55" s="32">
        <f t="shared" ref="FQ55:FT55" si="288">SUM(FQ52:FQ54)</f>
        <v>994</v>
      </c>
      <c r="FR55" s="32">
        <f t="shared" si="288"/>
        <v>1040</v>
      </c>
      <c r="FS55" s="32">
        <f t="shared" si="288"/>
        <v>1041</v>
      </c>
      <c r="FT55" s="32">
        <f t="shared" si="288"/>
        <v>749</v>
      </c>
      <c r="FU55" s="32"/>
      <c r="FV55" s="32"/>
      <c r="FW55" s="32"/>
      <c r="FX55" s="32"/>
      <c r="FY55" s="32"/>
      <c r="FZ55" s="32"/>
      <c r="GA55" s="32"/>
      <c r="GB55" s="38">
        <f t="shared" si="26"/>
        <v>5018</v>
      </c>
      <c r="GC55" s="26"/>
      <c r="GD55" s="101">
        <f>SUM(GD52:GD54)</f>
        <v>1408</v>
      </c>
      <c r="GE55" s="101">
        <f t="shared" ref="GE55:GH55" si="289">SUM(GE52:GE54)</f>
        <v>1388</v>
      </c>
      <c r="GF55" s="101">
        <f t="shared" si="289"/>
        <v>1377</v>
      </c>
      <c r="GG55" s="101">
        <f t="shared" si="289"/>
        <v>1689</v>
      </c>
      <c r="GH55" s="101">
        <f t="shared" si="289"/>
        <v>544</v>
      </c>
      <c r="GI55" s="101"/>
      <c r="GJ55" s="101"/>
      <c r="GK55" s="101"/>
      <c r="GL55" s="101"/>
      <c r="GM55" s="101"/>
      <c r="GN55" s="101"/>
      <c r="GO55" s="101"/>
      <c r="GP55" s="38">
        <f t="shared" si="27"/>
        <v>6406</v>
      </c>
      <c r="GQ55" s="26"/>
      <c r="GR55" s="32">
        <f>SUM(GR52:GR54)</f>
        <v>666</v>
      </c>
      <c r="GS55" s="32">
        <f t="shared" ref="GS55:GV55" si="290">SUM(GS52:GS54)</f>
        <v>723</v>
      </c>
      <c r="GT55" s="32">
        <f t="shared" si="290"/>
        <v>685</v>
      </c>
      <c r="GU55" s="32">
        <f t="shared" si="290"/>
        <v>649</v>
      </c>
      <c r="GV55" s="32">
        <f t="shared" si="290"/>
        <v>223</v>
      </c>
      <c r="GW55" s="32"/>
      <c r="GX55" s="32"/>
      <c r="GY55" s="32"/>
      <c r="GZ55" s="32"/>
      <c r="HA55" s="32"/>
      <c r="HB55" s="32"/>
      <c r="HC55" s="32"/>
      <c r="HD55" s="38">
        <f t="shared" si="28"/>
        <v>2946</v>
      </c>
      <c r="HE55" s="26"/>
      <c r="HF55" s="54">
        <f>SUM(HF52:HF54)</f>
        <v>4674</v>
      </c>
      <c r="HG55" s="54">
        <f t="shared" ref="HG55:HJ55" si="291">SUM(HG52:HG54)</f>
        <v>4072</v>
      </c>
      <c r="HH55" s="54">
        <f t="shared" si="291"/>
        <v>4123</v>
      </c>
      <c r="HI55" s="54">
        <f t="shared" si="291"/>
        <v>4434</v>
      </c>
      <c r="HJ55" s="54">
        <f t="shared" si="291"/>
        <v>2438</v>
      </c>
      <c r="HK55" s="54"/>
      <c r="HL55" s="54"/>
      <c r="HM55" s="54"/>
      <c r="HN55" s="54"/>
      <c r="HO55" s="54"/>
      <c r="HP55" s="54"/>
      <c r="HQ55" s="54"/>
      <c r="HR55" s="38">
        <f t="shared" si="29"/>
        <v>19741</v>
      </c>
      <c r="HS55" s="26"/>
      <c r="HT55" s="32">
        <f>SUM(HT52:HT54)</f>
        <v>180</v>
      </c>
      <c r="HU55" s="32">
        <f t="shared" ref="HU55:HX55" si="292">SUM(HU52:HU54)</f>
        <v>174</v>
      </c>
      <c r="HV55" s="32">
        <f t="shared" si="292"/>
        <v>109</v>
      </c>
      <c r="HW55" s="32">
        <f t="shared" si="292"/>
        <v>171</v>
      </c>
      <c r="HX55" s="32">
        <f t="shared" si="292"/>
        <v>81</v>
      </c>
      <c r="HY55" s="32"/>
      <c r="HZ55" s="32"/>
      <c r="IA55" s="32"/>
      <c r="IB55" s="32"/>
      <c r="IC55" s="32"/>
      <c r="ID55" s="32"/>
      <c r="IE55" s="69"/>
      <c r="IF55" s="38">
        <f t="shared" si="2"/>
        <v>715</v>
      </c>
      <c r="IG55" s="104">
        <f>SUM(IG52:IG54)</f>
        <v>1653</v>
      </c>
      <c r="IH55" s="104">
        <f t="shared" ref="IH55:IK55" si="293">SUM(IH52:IH54)</f>
        <v>1100</v>
      </c>
      <c r="II55" s="104">
        <f t="shared" si="293"/>
        <v>1054</v>
      </c>
      <c r="IJ55" s="104">
        <f t="shared" si="293"/>
        <v>1138</v>
      </c>
      <c r="IK55" s="104">
        <f t="shared" si="293"/>
        <v>523</v>
      </c>
      <c r="IL55" s="104"/>
      <c r="IM55" s="104"/>
      <c r="IN55" s="104"/>
      <c r="IO55" s="104"/>
      <c r="IP55" s="104"/>
      <c r="IQ55" s="104"/>
      <c r="IR55" s="107"/>
      <c r="IS55" s="38">
        <f t="shared" si="3"/>
        <v>5468</v>
      </c>
      <c r="IT55" s="36">
        <f t="shared" si="39"/>
        <v>6183</v>
      </c>
      <c r="IU55" s="26"/>
      <c r="IV55" s="101">
        <f>SUM(IV52:IV54)</f>
        <v>866</v>
      </c>
      <c r="IW55" s="101">
        <f t="shared" ref="IW55:IZ55" si="294">SUM(IW52:IW54)</f>
        <v>630</v>
      </c>
      <c r="IX55" s="101">
        <f t="shared" si="294"/>
        <v>642</v>
      </c>
      <c r="IY55" s="101">
        <f t="shared" si="294"/>
        <v>870</v>
      </c>
      <c r="IZ55" s="101">
        <f t="shared" si="294"/>
        <v>360</v>
      </c>
      <c r="JA55" s="101"/>
      <c r="JB55" s="101"/>
      <c r="JC55" s="101"/>
      <c r="JD55" s="101"/>
      <c r="JE55" s="101"/>
      <c r="JF55" s="101"/>
      <c r="JG55" s="101"/>
      <c r="JH55" s="38">
        <f t="shared" si="4"/>
        <v>3368</v>
      </c>
      <c r="JI55" s="110">
        <f>SUM(JI52:JI54)</f>
        <v>2315</v>
      </c>
      <c r="JJ55" s="32">
        <f t="shared" ref="JJ55:JM55" si="295">SUM(JJ52:JJ54)</f>
        <v>2270</v>
      </c>
      <c r="JK55" s="32">
        <f t="shared" si="295"/>
        <v>2301</v>
      </c>
      <c r="JL55" s="32">
        <f t="shared" si="295"/>
        <v>1605</v>
      </c>
      <c r="JM55" s="32">
        <f t="shared" si="295"/>
        <v>1187</v>
      </c>
      <c r="JN55" s="32"/>
      <c r="JO55" s="32"/>
      <c r="JP55" s="32"/>
      <c r="JQ55" s="32"/>
      <c r="JR55" s="32"/>
      <c r="JS55" s="32"/>
      <c r="JT55" s="32"/>
      <c r="JU55" s="35">
        <f t="shared" si="5"/>
        <v>9678</v>
      </c>
      <c r="JV55" s="40">
        <f t="shared" si="30"/>
        <v>13046</v>
      </c>
      <c r="JW55" s="26"/>
      <c r="JX55" s="32">
        <f>SUM(JX52:JX54)</f>
        <v>309</v>
      </c>
      <c r="JY55" s="32">
        <f t="shared" ref="JY55:KB55" si="296">SUM(JY52:JY54)</f>
        <v>391</v>
      </c>
      <c r="JZ55" s="32">
        <f t="shared" si="296"/>
        <v>317</v>
      </c>
      <c r="KA55" s="32">
        <f t="shared" si="296"/>
        <v>354</v>
      </c>
      <c r="KB55" s="32">
        <f t="shared" si="296"/>
        <v>164</v>
      </c>
      <c r="KC55" s="32"/>
      <c r="KD55" s="32"/>
      <c r="KE55" s="32"/>
      <c r="KF55" s="32"/>
      <c r="KG55" s="32"/>
      <c r="KH55" s="32"/>
      <c r="KI55" s="32"/>
      <c r="KJ55" s="38">
        <f t="shared" si="6"/>
        <v>1535</v>
      </c>
      <c r="KK55" s="32">
        <f>SUM(KK52:KK54)</f>
        <v>2764</v>
      </c>
      <c r="KL55" s="32">
        <f t="shared" ref="KL55:KO55" si="297">SUM(KL52:KL54)</f>
        <v>2428</v>
      </c>
      <c r="KM55" s="32">
        <f t="shared" si="297"/>
        <v>2273</v>
      </c>
      <c r="KN55" s="32">
        <f t="shared" si="297"/>
        <v>2597</v>
      </c>
      <c r="KO55" s="32">
        <f t="shared" si="297"/>
        <v>1215</v>
      </c>
      <c r="KP55" s="32"/>
      <c r="KQ55" s="32"/>
      <c r="KR55" s="32"/>
      <c r="KS55" s="32"/>
      <c r="KT55" s="32"/>
      <c r="KU55" s="32"/>
      <c r="KV55" s="32"/>
      <c r="KW55" s="38">
        <f t="shared" si="7"/>
        <v>11277</v>
      </c>
      <c r="KX55" s="36">
        <f t="shared" si="31"/>
        <v>12812</v>
      </c>
      <c r="KY55" s="26"/>
      <c r="KZ55" s="101">
        <f>SUM(KZ52:KZ54)</f>
        <v>1584</v>
      </c>
      <c r="LA55" s="101">
        <f t="shared" ref="LA55:LD55" si="298">SUM(LA52:LA54)</f>
        <v>1647</v>
      </c>
      <c r="LB55" s="101">
        <f t="shared" si="298"/>
        <v>1591</v>
      </c>
      <c r="LC55" s="101">
        <f t="shared" si="298"/>
        <v>1765</v>
      </c>
      <c r="LD55" s="101">
        <f t="shared" si="298"/>
        <v>760</v>
      </c>
      <c r="LE55" s="101"/>
      <c r="LF55" s="101"/>
      <c r="LG55" s="101"/>
      <c r="LH55" s="101"/>
      <c r="LI55" s="101"/>
      <c r="LJ55" s="101"/>
      <c r="LK55" s="115"/>
      <c r="LL55" s="38">
        <f t="shared" si="32"/>
        <v>7347</v>
      </c>
      <c r="LM55" s="26"/>
      <c r="LN55" s="71">
        <f>SUM(LN52:LN54)</f>
        <v>4861</v>
      </c>
      <c r="LO55" s="71">
        <f t="shared" ref="LO55:LR55" si="299">SUM(LO52:LO54)</f>
        <v>5045</v>
      </c>
      <c r="LP55" s="71">
        <f t="shared" si="299"/>
        <v>5227</v>
      </c>
      <c r="LQ55" s="71">
        <f t="shared" si="299"/>
        <v>5049</v>
      </c>
      <c r="LR55" s="71">
        <f t="shared" si="299"/>
        <v>1932</v>
      </c>
      <c r="LS55" s="71"/>
      <c r="LT55" s="71"/>
      <c r="LU55" s="45"/>
      <c r="LV55" s="45"/>
      <c r="LW55" s="45"/>
      <c r="LX55" s="45"/>
      <c r="LY55" s="45"/>
      <c r="LZ55" s="38">
        <f t="shared" si="8"/>
        <v>22114</v>
      </c>
      <c r="MA55" s="26"/>
      <c r="MB55" s="45">
        <f>SUM(MB52:MB54)</f>
        <v>6150</v>
      </c>
      <c r="MC55" s="45">
        <f t="shared" ref="MC55:MF55" si="300">SUM(MC52:MC54)</f>
        <v>5556</v>
      </c>
      <c r="MD55" s="45">
        <f t="shared" si="300"/>
        <v>4921</v>
      </c>
      <c r="ME55" s="45">
        <f t="shared" si="300"/>
        <v>5075</v>
      </c>
      <c r="MF55" s="45">
        <f t="shared" si="300"/>
        <v>2516</v>
      </c>
      <c r="MG55" s="45"/>
      <c r="MH55" s="45"/>
      <c r="MI55" s="45"/>
      <c r="MJ55" s="45"/>
      <c r="MK55" s="45"/>
      <c r="ML55" s="45"/>
      <c r="MM55" s="45"/>
      <c r="MN55" s="38">
        <f t="shared" si="9"/>
        <v>24218</v>
      </c>
      <c r="MO55" s="32">
        <f>SUM(MO52:MO54)</f>
        <v>10642</v>
      </c>
      <c r="MP55" s="32">
        <f t="shared" ref="MP55:MS55" si="301">SUM(MP52:MP54)</f>
        <v>10516</v>
      </c>
      <c r="MQ55" s="32">
        <f t="shared" si="301"/>
        <v>8910</v>
      </c>
      <c r="MR55" s="32">
        <f t="shared" si="301"/>
        <v>8858</v>
      </c>
      <c r="MS55" s="32">
        <f t="shared" si="301"/>
        <v>4591</v>
      </c>
      <c r="MT55" s="32"/>
      <c r="MU55" s="32"/>
      <c r="MV55" s="32"/>
      <c r="MW55" s="32"/>
      <c r="MX55" s="32"/>
      <c r="MY55" s="32"/>
      <c r="MZ55" s="32"/>
      <c r="NA55" s="38">
        <f t="shared" si="10"/>
        <v>43517</v>
      </c>
      <c r="NB55" s="36">
        <f t="shared" si="33"/>
        <v>67735</v>
      </c>
      <c r="NC55" s="26"/>
      <c r="ND55" s="32">
        <f>SUM(ND52:ND54)</f>
        <v>1537</v>
      </c>
      <c r="NE55" s="32">
        <f t="shared" ref="NE55:NH55" si="302">SUM(NE52:NE54)</f>
        <v>1260</v>
      </c>
      <c r="NF55" s="32">
        <f t="shared" si="302"/>
        <v>1545</v>
      </c>
      <c r="NG55" s="32">
        <f t="shared" si="302"/>
        <v>1236</v>
      </c>
      <c r="NH55" s="32">
        <f t="shared" si="302"/>
        <v>487</v>
      </c>
      <c r="NI55" s="32"/>
      <c r="NJ55" s="32"/>
      <c r="NK55" s="32"/>
      <c r="NL55" s="32"/>
      <c r="NM55" s="32"/>
      <c r="NN55" s="32"/>
      <c r="NO55" s="32"/>
      <c r="NP55" s="118">
        <f t="shared" si="11"/>
        <v>6065</v>
      </c>
      <c r="NQ55" s="36">
        <f t="shared" si="34"/>
        <v>25337</v>
      </c>
      <c r="NR55" s="36">
        <f t="shared" si="35"/>
        <v>164049</v>
      </c>
      <c r="NS55" s="36">
        <f t="shared" si="36"/>
        <v>129026</v>
      </c>
      <c r="NT55" s="36">
        <f t="shared" si="37"/>
        <v>318412</v>
      </c>
      <c r="NU55" s="18"/>
      <c r="NV55" s="18"/>
      <c r="NW55" s="18"/>
      <c r="NX55" s="19"/>
      <c r="NY55" s="19"/>
      <c r="NZ55" s="19"/>
      <c r="OA55" s="19"/>
      <c r="OB55" s="19"/>
      <c r="OC55" s="19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8"/>
      <c r="OR55" s="18"/>
      <c r="OS55" s="18"/>
      <c r="OT55" s="18"/>
      <c r="OU55" s="18"/>
      <c r="OV55" s="18"/>
      <c r="OW55" s="18"/>
      <c r="OX55" s="19"/>
      <c r="OY55" s="19"/>
      <c r="OZ55" s="19"/>
      <c r="PA55" s="19"/>
      <c r="PB55" s="19"/>
      <c r="PC55" s="19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8"/>
      <c r="PR55" s="18"/>
      <c r="PS55" s="18"/>
      <c r="PT55" s="18"/>
      <c r="PU55" s="18"/>
      <c r="PV55" s="18"/>
      <c r="PW55" s="18"/>
      <c r="PX55" s="19"/>
      <c r="PY55" s="19"/>
      <c r="PZ55" s="19"/>
      <c r="QA55" s="19"/>
      <c r="QB55" s="19"/>
      <c r="QC55" s="19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</row>
    <row r="56" spans="1:458" s="1" customFormat="1" ht="50.1" customHeight="1" x14ac:dyDescent="0.25">
      <c r="A56" s="120"/>
      <c r="B56" s="6" t="s">
        <v>21</v>
      </c>
      <c r="C56" s="23"/>
      <c r="D56" s="41">
        <v>0</v>
      </c>
      <c r="E56" s="41">
        <v>0</v>
      </c>
      <c r="F56" s="41">
        <v>0</v>
      </c>
      <c r="G56" s="41">
        <v>267</v>
      </c>
      <c r="H56" s="41">
        <v>58</v>
      </c>
      <c r="I56" s="41"/>
      <c r="J56" s="41"/>
      <c r="K56" s="41"/>
      <c r="L56" s="41"/>
      <c r="M56" s="41"/>
      <c r="N56" s="41"/>
      <c r="O56" s="41"/>
      <c r="P56" s="38">
        <f>SUM(D56:O56)</f>
        <v>325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/>
      <c r="W56" s="45"/>
      <c r="X56" s="45"/>
      <c r="Y56" s="45"/>
      <c r="Z56" s="45"/>
      <c r="AA56" s="45"/>
      <c r="AB56" s="45"/>
      <c r="AC56" s="38">
        <f t="shared" si="38"/>
        <v>0</v>
      </c>
      <c r="AD56" s="36">
        <f t="shared" si="13"/>
        <v>325</v>
      </c>
      <c r="AE56" s="26"/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2"/>
      <c r="AL56" s="32"/>
      <c r="AM56" s="32"/>
      <c r="AN56" s="32"/>
      <c r="AO56" s="32"/>
      <c r="AP56" s="32"/>
      <c r="AQ56" s="32"/>
      <c r="AR56" s="38">
        <f t="shared" si="14"/>
        <v>0</v>
      </c>
      <c r="AS56" s="32">
        <v>4</v>
      </c>
      <c r="AT56" s="32">
        <v>11</v>
      </c>
      <c r="AU56" s="32">
        <v>5</v>
      </c>
      <c r="AV56" s="32">
        <v>4</v>
      </c>
      <c r="AW56" s="32">
        <v>1</v>
      </c>
      <c r="AX56" s="32"/>
      <c r="AY56" s="32"/>
      <c r="AZ56" s="32"/>
      <c r="BA56" s="32"/>
      <c r="BB56" s="32"/>
      <c r="BC56" s="32"/>
      <c r="BD56" s="32"/>
      <c r="BE56" s="38">
        <f t="shared" si="15"/>
        <v>25</v>
      </c>
      <c r="BF56" s="36">
        <f t="shared" si="16"/>
        <v>25</v>
      </c>
      <c r="BG56" s="26"/>
      <c r="BH56" s="41">
        <v>0</v>
      </c>
      <c r="BI56" s="41">
        <v>0</v>
      </c>
      <c r="BJ56" s="41">
        <v>0</v>
      </c>
      <c r="BK56" s="41">
        <v>0</v>
      </c>
      <c r="BL56" s="41">
        <v>0</v>
      </c>
      <c r="BM56" s="41"/>
      <c r="BN56" s="41"/>
      <c r="BO56" s="41"/>
      <c r="BP56" s="41"/>
      <c r="BQ56" s="41"/>
      <c r="BR56" s="41"/>
      <c r="BS56" s="41"/>
      <c r="BT56" s="38">
        <f t="shared" si="17"/>
        <v>0</v>
      </c>
      <c r="BU56" s="54">
        <v>18</v>
      </c>
      <c r="BV56" s="54">
        <v>15</v>
      </c>
      <c r="BW56" s="54">
        <v>13</v>
      </c>
      <c r="BX56" s="54">
        <v>15</v>
      </c>
      <c r="BY56" s="54">
        <v>7</v>
      </c>
      <c r="BZ56" s="54"/>
      <c r="CA56" s="54"/>
      <c r="CB56" s="54"/>
      <c r="CC56" s="54"/>
      <c r="CD56" s="54"/>
      <c r="CE56" s="54"/>
      <c r="CF56" s="54"/>
      <c r="CG56" s="38">
        <f t="shared" si="18"/>
        <v>68</v>
      </c>
      <c r="CH56" s="36">
        <f t="shared" si="19"/>
        <v>68</v>
      </c>
      <c r="CI56" s="26"/>
      <c r="CJ56" s="32">
        <v>3</v>
      </c>
      <c r="CK56" s="32">
        <v>3</v>
      </c>
      <c r="CL56" s="32">
        <v>0</v>
      </c>
      <c r="CM56" s="32">
        <v>1</v>
      </c>
      <c r="CN56" s="32">
        <v>1</v>
      </c>
      <c r="CO56" s="32"/>
      <c r="CP56" s="32"/>
      <c r="CQ56" s="32"/>
      <c r="CR56" s="32"/>
      <c r="CS56" s="32"/>
      <c r="CT56" s="32"/>
      <c r="CU56" s="32"/>
      <c r="CV56" s="38">
        <f t="shared" si="20"/>
        <v>8</v>
      </c>
      <c r="CW56" s="54">
        <v>57</v>
      </c>
      <c r="CX56" s="54">
        <v>44</v>
      </c>
      <c r="CY56" s="54">
        <v>23</v>
      </c>
      <c r="CZ56" s="54">
        <v>55</v>
      </c>
      <c r="DA56" s="54">
        <v>5</v>
      </c>
      <c r="DB56" s="54"/>
      <c r="DC56" s="54"/>
      <c r="DD56" s="54"/>
      <c r="DE56" s="54"/>
      <c r="DF56" s="54"/>
      <c r="DG56" s="54"/>
      <c r="DH56" s="54"/>
      <c r="DI56" s="38">
        <f t="shared" si="21"/>
        <v>184</v>
      </c>
      <c r="DJ56" s="36">
        <f t="shared" si="22"/>
        <v>192</v>
      </c>
      <c r="DK56" s="26"/>
      <c r="DL56" s="32">
        <v>0</v>
      </c>
      <c r="DM56" s="32">
        <v>0</v>
      </c>
      <c r="DN56" s="32">
        <v>0</v>
      </c>
      <c r="DO56" s="32">
        <v>0</v>
      </c>
      <c r="DP56" s="32">
        <v>0</v>
      </c>
      <c r="DQ56" s="32"/>
      <c r="DR56" s="32"/>
      <c r="DS56" s="32"/>
      <c r="DT56" s="32"/>
      <c r="DU56" s="32"/>
      <c r="DV56" s="32"/>
      <c r="DW56" s="32"/>
      <c r="DX56" s="38">
        <f t="shared" si="0"/>
        <v>0</v>
      </c>
      <c r="DY56" s="64">
        <v>150</v>
      </c>
      <c r="DZ56" s="64">
        <v>104</v>
      </c>
      <c r="EA56" s="64">
        <v>70</v>
      </c>
      <c r="EB56" s="64">
        <v>152</v>
      </c>
      <c r="EC56" s="64">
        <v>54</v>
      </c>
      <c r="ED56" s="64"/>
      <c r="EE56" s="64"/>
      <c r="EF56" s="64"/>
      <c r="EG56" s="64"/>
      <c r="EH56" s="64"/>
      <c r="EI56" s="64"/>
      <c r="EJ56" s="64"/>
      <c r="EK56" s="38">
        <f t="shared" si="23"/>
        <v>530</v>
      </c>
      <c r="EL56" s="36">
        <f t="shared" si="1"/>
        <v>530</v>
      </c>
      <c r="EM56" s="26"/>
      <c r="EN56" s="32">
        <v>14</v>
      </c>
      <c r="EO56" s="32">
        <v>4</v>
      </c>
      <c r="EP56" s="32">
        <v>5</v>
      </c>
      <c r="EQ56" s="32">
        <v>17</v>
      </c>
      <c r="ER56" s="32">
        <v>8</v>
      </c>
      <c r="ES56" s="32"/>
      <c r="ET56" s="32"/>
      <c r="EU56" s="32"/>
      <c r="EV56" s="32"/>
      <c r="EW56" s="32"/>
      <c r="EX56" s="32"/>
      <c r="EY56" s="32"/>
      <c r="EZ56" s="38">
        <f t="shared" si="24"/>
        <v>48</v>
      </c>
      <c r="FA56" s="26"/>
      <c r="FB56" s="104">
        <v>0</v>
      </c>
      <c r="FC56" s="104">
        <v>0</v>
      </c>
      <c r="FD56" s="104">
        <v>0</v>
      </c>
      <c r="FE56" s="104">
        <v>0</v>
      </c>
      <c r="FF56" s="104">
        <v>0</v>
      </c>
      <c r="FG56" s="104"/>
      <c r="FH56" s="104"/>
      <c r="FI56" s="104"/>
      <c r="FJ56" s="104"/>
      <c r="FK56" s="104"/>
      <c r="FL56" s="104"/>
      <c r="FM56" s="104"/>
      <c r="FN56" s="38">
        <f t="shared" si="25"/>
        <v>0</v>
      </c>
      <c r="FO56" s="26"/>
      <c r="FP56" s="32">
        <v>5</v>
      </c>
      <c r="FQ56" s="32">
        <v>5</v>
      </c>
      <c r="FR56" s="32">
        <v>5</v>
      </c>
      <c r="FS56" s="32">
        <v>5</v>
      </c>
      <c r="FT56" s="32">
        <v>5</v>
      </c>
      <c r="FU56" s="32"/>
      <c r="FV56" s="32"/>
      <c r="FW56" s="32"/>
      <c r="FX56" s="32"/>
      <c r="FY56" s="32"/>
      <c r="FZ56" s="32"/>
      <c r="GA56" s="32"/>
      <c r="GB56" s="38">
        <f t="shared" si="26"/>
        <v>25</v>
      </c>
      <c r="GC56" s="26"/>
      <c r="GD56" s="101">
        <v>27</v>
      </c>
      <c r="GE56" s="101">
        <v>23</v>
      </c>
      <c r="GF56" s="101">
        <v>29</v>
      </c>
      <c r="GG56" s="101">
        <v>30</v>
      </c>
      <c r="GH56" s="101">
        <v>16</v>
      </c>
      <c r="GI56" s="101"/>
      <c r="GJ56" s="101"/>
      <c r="GK56" s="101"/>
      <c r="GL56" s="101"/>
      <c r="GM56" s="101"/>
      <c r="GN56" s="101"/>
      <c r="GO56" s="101"/>
      <c r="GP56" s="38">
        <f t="shared" si="27"/>
        <v>125</v>
      </c>
      <c r="GQ56" s="26"/>
      <c r="GR56" s="32">
        <v>0</v>
      </c>
      <c r="GS56" s="32">
        <v>33</v>
      </c>
      <c r="GT56" s="32">
        <v>13</v>
      </c>
      <c r="GU56" s="32">
        <v>12</v>
      </c>
      <c r="GV56" s="32">
        <v>7</v>
      </c>
      <c r="GW56" s="32"/>
      <c r="GX56" s="32"/>
      <c r="GY56" s="32"/>
      <c r="GZ56" s="32"/>
      <c r="HA56" s="32"/>
      <c r="HB56" s="32"/>
      <c r="HC56" s="32"/>
      <c r="HD56" s="38">
        <f t="shared" si="28"/>
        <v>65</v>
      </c>
      <c r="HE56" s="26"/>
      <c r="HF56" s="54">
        <v>0</v>
      </c>
      <c r="HG56" s="54">
        <v>0</v>
      </c>
      <c r="HH56" s="54">
        <v>0</v>
      </c>
      <c r="HI56" s="54">
        <v>0</v>
      </c>
      <c r="HJ56" s="54">
        <v>0</v>
      </c>
      <c r="HK56" s="54"/>
      <c r="HL56" s="54"/>
      <c r="HM56" s="54"/>
      <c r="HN56" s="54"/>
      <c r="HO56" s="54"/>
      <c r="HP56" s="54"/>
      <c r="HQ56" s="54"/>
      <c r="HR56" s="38">
        <f t="shared" si="29"/>
        <v>0</v>
      </c>
      <c r="HS56" s="26"/>
      <c r="HT56" s="32">
        <v>0</v>
      </c>
      <c r="HU56" s="32">
        <v>0</v>
      </c>
      <c r="HV56" s="32">
        <v>0</v>
      </c>
      <c r="HW56" s="32">
        <v>0</v>
      </c>
      <c r="HX56" s="32">
        <v>0</v>
      </c>
      <c r="HY56" s="32"/>
      <c r="HZ56" s="32"/>
      <c r="IA56" s="32"/>
      <c r="IB56" s="32"/>
      <c r="IC56" s="32"/>
      <c r="ID56" s="32"/>
      <c r="IE56" s="69"/>
      <c r="IF56" s="38">
        <f t="shared" si="2"/>
        <v>0</v>
      </c>
      <c r="IG56" s="104">
        <v>9</v>
      </c>
      <c r="IH56" s="104">
        <v>8</v>
      </c>
      <c r="II56" s="104">
        <v>0</v>
      </c>
      <c r="IJ56" s="104">
        <v>1</v>
      </c>
      <c r="IK56" s="104">
        <v>1</v>
      </c>
      <c r="IL56" s="104"/>
      <c r="IM56" s="104"/>
      <c r="IN56" s="104"/>
      <c r="IO56" s="104"/>
      <c r="IP56" s="104"/>
      <c r="IQ56" s="104"/>
      <c r="IR56" s="107"/>
      <c r="IS56" s="38">
        <f t="shared" si="3"/>
        <v>19</v>
      </c>
      <c r="IT56" s="36">
        <f t="shared" si="39"/>
        <v>19</v>
      </c>
      <c r="IU56" s="26"/>
      <c r="IV56" s="101">
        <v>0</v>
      </c>
      <c r="IW56" s="101">
        <v>0</v>
      </c>
      <c r="IX56" s="101">
        <v>0</v>
      </c>
      <c r="IY56" s="101">
        <v>0</v>
      </c>
      <c r="IZ56" s="101">
        <v>0</v>
      </c>
      <c r="JA56" s="101"/>
      <c r="JB56" s="101"/>
      <c r="JC56" s="101"/>
      <c r="JD56" s="101"/>
      <c r="JE56" s="101"/>
      <c r="JF56" s="101"/>
      <c r="JG56" s="101"/>
      <c r="JH56" s="38">
        <f t="shared" si="4"/>
        <v>0</v>
      </c>
      <c r="JI56" s="110">
        <v>12</v>
      </c>
      <c r="JJ56" s="32">
        <v>5</v>
      </c>
      <c r="JK56" s="32">
        <v>64</v>
      </c>
      <c r="JL56" s="32">
        <v>77</v>
      </c>
      <c r="JM56" s="32">
        <v>22</v>
      </c>
      <c r="JN56" s="32"/>
      <c r="JO56" s="32"/>
      <c r="JP56" s="32"/>
      <c r="JQ56" s="32"/>
      <c r="JR56" s="32"/>
      <c r="JS56" s="32"/>
      <c r="JT56" s="32"/>
      <c r="JU56" s="35">
        <f t="shared" si="5"/>
        <v>180</v>
      </c>
      <c r="JV56" s="40">
        <f t="shared" si="30"/>
        <v>180</v>
      </c>
      <c r="JW56" s="26"/>
      <c r="JX56" s="32">
        <v>5</v>
      </c>
      <c r="JY56" s="32">
        <v>2</v>
      </c>
      <c r="JZ56" s="32">
        <v>0</v>
      </c>
      <c r="KA56" s="32">
        <v>3</v>
      </c>
      <c r="KB56" s="32">
        <v>0</v>
      </c>
      <c r="KC56" s="32"/>
      <c r="KD56" s="32"/>
      <c r="KE56" s="32"/>
      <c r="KF56" s="32"/>
      <c r="KG56" s="32"/>
      <c r="KH56" s="32"/>
      <c r="KI56" s="32"/>
      <c r="KJ56" s="38">
        <f t="shared" si="6"/>
        <v>10</v>
      </c>
      <c r="KK56" s="49">
        <v>37</v>
      </c>
      <c r="KL56" s="49">
        <v>35</v>
      </c>
      <c r="KM56" s="49">
        <v>24</v>
      </c>
      <c r="KN56" s="49">
        <v>54</v>
      </c>
      <c r="KO56" s="49">
        <v>18</v>
      </c>
      <c r="KP56" s="32"/>
      <c r="KQ56" s="32"/>
      <c r="KR56" s="32"/>
      <c r="KS56" s="32"/>
      <c r="KT56" s="32"/>
      <c r="KU56" s="32"/>
      <c r="KV56" s="32"/>
      <c r="KW56" s="38">
        <f t="shared" si="7"/>
        <v>168</v>
      </c>
      <c r="KX56" s="36">
        <f t="shared" si="31"/>
        <v>178</v>
      </c>
      <c r="KY56" s="26"/>
      <c r="KZ56" s="101">
        <v>0</v>
      </c>
      <c r="LA56" s="101">
        <v>0</v>
      </c>
      <c r="LB56" s="101">
        <v>0</v>
      </c>
      <c r="LC56" s="101">
        <v>0</v>
      </c>
      <c r="LD56" s="101">
        <v>0</v>
      </c>
      <c r="LE56" s="101"/>
      <c r="LF56" s="101"/>
      <c r="LG56" s="101"/>
      <c r="LH56" s="101"/>
      <c r="LI56" s="101"/>
      <c r="LJ56" s="101"/>
      <c r="LK56" s="115"/>
      <c r="LL56" s="38">
        <f t="shared" si="32"/>
        <v>0</v>
      </c>
      <c r="LM56" s="26"/>
      <c r="LN56" s="71">
        <v>17</v>
      </c>
      <c r="LO56" s="71">
        <v>19</v>
      </c>
      <c r="LP56" s="71">
        <v>20</v>
      </c>
      <c r="LQ56" s="71">
        <v>23</v>
      </c>
      <c r="LR56" s="71">
        <v>13</v>
      </c>
      <c r="LS56" s="71"/>
      <c r="LT56" s="71"/>
      <c r="LU56" s="45"/>
      <c r="LV56" s="45"/>
      <c r="LW56" s="45"/>
      <c r="LX56" s="45"/>
      <c r="LY56" s="45"/>
      <c r="LZ56" s="38">
        <f t="shared" si="8"/>
        <v>92</v>
      </c>
      <c r="MA56" s="26"/>
      <c r="MB56" s="45">
        <v>25</v>
      </c>
      <c r="MC56" s="45">
        <v>17</v>
      </c>
      <c r="MD56" s="45">
        <v>29</v>
      </c>
      <c r="ME56" s="45">
        <v>49</v>
      </c>
      <c r="MF56" s="45">
        <v>1</v>
      </c>
      <c r="MG56" s="45"/>
      <c r="MH56" s="45"/>
      <c r="MI56" s="45"/>
      <c r="MJ56" s="45"/>
      <c r="MK56" s="45"/>
      <c r="ML56" s="45"/>
      <c r="MM56" s="45"/>
      <c r="MN56" s="38">
        <f t="shared" si="9"/>
        <v>121</v>
      </c>
      <c r="MO56" s="32">
        <v>79</v>
      </c>
      <c r="MP56" s="32">
        <v>27</v>
      </c>
      <c r="MQ56" s="32">
        <v>82</v>
      </c>
      <c r="MR56" s="32">
        <v>83</v>
      </c>
      <c r="MS56" s="32">
        <v>45</v>
      </c>
      <c r="MT56" s="32"/>
      <c r="MU56" s="32"/>
      <c r="MV56" s="32"/>
      <c r="MW56" s="32"/>
      <c r="MX56" s="32"/>
      <c r="MY56" s="32"/>
      <c r="MZ56" s="32"/>
      <c r="NA56" s="38">
        <f t="shared" si="10"/>
        <v>316</v>
      </c>
      <c r="NB56" s="36">
        <f t="shared" si="33"/>
        <v>437</v>
      </c>
      <c r="NC56" s="26"/>
      <c r="ND56" s="32">
        <v>18</v>
      </c>
      <c r="NE56" s="32">
        <v>24</v>
      </c>
      <c r="NF56" s="32">
        <v>13</v>
      </c>
      <c r="NG56" s="32">
        <v>10</v>
      </c>
      <c r="NH56" s="32">
        <v>5</v>
      </c>
      <c r="NI56" s="32"/>
      <c r="NJ56" s="32"/>
      <c r="NK56" s="32"/>
      <c r="NL56" s="32"/>
      <c r="NM56" s="32"/>
      <c r="NN56" s="32"/>
      <c r="NO56" s="32"/>
      <c r="NP56" s="118">
        <f t="shared" si="11"/>
        <v>70</v>
      </c>
      <c r="NQ56" s="36">
        <f t="shared" si="34"/>
        <v>408</v>
      </c>
      <c r="NR56" s="36">
        <f t="shared" si="35"/>
        <v>1475</v>
      </c>
      <c r="NS56" s="36">
        <f t="shared" si="36"/>
        <v>496</v>
      </c>
      <c r="NT56" s="36">
        <f t="shared" si="37"/>
        <v>2379</v>
      </c>
      <c r="NU56" s="18"/>
      <c r="NV56" s="18"/>
      <c r="NW56" s="18"/>
      <c r="NX56" s="19"/>
      <c r="NY56" s="19"/>
      <c r="NZ56" s="19"/>
      <c r="OA56" s="19"/>
      <c r="OB56" s="19"/>
      <c r="OC56" s="19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8"/>
      <c r="OR56" s="18"/>
      <c r="OS56" s="18"/>
      <c r="OT56" s="18"/>
      <c r="OU56" s="18"/>
      <c r="OV56" s="18"/>
      <c r="OW56" s="18"/>
      <c r="OX56" s="19"/>
      <c r="OY56" s="19"/>
      <c r="OZ56" s="19"/>
      <c r="PA56" s="19"/>
      <c r="PB56" s="19"/>
      <c r="PC56" s="19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8"/>
      <c r="PR56" s="18"/>
      <c r="PS56" s="18"/>
      <c r="PT56" s="18"/>
      <c r="PU56" s="18"/>
      <c r="PV56" s="18"/>
      <c r="PW56" s="18"/>
      <c r="PX56" s="19"/>
      <c r="PY56" s="19"/>
      <c r="PZ56" s="19"/>
      <c r="QA56" s="19"/>
      <c r="QB56" s="19"/>
      <c r="QC56" s="19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</row>
    <row r="57" spans="1:458" s="1" customFormat="1" ht="50.1" customHeight="1" x14ac:dyDescent="0.25">
      <c r="A57" s="120"/>
      <c r="B57" s="6" t="s">
        <v>22</v>
      </c>
      <c r="C57" s="23"/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/>
      <c r="J57" s="41"/>
      <c r="K57" s="41"/>
      <c r="L57" s="41"/>
      <c r="M57" s="41"/>
      <c r="N57" s="41"/>
      <c r="O57" s="41"/>
      <c r="P57" s="38">
        <f t="shared" si="12"/>
        <v>0</v>
      </c>
      <c r="Q57" s="45">
        <v>0</v>
      </c>
      <c r="R57" s="45">
        <v>0</v>
      </c>
      <c r="S57" s="45">
        <v>0</v>
      </c>
      <c r="T57" s="45">
        <v>0</v>
      </c>
      <c r="U57" s="45">
        <v>0</v>
      </c>
      <c r="V57" s="45"/>
      <c r="W57" s="45"/>
      <c r="X57" s="45"/>
      <c r="Y57" s="45"/>
      <c r="Z57" s="45"/>
      <c r="AA57" s="45"/>
      <c r="AB57" s="45"/>
      <c r="AC57" s="38">
        <f t="shared" si="38"/>
        <v>0</v>
      </c>
      <c r="AD57" s="36">
        <f t="shared" si="13"/>
        <v>0</v>
      </c>
      <c r="AE57" s="26"/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2"/>
      <c r="AL57" s="32"/>
      <c r="AM57" s="32"/>
      <c r="AN57" s="32"/>
      <c r="AO57" s="32"/>
      <c r="AP57" s="32"/>
      <c r="AQ57" s="32"/>
      <c r="AR57" s="38">
        <f t="shared" si="14"/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/>
      <c r="AY57" s="32"/>
      <c r="AZ57" s="32"/>
      <c r="BA57" s="32"/>
      <c r="BB57" s="32"/>
      <c r="BC57" s="32"/>
      <c r="BD57" s="32"/>
      <c r="BE57" s="38">
        <f t="shared" si="15"/>
        <v>0</v>
      </c>
      <c r="BF57" s="36">
        <f t="shared" si="16"/>
        <v>0</v>
      </c>
      <c r="BG57" s="26"/>
      <c r="BH57" s="41">
        <v>0</v>
      </c>
      <c r="BI57" s="41">
        <v>0</v>
      </c>
      <c r="BJ57" s="41">
        <v>0</v>
      </c>
      <c r="BK57" s="41">
        <v>0</v>
      </c>
      <c r="BL57" s="41">
        <v>0</v>
      </c>
      <c r="BM57" s="41"/>
      <c r="BN57" s="41"/>
      <c r="BO57" s="41"/>
      <c r="BP57" s="41"/>
      <c r="BQ57" s="41"/>
      <c r="BR57" s="41"/>
      <c r="BS57" s="41"/>
      <c r="BT57" s="38">
        <f t="shared" si="17"/>
        <v>0</v>
      </c>
      <c r="BU57" s="54">
        <v>0</v>
      </c>
      <c r="BV57" s="54">
        <v>0</v>
      </c>
      <c r="BW57" s="54">
        <v>0</v>
      </c>
      <c r="BX57" s="54">
        <v>0</v>
      </c>
      <c r="BY57" s="54">
        <v>0</v>
      </c>
      <c r="BZ57" s="54"/>
      <c r="CA57" s="54"/>
      <c r="CB57" s="54"/>
      <c r="CC57" s="54"/>
      <c r="CD57" s="54"/>
      <c r="CE57" s="54"/>
      <c r="CF57" s="54"/>
      <c r="CG57" s="38">
        <f t="shared" si="18"/>
        <v>0</v>
      </c>
      <c r="CH57" s="36">
        <f t="shared" si="19"/>
        <v>0</v>
      </c>
      <c r="CI57" s="26"/>
      <c r="CJ57" s="32">
        <v>0</v>
      </c>
      <c r="CK57" s="32">
        <v>0</v>
      </c>
      <c r="CL57" s="32">
        <v>0</v>
      </c>
      <c r="CM57" s="32">
        <v>0</v>
      </c>
      <c r="CN57" s="32">
        <v>0</v>
      </c>
      <c r="CO57" s="32"/>
      <c r="CP57" s="32"/>
      <c r="CQ57" s="32"/>
      <c r="CR57" s="32"/>
      <c r="CS57" s="32"/>
      <c r="CT57" s="32"/>
      <c r="CU57" s="32"/>
      <c r="CV57" s="38">
        <f t="shared" si="20"/>
        <v>0</v>
      </c>
      <c r="CW57" s="54">
        <v>0</v>
      </c>
      <c r="CX57" s="54">
        <v>0</v>
      </c>
      <c r="CY57" s="54">
        <v>0</v>
      </c>
      <c r="CZ57" s="54">
        <v>0</v>
      </c>
      <c r="DA57" s="54">
        <v>0</v>
      </c>
      <c r="DB57" s="54"/>
      <c r="DC57" s="54"/>
      <c r="DD57" s="54"/>
      <c r="DE57" s="54"/>
      <c r="DF57" s="54"/>
      <c r="DG57" s="54"/>
      <c r="DH57" s="54"/>
      <c r="DI57" s="38">
        <f t="shared" si="21"/>
        <v>0</v>
      </c>
      <c r="DJ57" s="36">
        <f t="shared" si="22"/>
        <v>0</v>
      </c>
      <c r="DK57" s="26"/>
      <c r="DL57" s="32">
        <v>0</v>
      </c>
      <c r="DM57" s="32">
        <v>0</v>
      </c>
      <c r="DN57" s="32">
        <v>0</v>
      </c>
      <c r="DO57" s="32">
        <v>0</v>
      </c>
      <c r="DP57" s="32">
        <v>0</v>
      </c>
      <c r="DQ57" s="79"/>
      <c r="DR57" s="79"/>
      <c r="DS57" s="79"/>
      <c r="DT57" s="79"/>
      <c r="DU57" s="79"/>
      <c r="DV57" s="79"/>
      <c r="DW57" s="79"/>
      <c r="DX57" s="38">
        <f t="shared" si="0"/>
        <v>0</v>
      </c>
      <c r="DY57" s="87">
        <v>0</v>
      </c>
      <c r="DZ57" s="87">
        <v>0</v>
      </c>
      <c r="EA57" s="87">
        <v>0</v>
      </c>
      <c r="EB57" s="87">
        <v>0</v>
      </c>
      <c r="EC57" s="87">
        <v>0</v>
      </c>
      <c r="ED57" s="88"/>
      <c r="EE57" s="88"/>
      <c r="EF57" s="88"/>
      <c r="EG57" s="88"/>
      <c r="EH57" s="88"/>
      <c r="EI57" s="88"/>
      <c r="EJ57" s="88"/>
      <c r="EK57" s="38">
        <f t="shared" si="23"/>
        <v>0</v>
      </c>
      <c r="EL57" s="36">
        <f t="shared" si="1"/>
        <v>0</v>
      </c>
      <c r="EM57" s="26"/>
      <c r="EN57" s="32">
        <v>0</v>
      </c>
      <c r="EO57" s="32">
        <v>0</v>
      </c>
      <c r="EP57" s="32">
        <v>0</v>
      </c>
      <c r="EQ57" s="32">
        <v>0</v>
      </c>
      <c r="ER57" s="32">
        <v>0</v>
      </c>
      <c r="ES57" s="79"/>
      <c r="ET57" s="79"/>
      <c r="EU57" s="79"/>
      <c r="EV57" s="79"/>
      <c r="EW57" s="79"/>
      <c r="EX57" s="79"/>
      <c r="EY57" s="79"/>
      <c r="EZ57" s="38">
        <f t="shared" si="24"/>
        <v>0</v>
      </c>
      <c r="FA57" s="26"/>
      <c r="FB57" s="104">
        <v>0</v>
      </c>
      <c r="FC57" s="104">
        <v>0</v>
      </c>
      <c r="FD57" s="104">
        <v>0</v>
      </c>
      <c r="FE57" s="104">
        <v>0</v>
      </c>
      <c r="FF57" s="104">
        <v>0</v>
      </c>
      <c r="FG57" s="104"/>
      <c r="FH57" s="104"/>
      <c r="FI57" s="104"/>
      <c r="FJ57" s="104"/>
      <c r="FK57" s="104"/>
      <c r="FL57" s="104"/>
      <c r="FM57" s="104"/>
      <c r="FN57" s="38">
        <f t="shared" si="25"/>
        <v>0</v>
      </c>
      <c r="FO57" s="26"/>
      <c r="FP57" s="32">
        <v>0</v>
      </c>
      <c r="FQ57" s="32">
        <v>0</v>
      </c>
      <c r="FR57" s="32">
        <v>0</v>
      </c>
      <c r="FS57" s="32">
        <v>0</v>
      </c>
      <c r="FT57" s="32">
        <v>0</v>
      </c>
      <c r="FU57" s="79"/>
      <c r="FV57" s="79"/>
      <c r="FW57" s="79"/>
      <c r="FX57" s="79"/>
      <c r="FY57" s="79"/>
      <c r="FZ57" s="79"/>
      <c r="GA57" s="79"/>
      <c r="GB57" s="38">
        <f t="shared" si="26"/>
        <v>0</v>
      </c>
      <c r="GC57" s="26"/>
      <c r="GD57" s="101">
        <v>0</v>
      </c>
      <c r="GE57" s="101">
        <v>0</v>
      </c>
      <c r="GF57" s="101">
        <v>0</v>
      </c>
      <c r="GG57" s="101">
        <v>0</v>
      </c>
      <c r="GH57" s="101">
        <v>0</v>
      </c>
      <c r="GI57" s="79"/>
      <c r="GJ57" s="79"/>
      <c r="GK57" s="79"/>
      <c r="GL57" s="79"/>
      <c r="GM57" s="79"/>
      <c r="GN57" s="79"/>
      <c r="GO57" s="79"/>
      <c r="GP57" s="38">
        <f t="shared" si="27"/>
        <v>0</v>
      </c>
      <c r="GQ57" s="26"/>
      <c r="GR57" s="32">
        <v>0</v>
      </c>
      <c r="GS57" s="32">
        <v>0</v>
      </c>
      <c r="GT57" s="32">
        <v>0</v>
      </c>
      <c r="GU57" s="32">
        <v>0</v>
      </c>
      <c r="GV57" s="32">
        <v>0</v>
      </c>
      <c r="GW57" s="79"/>
      <c r="GX57" s="79"/>
      <c r="GY57" s="79"/>
      <c r="GZ57" s="79"/>
      <c r="HA57" s="79"/>
      <c r="HB57" s="79"/>
      <c r="HC57" s="79"/>
      <c r="HD57" s="38">
        <f t="shared" si="28"/>
        <v>0</v>
      </c>
      <c r="HE57" s="26"/>
      <c r="HF57" s="54">
        <v>0</v>
      </c>
      <c r="HG57" s="54">
        <v>0</v>
      </c>
      <c r="HH57" s="54">
        <v>0</v>
      </c>
      <c r="HI57" s="54">
        <v>0</v>
      </c>
      <c r="HJ57" s="54">
        <v>0</v>
      </c>
      <c r="HK57" s="54"/>
      <c r="HL57" s="54"/>
      <c r="HM57" s="54"/>
      <c r="HN57" s="54"/>
      <c r="HO57" s="54"/>
      <c r="HP57" s="54"/>
      <c r="HQ57" s="54"/>
      <c r="HR57" s="38">
        <f t="shared" si="29"/>
        <v>0</v>
      </c>
      <c r="HS57" s="26"/>
      <c r="HT57" s="32">
        <v>0</v>
      </c>
      <c r="HU57" s="32">
        <v>0</v>
      </c>
      <c r="HV57" s="32">
        <v>0</v>
      </c>
      <c r="HW57" s="32">
        <v>0</v>
      </c>
      <c r="HX57" s="32">
        <v>0</v>
      </c>
      <c r="HY57" s="79"/>
      <c r="HZ57" s="79"/>
      <c r="IA57" s="79"/>
      <c r="IB57" s="79"/>
      <c r="IC57" s="79"/>
      <c r="ID57" s="79"/>
      <c r="IE57" s="85"/>
      <c r="IF57" s="38">
        <f t="shared" si="2"/>
        <v>0</v>
      </c>
      <c r="IG57" s="104">
        <v>0</v>
      </c>
      <c r="IH57" s="104">
        <v>0</v>
      </c>
      <c r="II57" s="104">
        <v>0</v>
      </c>
      <c r="IJ57" s="104">
        <v>0</v>
      </c>
      <c r="IK57" s="104">
        <v>0</v>
      </c>
      <c r="IL57" s="104"/>
      <c r="IM57" s="104"/>
      <c r="IN57" s="104"/>
      <c r="IO57" s="104"/>
      <c r="IP57" s="104"/>
      <c r="IQ57" s="104"/>
      <c r="IR57" s="107"/>
      <c r="IS57" s="38">
        <f t="shared" si="3"/>
        <v>0</v>
      </c>
      <c r="IT57" s="36">
        <f t="shared" si="39"/>
        <v>0</v>
      </c>
      <c r="IU57" s="26"/>
      <c r="IV57" s="101">
        <v>0</v>
      </c>
      <c r="IW57" s="101">
        <v>0</v>
      </c>
      <c r="IX57" s="101">
        <v>0</v>
      </c>
      <c r="IY57" s="101">
        <v>0</v>
      </c>
      <c r="IZ57" s="101">
        <v>0</v>
      </c>
      <c r="JA57" s="79"/>
      <c r="JB57" s="79"/>
      <c r="JC57" s="79"/>
      <c r="JD57" s="79"/>
      <c r="JE57" s="79"/>
      <c r="JF57" s="79"/>
      <c r="JG57" s="79"/>
      <c r="JH57" s="38">
        <f t="shared" si="4"/>
        <v>0</v>
      </c>
      <c r="JI57" s="110">
        <v>0</v>
      </c>
      <c r="JJ57" s="32">
        <v>0</v>
      </c>
      <c r="JK57" s="32">
        <v>0</v>
      </c>
      <c r="JL57" s="32">
        <v>0</v>
      </c>
      <c r="JM57" s="32">
        <v>0</v>
      </c>
      <c r="JN57" s="79"/>
      <c r="JO57" s="79"/>
      <c r="JP57" s="79"/>
      <c r="JQ57" s="79"/>
      <c r="JR57" s="79"/>
      <c r="JS57" s="79"/>
      <c r="JT57" s="79"/>
      <c r="JU57" s="35">
        <f t="shared" si="5"/>
        <v>0</v>
      </c>
      <c r="JV57" s="40">
        <f t="shared" si="30"/>
        <v>0</v>
      </c>
      <c r="JW57" s="26"/>
      <c r="JX57" s="32">
        <v>0</v>
      </c>
      <c r="JY57" s="32">
        <v>0</v>
      </c>
      <c r="JZ57" s="32">
        <v>0</v>
      </c>
      <c r="KA57" s="32">
        <v>0</v>
      </c>
      <c r="KB57" s="32">
        <v>0</v>
      </c>
      <c r="KC57" s="79"/>
      <c r="KD57" s="79"/>
      <c r="KE57" s="79"/>
      <c r="KF57" s="79"/>
      <c r="KG57" s="79"/>
      <c r="KH57" s="79"/>
      <c r="KI57" s="79"/>
      <c r="KJ57" s="38">
        <f t="shared" si="6"/>
        <v>0</v>
      </c>
      <c r="KK57" s="32">
        <v>0</v>
      </c>
      <c r="KL57" s="32">
        <v>0</v>
      </c>
      <c r="KM57" s="32">
        <v>0</v>
      </c>
      <c r="KN57" s="32">
        <v>0</v>
      </c>
      <c r="KO57" s="32">
        <v>0</v>
      </c>
      <c r="KP57" s="79"/>
      <c r="KQ57" s="79"/>
      <c r="KR57" s="79"/>
      <c r="KS57" s="79"/>
      <c r="KT57" s="79"/>
      <c r="KU57" s="79"/>
      <c r="KV57" s="79"/>
      <c r="KW57" s="38">
        <f t="shared" si="7"/>
        <v>0</v>
      </c>
      <c r="KX57" s="36">
        <f t="shared" si="31"/>
        <v>0</v>
      </c>
      <c r="KY57" s="26"/>
      <c r="KZ57" s="101">
        <v>0</v>
      </c>
      <c r="LA57" s="101">
        <v>0</v>
      </c>
      <c r="LB57" s="101">
        <v>0</v>
      </c>
      <c r="LC57" s="101">
        <v>0</v>
      </c>
      <c r="LD57" s="101">
        <v>0</v>
      </c>
      <c r="LE57" s="79"/>
      <c r="LF57" s="79"/>
      <c r="LG57" s="79"/>
      <c r="LH57" s="79"/>
      <c r="LI57" s="79"/>
      <c r="LJ57" s="79"/>
      <c r="LK57" s="85"/>
      <c r="LL57" s="38">
        <f t="shared" si="32"/>
        <v>0</v>
      </c>
      <c r="LM57" s="26"/>
      <c r="LN57" s="71">
        <v>0</v>
      </c>
      <c r="LO57" s="71">
        <v>0</v>
      </c>
      <c r="LP57" s="71">
        <v>0</v>
      </c>
      <c r="LQ57" s="71">
        <v>0</v>
      </c>
      <c r="LR57" s="71">
        <v>0</v>
      </c>
      <c r="LS57" s="71"/>
      <c r="LT57" s="71"/>
      <c r="LU57" s="45"/>
      <c r="LV57" s="45"/>
      <c r="LW57" s="45"/>
      <c r="LX57" s="45"/>
      <c r="LY57" s="45"/>
      <c r="LZ57" s="38">
        <f t="shared" si="8"/>
        <v>0</v>
      </c>
      <c r="MA57" s="26"/>
      <c r="MB57" s="45">
        <v>0</v>
      </c>
      <c r="MC57" s="45">
        <v>0</v>
      </c>
      <c r="MD57" s="45">
        <v>0</v>
      </c>
      <c r="ME57" s="45">
        <v>0</v>
      </c>
      <c r="MF57" s="45">
        <v>0</v>
      </c>
      <c r="MG57" s="45"/>
      <c r="MH57" s="45"/>
      <c r="MI57" s="45"/>
      <c r="MJ57" s="45"/>
      <c r="MK57" s="45"/>
      <c r="ML57" s="45"/>
      <c r="MM57" s="45"/>
      <c r="MN57" s="38">
        <f t="shared" si="9"/>
        <v>0</v>
      </c>
      <c r="MO57" s="32">
        <v>0</v>
      </c>
      <c r="MP57" s="32">
        <v>0</v>
      </c>
      <c r="MQ57" s="32">
        <v>0</v>
      </c>
      <c r="MR57" s="32">
        <v>0</v>
      </c>
      <c r="MS57" s="32">
        <v>0</v>
      </c>
      <c r="MT57" s="79"/>
      <c r="MU57" s="79"/>
      <c r="MV57" s="79"/>
      <c r="MW57" s="79"/>
      <c r="MX57" s="79"/>
      <c r="MY57" s="79"/>
      <c r="MZ57" s="79"/>
      <c r="NA57" s="38">
        <f t="shared" si="10"/>
        <v>0</v>
      </c>
      <c r="NB57" s="36">
        <f t="shared" si="33"/>
        <v>0</v>
      </c>
      <c r="NC57" s="26"/>
      <c r="ND57" s="32">
        <v>0</v>
      </c>
      <c r="NE57" s="32">
        <v>0</v>
      </c>
      <c r="NF57" s="32">
        <v>0</v>
      </c>
      <c r="NG57" s="32">
        <v>0</v>
      </c>
      <c r="NH57" s="32">
        <v>0</v>
      </c>
      <c r="NI57" s="79"/>
      <c r="NJ57" s="79"/>
      <c r="NK57" s="79"/>
      <c r="NL57" s="79"/>
      <c r="NM57" s="79"/>
      <c r="NN57" s="79"/>
      <c r="NO57" s="79"/>
      <c r="NP57" s="118">
        <f t="shared" si="11"/>
        <v>0</v>
      </c>
      <c r="NQ57" s="36">
        <f t="shared" si="34"/>
        <v>0</v>
      </c>
      <c r="NR57" s="36">
        <f t="shared" si="35"/>
        <v>0</v>
      </c>
      <c r="NS57" s="36">
        <f t="shared" si="36"/>
        <v>0</v>
      </c>
      <c r="NT57" s="36">
        <f t="shared" si="37"/>
        <v>0</v>
      </c>
      <c r="NU57" s="18"/>
      <c r="NV57" s="18"/>
      <c r="NW57" s="18"/>
      <c r="NX57" s="19"/>
      <c r="NY57" s="19"/>
      <c r="NZ57" s="19"/>
      <c r="OA57" s="19"/>
      <c r="OB57" s="19"/>
      <c r="OC57" s="19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8"/>
      <c r="OR57" s="18"/>
      <c r="OS57" s="18"/>
      <c r="OT57" s="18"/>
      <c r="OU57" s="18"/>
      <c r="OV57" s="18"/>
      <c r="OW57" s="18"/>
      <c r="OX57" s="19"/>
      <c r="OY57" s="19"/>
      <c r="OZ57" s="19"/>
      <c r="PA57" s="19"/>
      <c r="PB57" s="19"/>
      <c r="PC57" s="19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8"/>
      <c r="PR57" s="18"/>
      <c r="PS57" s="18"/>
      <c r="PT57" s="18"/>
      <c r="PU57" s="18"/>
      <c r="PV57" s="18"/>
      <c r="PW57" s="18"/>
      <c r="PX57" s="19"/>
      <c r="PY57" s="19"/>
      <c r="PZ57" s="19"/>
      <c r="QA57" s="19"/>
      <c r="QB57" s="19"/>
      <c r="QC57" s="19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</row>
    <row r="58" spans="1:458" ht="50.1" customHeight="1" x14ac:dyDescent="0.25">
      <c r="A58" s="130" t="s">
        <v>53</v>
      </c>
      <c r="B58" s="6" t="s">
        <v>17</v>
      </c>
      <c r="C58" s="25"/>
      <c r="D58" s="44">
        <f>SUM(D10+D16+D22+D28+D34+D40+D46+D52)</f>
        <v>21314</v>
      </c>
      <c r="E58" s="44">
        <f t="shared" ref="E58:O58" si="303">SUM(E10+E16+E22+E28+E34+E40+E46+E52)</f>
        <v>17065</v>
      </c>
      <c r="F58" s="44">
        <f t="shared" si="303"/>
        <v>19566.666666666664</v>
      </c>
      <c r="G58" s="44">
        <f t="shared" si="303"/>
        <v>16358</v>
      </c>
      <c r="H58" s="44">
        <f t="shared" si="303"/>
        <v>15669</v>
      </c>
      <c r="I58" s="44">
        <f t="shared" si="303"/>
        <v>18531</v>
      </c>
      <c r="J58" s="44">
        <f t="shared" si="303"/>
        <v>19363</v>
      </c>
      <c r="K58" s="44">
        <f t="shared" si="303"/>
        <v>18151</v>
      </c>
      <c r="L58" s="44">
        <f t="shared" si="303"/>
        <v>18185</v>
      </c>
      <c r="M58" s="44">
        <f t="shared" si="303"/>
        <v>19735</v>
      </c>
      <c r="N58" s="44">
        <f t="shared" si="303"/>
        <v>16233</v>
      </c>
      <c r="O58" s="44">
        <f t="shared" si="303"/>
        <v>14403</v>
      </c>
      <c r="P58" s="38">
        <f>SUM(D58:O58)</f>
        <v>214573.66666666666</v>
      </c>
      <c r="Q58" s="44">
        <f>SUM(Q10+Q16+Q22+Q28+Q34+Q40+Q46+Q52)</f>
        <v>31274</v>
      </c>
      <c r="R58" s="44">
        <f t="shared" ref="R58:AB58" si="304">SUM(R10+R16+R22+R28+R34+R40+R46+R52)</f>
        <v>31250</v>
      </c>
      <c r="S58" s="44">
        <f t="shared" si="304"/>
        <v>34695</v>
      </c>
      <c r="T58" s="44">
        <f t="shared" si="304"/>
        <v>29960</v>
      </c>
      <c r="U58" s="44">
        <f t="shared" si="304"/>
        <v>21778</v>
      </c>
      <c r="V58" s="44">
        <f t="shared" si="304"/>
        <v>21349</v>
      </c>
      <c r="W58" s="44">
        <f t="shared" si="304"/>
        <v>18972</v>
      </c>
      <c r="X58" s="44">
        <f t="shared" si="304"/>
        <v>22905</v>
      </c>
      <c r="Y58" s="44">
        <f t="shared" si="304"/>
        <v>27031</v>
      </c>
      <c r="Z58" s="44">
        <f t="shared" si="304"/>
        <v>30489</v>
      </c>
      <c r="AA58" s="44">
        <f t="shared" si="304"/>
        <v>27533</v>
      </c>
      <c r="AB58" s="44">
        <f t="shared" si="304"/>
        <v>25969</v>
      </c>
      <c r="AC58" s="38">
        <f t="shared" si="38"/>
        <v>323205</v>
      </c>
      <c r="AD58" s="36">
        <f t="shared" si="13"/>
        <v>537778.66666666663</v>
      </c>
      <c r="AE58" s="26"/>
      <c r="AF58" s="48">
        <f>SUM(AF10+AF16+AF22+AF28+AF34+AF40+AF46+AF52)</f>
        <v>1143</v>
      </c>
      <c r="AG58" s="48">
        <f t="shared" ref="AG58:AQ58" si="305">SUM(AG10+AG16+AG22+AG28+AG34+AG40+AG46+AG52)</f>
        <v>1137</v>
      </c>
      <c r="AH58" s="48">
        <f t="shared" si="305"/>
        <v>1237</v>
      </c>
      <c r="AI58" s="48">
        <f t="shared" si="305"/>
        <v>1218</v>
      </c>
      <c r="AJ58" s="48">
        <f t="shared" si="305"/>
        <v>1208</v>
      </c>
      <c r="AK58" s="48">
        <f t="shared" si="305"/>
        <v>1199</v>
      </c>
      <c r="AL58" s="48">
        <f t="shared" si="305"/>
        <v>1178</v>
      </c>
      <c r="AM58" s="48">
        <f t="shared" si="305"/>
        <v>1100</v>
      </c>
      <c r="AN58" s="48">
        <f t="shared" si="305"/>
        <v>1180</v>
      </c>
      <c r="AO58" s="48">
        <f t="shared" si="305"/>
        <v>1152</v>
      </c>
      <c r="AP58" s="48">
        <f t="shared" si="305"/>
        <v>1149</v>
      </c>
      <c r="AQ58" s="48">
        <f t="shared" si="305"/>
        <v>1049</v>
      </c>
      <c r="AR58" s="38">
        <f>SUM(AF58:AQ58)</f>
        <v>13950</v>
      </c>
      <c r="AS58" s="44">
        <f>SUM(AS10+AS16+AS22+AS28+AS34+AS40+AS46+AS52)</f>
        <v>2656</v>
      </c>
      <c r="AT58" s="44">
        <f t="shared" ref="AT58:BD58" si="306">SUM(AT10+AT16+AT22+AT28+AT34+AT40+AT46+AT52)</f>
        <v>3347</v>
      </c>
      <c r="AU58" s="44">
        <f t="shared" si="306"/>
        <v>3636</v>
      </c>
      <c r="AV58" s="44">
        <f t="shared" si="306"/>
        <v>3548</v>
      </c>
      <c r="AW58" s="44">
        <f t="shared" si="306"/>
        <v>2620</v>
      </c>
      <c r="AX58" s="44">
        <f t="shared" si="306"/>
        <v>2257</v>
      </c>
      <c r="AY58" s="44">
        <f t="shared" si="306"/>
        <v>2201</v>
      </c>
      <c r="AZ58" s="44">
        <f t="shared" si="306"/>
        <v>2499</v>
      </c>
      <c r="BA58" s="44">
        <f t="shared" si="306"/>
        <v>3783</v>
      </c>
      <c r="BB58" s="44">
        <f t="shared" si="306"/>
        <v>3283</v>
      </c>
      <c r="BC58" s="44">
        <f t="shared" si="306"/>
        <v>2788</v>
      </c>
      <c r="BD58" s="44">
        <f t="shared" si="306"/>
        <v>2488</v>
      </c>
      <c r="BE58" s="38">
        <f>SUM(AS58:BD58)</f>
        <v>35106</v>
      </c>
      <c r="BF58" s="36">
        <f>SUM(AR58+BE58)</f>
        <v>49056</v>
      </c>
      <c r="BG58" s="26"/>
      <c r="BH58" s="44">
        <f>SUM(BH10+BH16+BH22+BH28+BH34+BH40+BH46+BH52)</f>
        <v>265</v>
      </c>
      <c r="BI58" s="44">
        <f t="shared" ref="BI58:BS58" si="307">SUM(BI10+BI16+BI22+BI28+BI34+BI40+BI46+BI52)</f>
        <v>298</v>
      </c>
      <c r="BJ58" s="44">
        <f t="shared" si="307"/>
        <v>271</v>
      </c>
      <c r="BK58" s="44">
        <f t="shared" si="307"/>
        <v>246</v>
      </c>
      <c r="BL58" s="44">
        <f t="shared" si="307"/>
        <v>214</v>
      </c>
      <c r="BM58" s="44">
        <f t="shared" si="307"/>
        <v>211</v>
      </c>
      <c r="BN58" s="44">
        <f t="shared" si="307"/>
        <v>204</v>
      </c>
      <c r="BO58" s="44">
        <f t="shared" si="307"/>
        <v>225</v>
      </c>
      <c r="BP58" s="44">
        <f t="shared" si="307"/>
        <v>289</v>
      </c>
      <c r="BQ58" s="44">
        <f t="shared" si="307"/>
        <v>244</v>
      </c>
      <c r="BR58" s="44">
        <f t="shared" si="307"/>
        <v>316</v>
      </c>
      <c r="BS58" s="44">
        <f t="shared" si="307"/>
        <v>281</v>
      </c>
      <c r="BT58" s="38">
        <f>SUM(BH58:BS58)</f>
        <v>3064</v>
      </c>
      <c r="BU58" s="44">
        <f>SUM(BU10+BU16+BU22+BU28+BU34+BU40+BU46+BU52)</f>
        <v>6413</v>
      </c>
      <c r="BV58" s="44">
        <f t="shared" ref="BV58:CF58" si="308">SUM(BV10+BV16+BV22+BV28+BV34+BV40+BV46+BV52)</f>
        <v>6367</v>
      </c>
      <c r="BW58" s="44">
        <f t="shared" si="308"/>
        <v>6646</v>
      </c>
      <c r="BX58" s="44">
        <f t="shared" si="308"/>
        <v>5427</v>
      </c>
      <c r="BY58" s="44">
        <f t="shared" si="308"/>
        <v>4969</v>
      </c>
      <c r="BZ58" s="44">
        <f t="shared" si="308"/>
        <v>4763</v>
      </c>
      <c r="CA58" s="44">
        <f t="shared" si="308"/>
        <v>5185</v>
      </c>
      <c r="CB58" s="44">
        <f t="shared" si="308"/>
        <v>5110</v>
      </c>
      <c r="CC58" s="44">
        <f t="shared" si="308"/>
        <v>5627</v>
      </c>
      <c r="CD58" s="44">
        <f t="shared" si="308"/>
        <v>6936</v>
      </c>
      <c r="CE58" s="44">
        <f t="shared" si="308"/>
        <v>6005.333333333333</v>
      </c>
      <c r="CF58" s="44">
        <f t="shared" si="308"/>
        <v>5285.484848484848</v>
      </c>
      <c r="CG58" s="38">
        <f t="shared" si="18"/>
        <v>68733.818181818177</v>
      </c>
      <c r="CH58" s="36">
        <f t="shared" si="19"/>
        <v>71797.818181818177</v>
      </c>
      <c r="CI58" s="26"/>
      <c r="CJ58" s="44">
        <f>SUM(CJ10+CJ16+CJ22+CJ28+CJ34+CJ40+CJ46+CJ52)</f>
        <v>3509</v>
      </c>
      <c r="CK58" s="44">
        <f t="shared" ref="CK58:CU58" si="309">SUM(CK10+CK16+CK22+CK28+CK34+CK40+CK46+CK52)</f>
        <v>3302</v>
      </c>
      <c r="CL58" s="44">
        <f t="shared" si="309"/>
        <v>3375</v>
      </c>
      <c r="CM58" s="44">
        <f t="shared" si="309"/>
        <v>3297</v>
      </c>
      <c r="CN58" s="44">
        <f t="shared" si="309"/>
        <v>3036</v>
      </c>
      <c r="CO58" s="44">
        <f t="shared" si="309"/>
        <v>2765</v>
      </c>
      <c r="CP58" s="44">
        <f t="shared" si="309"/>
        <v>2857</v>
      </c>
      <c r="CQ58" s="44">
        <f t="shared" si="309"/>
        <v>3595</v>
      </c>
      <c r="CR58" s="44">
        <f t="shared" si="309"/>
        <v>3335</v>
      </c>
      <c r="CS58" s="44">
        <f t="shared" si="309"/>
        <v>3332</v>
      </c>
      <c r="CT58" s="44">
        <f t="shared" si="309"/>
        <v>3153</v>
      </c>
      <c r="CU58" s="44">
        <f t="shared" si="309"/>
        <v>2812</v>
      </c>
      <c r="CV58" s="38">
        <f t="shared" si="20"/>
        <v>38368</v>
      </c>
      <c r="CW58" s="44">
        <f>SUM(CW10+CW16+CW22+CW28+CW34+CW40+CW46+CW52)</f>
        <v>12014</v>
      </c>
      <c r="CX58" s="44">
        <f t="shared" ref="CX58:DH58" si="310">SUM(CX10+CX16+CX22+CX28+CX34+CX40+CX46+CX52)</f>
        <v>10532</v>
      </c>
      <c r="CY58" s="44">
        <f t="shared" si="310"/>
        <v>11316</v>
      </c>
      <c r="CZ58" s="44">
        <f t="shared" si="310"/>
        <v>9611</v>
      </c>
      <c r="DA58" s="44">
        <f t="shared" si="310"/>
        <v>9925</v>
      </c>
      <c r="DB58" s="44">
        <f t="shared" si="310"/>
        <v>9505</v>
      </c>
      <c r="DC58" s="44">
        <f t="shared" si="310"/>
        <v>10509</v>
      </c>
      <c r="DD58" s="44">
        <f t="shared" si="310"/>
        <v>10541</v>
      </c>
      <c r="DE58" s="44">
        <f t="shared" si="310"/>
        <v>10650</v>
      </c>
      <c r="DF58" s="44">
        <f t="shared" si="310"/>
        <v>11656</v>
      </c>
      <c r="DG58" s="44">
        <f t="shared" si="310"/>
        <v>9375</v>
      </c>
      <c r="DH58" s="44">
        <f t="shared" si="310"/>
        <v>8963</v>
      </c>
      <c r="DI58" s="38">
        <f t="shared" si="21"/>
        <v>124597</v>
      </c>
      <c r="DJ58" s="36">
        <f>SUM(CV58+DI58)</f>
        <v>162965</v>
      </c>
      <c r="DK58" s="26"/>
      <c r="DL58" s="44">
        <f>SUM(DL10+DL16+DL22+DL28+DL34+DL40+DL46+DL52)</f>
        <v>6184</v>
      </c>
      <c r="DM58" s="44">
        <f t="shared" ref="DM58:DW58" si="311">SUM(DM10+DM16+DM22+DM28+DM34+DM40+DM46+DM52)</f>
        <v>5629</v>
      </c>
      <c r="DN58" s="44">
        <f t="shared" si="311"/>
        <v>5971</v>
      </c>
      <c r="DO58" s="44">
        <f t="shared" si="311"/>
        <v>5117</v>
      </c>
      <c r="DP58" s="44">
        <f t="shared" si="311"/>
        <v>4885</v>
      </c>
      <c r="DQ58" s="44">
        <f t="shared" si="311"/>
        <v>5289</v>
      </c>
      <c r="DR58" s="44">
        <f t="shared" si="311"/>
        <v>4894</v>
      </c>
      <c r="DS58" s="44">
        <f t="shared" si="311"/>
        <v>5027</v>
      </c>
      <c r="DT58" s="44">
        <f t="shared" si="311"/>
        <v>5062</v>
      </c>
      <c r="DU58" s="44">
        <f t="shared" si="311"/>
        <v>5157</v>
      </c>
      <c r="DV58" s="44">
        <f t="shared" si="311"/>
        <v>5118</v>
      </c>
      <c r="DW58" s="44">
        <f t="shared" si="311"/>
        <v>4705</v>
      </c>
      <c r="DX58" s="38">
        <f t="shared" si="0"/>
        <v>63038</v>
      </c>
      <c r="DY58" s="44">
        <f>SUM(DY10+DY16+DY22+DY28+DY34+DY40+DY46+DY52)</f>
        <v>13998</v>
      </c>
      <c r="DZ58" s="44">
        <f t="shared" ref="DZ58:EJ58" si="312">SUM(DZ10+DZ16+DZ22+DZ28+DZ34+DZ40+DZ46+DZ52)</f>
        <v>13364</v>
      </c>
      <c r="EA58" s="44">
        <f t="shared" si="312"/>
        <v>12903</v>
      </c>
      <c r="EB58" s="44">
        <f t="shared" si="312"/>
        <v>12199</v>
      </c>
      <c r="EC58" s="44">
        <f t="shared" si="312"/>
        <v>10362</v>
      </c>
      <c r="ED58" s="44">
        <f t="shared" si="312"/>
        <v>10681</v>
      </c>
      <c r="EE58" s="44">
        <f t="shared" si="312"/>
        <v>11485</v>
      </c>
      <c r="EF58" s="44">
        <f t="shared" si="312"/>
        <v>10889</v>
      </c>
      <c r="EG58" s="44">
        <f t="shared" si="312"/>
        <v>10402</v>
      </c>
      <c r="EH58" s="44">
        <f t="shared" si="312"/>
        <v>11761</v>
      </c>
      <c r="EI58" s="44">
        <f t="shared" si="312"/>
        <v>10618</v>
      </c>
      <c r="EJ58" s="44">
        <f t="shared" si="312"/>
        <v>9361</v>
      </c>
      <c r="EK58" s="38">
        <f t="shared" si="23"/>
        <v>138023</v>
      </c>
      <c r="EL58" s="36">
        <f t="shared" si="1"/>
        <v>201061</v>
      </c>
      <c r="EM58" s="26"/>
      <c r="EN58" s="44">
        <f>SUM(EN10+EN16+EN22+EN28+EN34+EN40+EN46+EN52)</f>
        <v>16097</v>
      </c>
      <c r="EO58" s="44">
        <f t="shared" ref="EO58:EY58" si="313">SUM(EO10+EO16+EO22+EO28+EO34+EO40+EO46+EO52)</f>
        <v>13738</v>
      </c>
      <c r="EP58" s="44">
        <f t="shared" si="313"/>
        <v>15988</v>
      </c>
      <c r="EQ58" s="44">
        <f t="shared" si="313"/>
        <v>12491</v>
      </c>
      <c r="ER58" s="44">
        <f t="shared" si="313"/>
        <v>10840</v>
      </c>
      <c r="ES58" s="44">
        <f t="shared" si="313"/>
        <v>11764</v>
      </c>
      <c r="ET58" s="44">
        <f t="shared" si="313"/>
        <v>13208</v>
      </c>
      <c r="EU58" s="44">
        <f t="shared" si="313"/>
        <v>12226</v>
      </c>
      <c r="EV58" s="44">
        <f t="shared" si="313"/>
        <v>12490</v>
      </c>
      <c r="EW58" s="44">
        <f t="shared" si="313"/>
        <v>13902</v>
      </c>
      <c r="EX58" s="44">
        <f t="shared" si="313"/>
        <v>12787</v>
      </c>
      <c r="EY58" s="44">
        <f t="shared" si="313"/>
        <v>11403</v>
      </c>
      <c r="EZ58" s="38">
        <f t="shared" si="24"/>
        <v>156934</v>
      </c>
      <c r="FA58" s="26"/>
      <c r="FB58" s="44">
        <f>SUM(FB10+FB16+FB22+FB28+FB34+FB40+FB46+FB52)</f>
        <v>26693</v>
      </c>
      <c r="FC58" s="44">
        <f t="shared" ref="FC58:FM58" si="314">SUM(FC10+FC16+FC22+FC28+FC34+FC40+FC46+FC52)</f>
        <v>21765</v>
      </c>
      <c r="FD58" s="44">
        <f t="shared" si="314"/>
        <v>21025</v>
      </c>
      <c r="FE58" s="44">
        <f t="shared" si="314"/>
        <v>18415</v>
      </c>
      <c r="FF58" s="44">
        <f t="shared" si="314"/>
        <v>19842</v>
      </c>
      <c r="FG58" s="44">
        <f t="shared" si="314"/>
        <v>18962</v>
      </c>
      <c r="FH58" s="44">
        <f t="shared" si="314"/>
        <v>23038</v>
      </c>
      <c r="FI58" s="44">
        <f t="shared" si="314"/>
        <v>23855</v>
      </c>
      <c r="FJ58" s="44">
        <f t="shared" si="314"/>
        <v>21057</v>
      </c>
      <c r="FK58" s="44">
        <f t="shared" si="314"/>
        <v>23996</v>
      </c>
      <c r="FL58" s="44">
        <f t="shared" si="314"/>
        <v>19607</v>
      </c>
      <c r="FM58" s="44">
        <f t="shared" si="314"/>
        <v>20187</v>
      </c>
      <c r="FN58" s="38">
        <f t="shared" si="25"/>
        <v>258442</v>
      </c>
      <c r="FO58" s="26"/>
      <c r="FP58" s="44">
        <f>SUM(FP10+FP16+FP22+FP28+FP34+FP40+FP46+FP52)</f>
        <v>7702</v>
      </c>
      <c r="FQ58" s="44">
        <f t="shared" ref="FQ58:GA58" si="315">SUM(FQ10+FQ16+FQ22+FQ28+FQ34+FQ40+FQ46+FQ52)</f>
        <v>6284</v>
      </c>
      <c r="FR58" s="44">
        <f t="shared" si="315"/>
        <v>6709</v>
      </c>
      <c r="FS58" s="44">
        <f t="shared" si="315"/>
        <v>5819</v>
      </c>
      <c r="FT58" s="44">
        <f t="shared" si="315"/>
        <v>5894</v>
      </c>
      <c r="FU58" s="44">
        <f t="shared" si="315"/>
        <v>5636</v>
      </c>
      <c r="FV58" s="44">
        <f t="shared" si="315"/>
        <v>6153</v>
      </c>
      <c r="FW58" s="44">
        <f t="shared" si="315"/>
        <v>6217</v>
      </c>
      <c r="FX58" s="44">
        <f t="shared" si="315"/>
        <v>6492</v>
      </c>
      <c r="FY58" s="44">
        <f t="shared" si="315"/>
        <v>6672</v>
      </c>
      <c r="FZ58" s="44">
        <f t="shared" si="315"/>
        <v>6216</v>
      </c>
      <c r="GA58" s="44">
        <f t="shared" si="315"/>
        <v>5697</v>
      </c>
      <c r="GB58" s="38">
        <f t="shared" si="26"/>
        <v>75491</v>
      </c>
      <c r="GC58" s="26"/>
      <c r="GD58" s="44">
        <f>SUM(GD10+GD16+GD22+GD28+GD34+GD40+GD46+GD52)</f>
        <v>14265</v>
      </c>
      <c r="GE58" s="44">
        <f t="shared" ref="GE58:GO58" si="316">SUM(GE10+GE16+GE22+GE28+GE34+GE40+GE46+GE52)</f>
        <v>12863</v>
      </c>
      <c r="GF58" s="44">
        <f t="shared" si="316"/>
        <v>12322</v>
      </c>
      <c r="GG58" s="44">
        <f t="shared" si="316"/>
        <v>11510</v>
      </c>
      <c r="GH58" s="44">
        <f t="shared" si="316"/>
        <v>10772</v>
      </c>
      <c r="GI58" s="44">
        <f t="shared" si="316"/>
        <v>10361</v>
      </c>
      <c r="GJ58" s="44">
        <f t="shared" si="316"/>
        <v>11245</v>
      </c>
      <c r="GK58" s="44">
        <f t="shared" si="316"/>
        <v>11629</v>
      </c>
      <c r="GL58" s="44">
        <f t="shared" si="316"/>
        <v>10756</v>
      </c>
      <c r="GM58" s="44">
        <f t="shared" si="316"/>
        <v>12421</v>
      </c>
      <c r="GN58" s="44">
        <f t="shared" si="316"/>
        <v>12327</v>
      </c>
      <c r="GO58" s="44">
        <f t="shared" si="316"/>
        <v>11798</v>
      </c>
      <c r="GP58" s="38">
        <f t="shared" si="27"/>
        <v>142269</v>
      </c>
      <c r="GQ58" s="26"/>
      <c r="GR58" s="44">
        <f>SUM(GR10+GR16+GR22+GR28+GR34+GR40+GR46+GR52)</f>
        <v>5074</v>
      </c>
      <c r="GS58" s="44">
        <f t="shared" ref="GS58:HC58" si="317">SUM(GS10+GS16+GS22+GS28+GS34+GS40+GS46+GS52)</f>
        <v>4559</v>
      </c>
      <c r="GT58" s="44">
        <f t="shared" si="317"/>
        <v>4669</v>
      </c>
      <c r="GU58" s="44">
        <f t="shared" si="317"/>
        <v>4405</v>
      </c>
      <c r="GV58" s="44">
        <f t="shared" si="317"/>
        <v>4067</v>
      </c>
      <c r="GW58" s="44">
        <f t="shared" si="317"/>
        <v>4348</v>
      </c>
      <c r="GX58" s="44">
        <f t="shared" si="317"/>
        <v>4972</v>
      </c>
      <c r="GY58" s="44">
        <f t="shared" si="317"/>
        <v>4624</v>
      </c>
      <c r="GZ58" s="44">
        <f t="shared" si="317"/>
        <v>4820</v>
      </c>
      <c r="HA58" s="44">
        <f t="shared" si="317"/>
        <v>5408</v>
      </c>
      <c r="HB58" s="44">
        <f t="shared" si="317"/>
        <v>4624</v>
      </c>
      <c r="HC58" s="44">
        <f t="shared" si="317"/>
        <v>4524</v>
      </c>
      <c r="HD58" s="38">
        <f t="shared" si="28"/>
        <v>56094</v>
      </c>
      <c r="HE58" s="26"/>
      <c r="HF58" s="44">
        <f>SUM(HF10+HF16+HF22+HF28+HF34+HF40+HF46+HF52)</f>
        <v>22282</v>
      </c>
      <c r="HG58" s="44">
        <f t="shared" ref="HG58:HQ58" si="318">SUM(HG10+HG16+HG22+HG28+HG34+HG40+HG46+HG52)</f>
        <v>21738</v>
      </c>
      <c r="HH58" s="44">
        <f t="shared" si="318"/>
        <v>20183</v>
      </c>
      <c r="HI58" s="44">
        <f t="shared" si="318"/>
        <v>20145</v>
      </c>
      <c r="HJ58" s="44">
        <f t="shared" si="318"/>
        <v>18604</v>
      </c>
      <c r="HK58" s="44">
        <f t="shared" si="318"/>
        <v>18136</v>
      </c>
      <c r="HL58" s="44">
        <f t="shared" si="318"/>
        <v>20539</v>
      </c>
      <c r="HM58" s="44">
        <f t="shared" si="318"/>
        <v>21175</v>
      </c>
      <c r="HN58" s="44">
        <f t="shared" si="318"/>
        <v>21286</v>
      </c>
      <c r="HO58" s="44">
        <f t="shared" si="318"/>
        <v>21518</v>
      </c>
      <c r="HP58" s="44">
        <f t="shared" si="318"/>
        <v>21464</v>
      </c>
      <c r="HQ58" s="44">
        <f t="shared" si="318"/>
        <v>18637</v>
      </c>
      <c r="HR58" s="38">
        <f t="shared" si="29"/>
        <v>245707</v>
      </c>
      <c r="HS58" s="26"/>
      <c r="HT58" s="44">
        <f>SUM(HT10+HT16+HT22+HT28+HT34+HT40+HT46+HT52)</f>
        <v>2043</v>
      </c>
      <c r="HU58" s="44">
        <f t="shared" ref="HU58:IE58" si="319">SUM(HU10+HU16+HU22+HU28+HU34+HU40+HU46+HU52)</f>
        <v>1977</v>
      </c>
      <c r="HV58" s="44">
        <f t="shared" si="319"/>
        <v>1943</v>
      </c>
      <c r="HW58" s="44">
        <f t="shared" si="319"/>
        <v>2028</v>
      </c>
      <c r="HX58" s="44">
        <f t="shared" si="319"/>
        <v>1907</v>
      </c>
      <c r="HY58" s="44">
        <f t="shared" si="319"/>
        <v>1843</v>
      </c>
      <c r="HZ58" s="44">
        <f t="shared" si="319"/>
        <v>1860</v>
      </c>
      <c r="IA58" s="44">
        <f t="shared" si="319"/>
        <v>1882</v>
      </c>
      <c r="IB58" s="44">
        <f t="shared" si="319"/>
        <v>2032</v>
      </c>
      <c r="IC58" s="44">
        <f t="shared" si="319"/>
        <v>1948</v>
      </c>
      <c r="ID58" s="44">
        <f t="shared" si="319"/>
        <v>1709</v>
      </c>
      <c r="IE58" s="44">
        <f t="shared" si="319"/>
        <v>1509</v>
      </c>
      <c r="IF58" s="38">
        <f>SUM(HT58:IE58)</f>
        <v>22681</v>
      </c>
      <c r="IG58" s="44">
        <f>SUM(IG10+IG16+IG22+IG28+IG34+IG40+IG46+IG52)</f>
        <v>9668</v>
      </c>
      <c r="IH58" s="44">
        <f t="shared" ref="IH58:IR58" si="320">SUM(IH10+IH16+IH22+IH28+IH34+IH40+IH46+IH52)</f>
        <v>8433</v>
      </c>
      <c r="II58" s="44">
        <f t="shared" si="320"/>
        <v>8902</v>
      </c>
      <c r="IJ58" s="44">
        <f t="shared" si="320"/>
        <v>7794</v>
      </c>
      <c r="IK58" s="44">
        <f t="shared" si="320"/>
        <v>7557</v>
      </c>
      <c r="IL58" s="44">
        <f t="shared" si="320"/>
        <v>8057</v>
      </c>
      <c r="IM58" s="44">
        <f t="shared" si="320"/>
        <v>8720</v>
      </c>
      <c r="IN58" s="44">
        <f t="shared" si="320"/>
        <v>8998</v>
      </c>
      <c r="IO58" s="44">
        <f t="shared" si="320"/>
        <v>8850</v>
      </c>
      <c r="IP58" s="44">
        <f t="shared" si="320"/>
        <v>9532</v>
      </c>
      <c r="IQ58" s="44">
        <f t="shared" si="320"/>
        <v>7906</v>
      </c>
      <c r="IR58" s="44">
        <f t="shared" si="320"/>
        <v>7043</v>
      </c>
      <c r="IS58" s="38">
        <f>SUM(IG58:IR58)</f>
        <v>101460</v>
      </c>
      <c r="IT58" s="36">
        <f t="shared" si="39"/>
        <v>124141</v>
      </c>
      <c r="IU58" s="26"/>
      <c r="IV58" s="44">
        <f>SUM(IV10+IV16+IV22+IV28+IV34+IV40+IV46+IV52)</f>
        <v>2796</v>
      </c>
      <c r="IW58" s="44">
        <f t="shared" ref="IW58:JG58" si="321">SUM(IW10+IW16+IW22+IW28+IW34+IW40+IW46+IW52)</f>
        <v>2743</v>
      </c>
      <c r="IX58" s="44">
        <f t="shared" si="321"/>
        <v>2922</v>
      </c>
      <c r="IY58" s="44">
        <f t="shared" si="321"/>
        <v>2948</v>
      </c>
      <c r="IZ58" s="44">
        <f t="shared" si="321"/>
        <v>2865</v>
      </c>
      <c r="JA58" s="44">
        <f t="shared" si="321"/>
        <v>2660</v>
      </c>
      <c r="JB58" s="44">
        <f t="shared" si="321"/>
        <v>2389</v>
      </c>
      <c r="JC58" s="44">
        <f t="shared" si="321"/>
        <v>2530</v>
      </c>
      <c r="JD58" s="44">
        <f t="shared" si="321"/>
        <v>2781</v>
      </c>
      <c r="JE58" s="44">
        <f t="shared" si="321"/>
        <v>2787</v>
      </c>
      <c r="JF58" s="44">
        <f t="shared" si="321"/>
        <v>2605</v>
      </c>
      <c r="JG58" s="44">
        <f t="shared" si="321"/>
        <v>2655</v>
      </c>
      <c r="JH58" s="38">
        <f>SUM(IV58:JG58)</f>
        <v>32681</v>
      </c>
      <c r="JI58" s="111">
        <f>SUM(JI10+JI16+JI22+JI28+JI34+JI40+JI46+JI52)</f>
        <v>25122</v>
      </c>
      <c r="JJ58" s="7">
        <f t="shared" ref="JJ58:JT58" si="322">SUM(JJ10+JJ16+JJ22+JJ28+JJ34+JJ40+JJ46+JJ52)</f>
        <v>21958.199999999997</v>
      </c>
      <c r="JK58" s="7">
        <f t="shared" si="322"/>
        <v>19526.599999999999</v>
      </c>
      <c r="JL58" s="7">
        <f t="shared" si="322"/>
        <v>17342.599999999999</v>
      </c>
      <c r="JM58" s="7">
        <f t="shared" si="322"/>
        <v>17121.2</v>
      </c>
      <c r="JN58" s="7">
        <f t="shared" si="322"/>
        <v>17846.800000000003</v>
      </c>
      <c r="JO58" s="7">
        <f t="shared" si="322"/>
        <v>18581.2</v>
      </c>
      <c r="JP58" s="7">
        <f t="shared" si="322"/>
        <v>19113.8</v>
      </c>
      <c r="JQ58" s="7">
        <f t="shared" si="322"/>
        <v>19197</v>
      </c>
      <c r="JR58" s="7">
        <f t="shared" si="322"/>
        <v>19839.8</v>
      </c>
      <c r="JS58" s="7">
        <f t="shared" si="322"/>
        <v>18544.600000000002</v>
      </c>
      <c r="JT58" s="7">
        <f t="shared" si="322"/>
        <v>17923.200000000004</v>
      </c>
      <c r="JU58" s="90">
        <f t="shared" si="5"/>
        <v>232117</v>
      </c>
      <c r="JV58" s="40">
        <f t="shared" si="30"/>
        <v>264798</v>
      </c>
      <c r="JW58" s="26"/>
      <c r="JX58" s="44">
        <f>SUM(JX10+JX16+JX22+JX28+JX34+JX40+JX46+JX52)</f>
        <v>1845</v>
      </c>
      <c r="JY58" s="44">
        <f t="shared" ref="JY58:KI58" si="323">SUM(JY10+JY16+JY22+JY28+JY34+JY40+JY46+JY52)</f>
        <v>1657</v>
      </c>
      <c r="JZ58" s="44">
        <f t="shared" si="323"/>
        <v>1927</v>
      </c>
      <c r="KA58" s="44">
        <f t="shared" si="323"/>
        <v>1731</v>
      </c>
      <c r="KB58" s="44">
        <f t="shared" si="323"/>
        <v>1607</v>
      </c>
      <c r="KC58" s="44">
        <f t="shared" si="323"/>
        <v>1489</v>
      </c>
      <c r="KD58" s="44">
        <f t="shared" si="323"/>
        <v>1688</v>
      </c>
      <c r="KE58" s="44">
        <f t="shared" si="323"/>
        <v>1752</v>
      </c>
      <c r="KF58" s="44">
        <f t="shared" si="323"/>
        <v>1815</v>
      </c>
      <c r="KG58" s="44">
        <f t="shared" si="323"/>
        <v>1845</v>
      </c>
      <c r="KH58" s="44">
        <f t="shared" si="323"/>
        <v>1838</v>
      </c>
      <c r="KI58" s="44">
        <f t="shared" si="323"/>
        <v>1704</v>
      </c>
      <c r="KJ58" s="38">
        <f>SUM(JX58:KI58)</f>
        <v>20898</v>
      </c>
      <c r="KK58" s="44">
        <f>SUM(KK10+KK16+KK22+KK28+KK34+KK40+KK46+KK52)</f>
        <v>9852</v>
      </c>
      <c r="KL58" s="44">
        <f t="shared" ref="KL58:KV58" si="324">SUM(KL10+KL16+KL22+KL28+KL34+KL40+KL46+KL52)</f>
        <v>9246</v>
      </c>
      <c r="KM58" s="44">
        <f t="shared" si="324"/>
        <v>11274</v>
      </c>
      <c r="KN58" s="44">
        <f t="shared" si="324"/>
        <v>9820</v>
      </c>
      <c r="KO58" s="44">
        <f t="shared" si="324"/>
        <v>8869</v>
      </c>
      <c r="KP58" s="44">
        <f t="shared" si="324"/>
        <v>7050</v>
      </c>
      <c r="KQ58" s="44">
        <f t="shared" si="324"/>
        <v>7129</v>
      </c>
      <c r="KR58" s="44">
        <f t="shared" si="324"/>
        <v>7696</v>
      </c>
      <c r="KS58" s="44">
        <f t="shared" si="324"/>
        <v>8360</v>
      </c>
      <c r="KT58" s="44">
        <f t="shared" si="324"/>
        <v>9306</v>
      </c>
      <c r="KU58" s="44">
        <f t="shared" si="324"/>
        <v>7975</v>
      </c>
      <c r="KV58" s="44">
        <f t="shared" si="324"/>
        <v>6170</v>
      </c>
      <c r="KW58" s="38">
        <f>SUM(KK58:KV58)</f>
        <v>102747</v>
      </c>
      <c r="KX58" s="36">
        <f t="shared" si="31"/>
        <v>123645</v>
      </c>
      <c r="KY58" s="26"/>
      <c r="KZ58" s="44">
        <f>SUM(KZ10+KZ16+KZ22+KZ28+KZ34+KZ40+KZ46+KZ52)</f>
        <v>3917</v>
      </c>
      <c r="LA58" s="44">
        <f t="shared" ref="LA58:LK58" si="325">SUM(LA10+LA16+LA22+LA28+LA34+LA40+LA46+LA52)</f>
        <v>3624</v>
      </c>
      <c r="LB58" s="44">
        <f t="shared" si="325"/>
        <v>3984</v>
      </c>
      <c r="LC58" s="44">
        <f t="shared" si="325"/>
        <v>4088</v>
      </c>
      <c r="LD58" s="44">
        <f t="shared" si="325"/>
        <v>4126</v>
      </c>
      <c r="LE58" s="44">
        <f t="shared" si="325"/>
        <v>3501</v>
      </c>
      <c r="LF58" s="44">
        <f t="shared" si="325"/>
        <v>3432</v>
      </c>
      <c r="LG58" s="44">
        <f t="shared" si="325"/>
        <v>3603</v>
      </c>
      <c r="LH58" s="44">
        <f t="shared" si="325"/>
        <v>4084</v>
      </c>
      <c r="LI58" s="44">
        <f t="shared" si="325"/>
        <v>4097</v>
      </c>
      <c r="LJ58" s="44">
        <f t="shared" si="325"/>
        <v>3683</v>
      </c>
      <c r="LK58" s="44">
        <f t="shared" si="325"/>
        <v>3569</v>
      </c>
      <c r="LL58" s="38">
        <f t="shared" si="32"/>
        <v>45708</v>
      </c>
      <c r="LM58" s="26"/>
      <c r="LN58" s="44">
        <f>SUM(LN10+LN16+LN22+LN28+LN34+LN40+LN46+LN52)</f>
        <v>36417</v>
      </c>
      <c r="LO58" s="44">
        <f t="shared" ref="LO58:LY58" si="326">SUM(LO10+LO16+LO22+LO28+LO34+LO40+LO46+LO52)</f>
        <v>35893</v>
      </c>
      <c r="LP58" s="44">
        <f t="shared" si="326"/>
        <v>34723</v>
      </c>
      <c r="LQ58" s="44">
        <f t="shared" si="326"/>
        <v>34567</v>
      </c>
      <c r="LR58" s="44">
        <f t="shared" si="326"/>
        <v>31596</v>
      </c>
      <c r="LS58" s="44">
        <f t="shared" si="326"/>
        <v>33749</v>
      </c>
      <c r="LT58" s="44">
        <f t="shared" si="326"/>
        <v>35224</v>
      </c>
      <c r="LU58" s="44">
        <f t="shared" si="326"/>
        <v>31874</v>
      </c>
      <c r="LV58" s="44">
        <f t="shared" si="326"/>
        <v>30040</v>
      </c>
      <c r="LW58" s="44">
        <f t="shared" si="326"/>
        <v>35021</v>
      </c>
      <c r="LX58" s="44">
        <f t="shared" si="326"/>
        <v>30125</v>
      </c>
      <c r="LY58" s="44">
        <f t="shared" si="326"/>
        <v>30682</v>
      </c>
      <c r="LZ58" s="38">
        <f>SUM(LN58:LY58)</f>
        <v>399911</v>
      </c>
      <c r="MA58" s="26"/>
      <c r="MB58" s="44">
        <f>SUM(MB10+MB16+MB22+MB28+MB34+MB40+MB46+MB52)</f>
        <v>36514</v>
      </c>
      <c r="MC58" s="44">
        <f t="shared" ref="MC58:MM58" si="327">SUM(MC10+MC16+MC22+MC28+MC34+MC40+MC46+MC52)</f>
        <v>30600</v>
      </c>
      <c r="MD58" s="44">
        <f t="shared" si="327"/>
        <v>32451</v>
      </c>
      <c r="ME58" s="44">
        <f t="shared" si="327"/>
        <v>30584</v>
      </c>
      <c r="MF58" s="44">
        <f t="shared" si="327"/>
        <v>29748</v>
      </c>
      <c r="MG58" s="44">
        <f t="shared" si="327"/>
        <v>24247</v>
      </c>
      <c r="MH58" s="44">
        <f t="shared" si="327"/>
        <v>29027</v>
      </c>
      <c r="MI58" s="44">
        <f t="shared" si="327"/>
        <v>28599</v>
      </c>
      <c r="MJ58" s="44">
        <f t="shared" si="327"/>
        <v>28505</v>
      </c>
      <c r="MK58" s="44">
        <f t="shared" si="327"/>
        <v>30925</v>
      </c>
      <c r="ML58" s="44">
        <f t="shared" si="327"/>
        <v>27161</v>
      </c>
      <c r="MM58" s="44">
        <f t="shared" si="327"/>
        <v>24995</v>
      </c>
      <c r="MN58" s="38">
        <f>SUM(MB58:MM58)</f>
        <v>353356</v>
      </c>
      <c r="MO58" s="44">
        <f>SUM(MO10+MO16+MO22+MO28+MO34+MO40+MO46+MO52)</f>
        <v>46909</v>
      </c>
      <c r="MP58" s="44">
        <f t="shared" ref="MP58:MZ58" si="328">SUM(MP10+MP16+MP22+MP28+MP34+MP40+MP46+MP52)</f>
        <v>36752</v>
      </c>
      <c r="MQ58" s="44">
        <f t="shared" si="328"/>
        <v>37380</v>
      </c>
      <c r="MR58" s="44">
        <f t="shared" si="328"/>
        <v>31851</v>
      </c>
      <c r="MS58" s="44">
        <f t="shared" si="328"/>
        <v>34394</v>
      </c>
      <c r="MT58" s="44">
        <f t="shared" si="328"/>
        <v>32825</v>
      </c>
      <c r="MU58" s="44">
        <f t="shared" si="328"/>
        <v>33597</v>
      </c>
      <c r="MV58" s="44">
        <f t="shared" si="328"/>
        <v>36900</v>
      </c>
      <c r="MW58" s="44">
        <f t="shared" si="328"/>
        <v>36568</v>
      </c>
      <c r="MX58" s="44">
        <f t="shared" si="328"/>
        <v>41974</v>
      </c>
      <c r="MY58" s="44">
        <f t="shared" si="328"/>
        <v>36843</v>
      </c>
      <c r="MZ58" s="44">
        <f t="shared" si="328"/>
        <v>30687</v>
      </c>
      <c r="NA58" s="38">
        <f>SUM(MO58:MZ58)</f>
        <v>436680</v>
      </c>
      <c r="NB58" s="36">
        <f t="shared" si="33"/>
        <v>790036</v>
      </c>
      <c r="NC58" s="26"/>
      <c r="ND58" s="44">
        <f>SUM(ND10+ND16+ND22+ND28+ND34+ND40+ND46+ND52)</f>
        <v>8170</v>
      </c>
      <c r="NE58" s="44">
        <f t="shared" ref="NE58:NO58" si="329">SUM(NE10+NE16+NE22+NE28+NE34+NE40+NE46+NE52)</f>
        <v>7801</v>
      </c>
      <c r="NF58" s="44">
        <f t="shared" si="329"/>
        <v>7410</v>
      </c>
      <c r="NG58" s="44">
        <f t="shared" si="329"/>
        <v>6470</v>
      </c>
      <c r="NH58" s="44">
        <f t="shared" si="329"/>
        <v>5592</v>
      </c>
      <c r="NI58" s="44">
        <f t="shared" si="329"/>
        <v>5323</v>
      </c>
      <c r="NJ58" s="44">
        <f t="shared" si="329"/>
        <v>6290</v>
      </c>
      <c r="NK58" s="44">
        <f t="shared" si="329"/>
        <v>5894</v>
      </c>
      <c r="NL58" s="44">
        <f t="shared" si="329"/>
        <v>5064</v>
      </c>
      <c r="NM58" s="44">
        <f t="shared" si="329"/>
        <v>6265</v>
      </c>
      <c r="NN58" s="44">
        <f t="shared" si="329"/>
        <v>5016</v>
      </c>
      <c r="NO58" s="44">
        <f t="shared" si="329"/>
        <v>5489</v>
      </c>
      <c r="NP58" s="118">
        <f>SUM(ND58:NO58)</f>
        <v>74784</v>
      </c>
      <c r="NQ58" s="36">
        <f t="shared" si="34"/>
        <v>432666.66666666663</v>
      </c>
      <c r="NR58" s="36">
        <f t="shared" si="35"/>
        <v>2355949.8181818184</v>
      </c>
      <c r="NS58" s="36">
        <f t="shared" si="36"/>
        <v>992002</v>
      </c>
      <c r="NT58" s="36">
        <f t="shared" si="37"/>
        <v>3780618.4848484849</v>
      </c>
      <c r="NU58" s="21"/>
      <c r="NV58" s="21"/>
      <c r="NW58" s="21"/>
      <c r="NX58" s="21"/>
      <c r="NY58" s="21"/>
      <c r="NZ58" s="21"/>
      <c r="OA58" s="21"/>
      <c r="OB58" s="21"/>
      <c r="OC58" s="21"/>
      <c r="OD58" s="21"/>
      <c r="OE58" s="21"/>
      <c r="OF58" s="21"/>
      <c r="OG58" s="21"/>
      <c r="OH58" s="21"/>
      <c r="OI58" s="21"/>
      <c r="OJ58" s="21"/>
      <c r="OK58" s="21"/>
      <c r="OL58" s="21"/>
      <c r="OM58" s="21"/>
      <c r="ON58" s="21"/>
      <c r="OO58" s="21"/>
      <c r="OP58" s="21"/>
      <c r="OQ58" s="21"/>
      <c r="OR58" s="21"/>
      <c r="OS58" s="21"/>
      <c r="OT58" s="21"/>
      <c r="OU58" s="21"/>
      <c r="OV58" s="21"/>
      <c r="OW58" s="21"/>
      <c r="OX58" s="21"/>
      <c r="OY58" s="21"/>
      <c r="OZ58" s="21"/>
      <c r="PA58" s="21"/>
      <c r="PB58" s="21"/>
      <c r="PC58" s="21"/>
      <c r="PD58" s="21"/>
      <c r="PE58" s="21"/>
      <c r="PF58" s="21"/>
      <c r="PG58" s="21"/>
      <c r="PH58" s="21"/>
      <c r="PI58" s="21"/>
      <c r="PJ58" s="21"/>
      <c r="PK58" s="21"/>
      <c r="PL58" s="21"/>
      <c r="PM58" s="21"/>
      <c r="PN58" s="21"/>
      <c r="PO58" s="21"/>
      <c r="PP58" s="21"/>
      <c r="PQ58" s="21"/>
      <c r="PR58" s="21"/>
      <c r="PS58" s="21"/>
      <c r="PT58" s="21"/>
      <c r="PU58" s="21"/>
      <c r="PV58" s="21"/>
      <c r="PW58" s="21"/>
      <c r="PX58" s="21"/>
      <c r="PY58" s="21"/>
      <c r="PZ58" s="21"/>
      <c r="QA58" s="21"/>
      <c r="QB58" s="21"/>
      <c r="QC58" s="21"/>
      <c r="QD58" s="21"/>
      <c r="QE58" s="21"/>
      <c r="QF58" s="21"/>
      <c r="QG58" s="21"/>
      <c r="QH58" s="21"/>
      <c r="QI58" s="21"/>
      <c r="QJ58" s="21"/>
      <c r="QK58" s="21"/>
      <c r="QL58" s="21"/>
      <c r="QM58" s="21"/>
      <c r="QN58" s="21"/>
      <c r="QO58" s="21"/>
      <c r="QP58" s="21"/>
    </row>
    <row r="59" spans="1:458" ht="50.1" customHeight="1" x14ac:dyDescent="0.25">
      <c r="A59" s="131"/>
      <c r="B59" s="6" t="s">
        <v>18</v>
      </c>
      <c r="C59" s="25"/>
      <c r="D59" s="44">
        <f t="shared" ref="D59:O59" si="330">SUM(D11+D17+D23+D29+D35+D41+D47+D53)</f>
        <v>2229</v>
      </c>
      <c r="E59" s="44">
        <f t="shared" si="330"/>
        <v>1946</v>
      </c>
      <c r="F59" s="44">
        <f t="shared" si="330"/>
        <v>1789.8888888888889</v>
      </c>
      <c r="G59" s="44">
        <f t="shared" si="330"/>
        <v>1833</v>
      </c>
      <c r="H59" s="44">
        <f t="shared" si="330"/>
        <v>1549</v>
      </c>
      <c r="I59" s="44">
        <f t="shared" si="330"/>
        <v>1583</v>
      </c>
      <c r="J59" s="44">
        <f t="shared" si="330"/>
        <v>1332</v>
      </c>
      <c r="K59" s="44">
        <f t="shared" si="330"/>
        <v>1338</v>
      </c>
      <c r="L59" s="44">
        <f t="shared" si="330"/>
        <v>1453</v>
      </c>
      <c r="M59" s="44">
        <f t="shared" si="330"/>
        <v>1647</v>
      </c>
      <c r="N59" s="44">
        <f t="shared" si="330"/>
        <v>1748</v>
      </c>
      <c r="O59" s="44">
        <f t="shared" si="330"/>
        <v>1612</v>
      </c>
      <c r="P59" s="38">
        <f t="shared" si="12"/>
        <v>20059.888888888891</v>
      </c>
      <c r="Q59" s="44">
        <f t="shared" ref="Q59:AB59" si="331">SUM(Q11+Q17+Q23+Q29+Q35+Q41+Q47+Q53)</f>
        <v>17716</v>
      </c>
      <c r="R59" s="44">
        <f t="shared" si="331"/>
        <v>18331</v>
      </c>
      <c r="S59" s="44">
        <f t="shared" si="331"/>
        <v>19273</v>
      </c>
      <c r="T59" s="44">
        <f t="shared" si="331"/>
        <v>17509</v>
      </c>
      <c r="U59" s="44">
        <f t="shared" si="331"/>
        <v>11488</v>
      </c>
      <c r="V59" s="44">
        <f t="shared" si="331"/>
        <v>13118</v>
      </c>
      <c r="W59" s="44">
        <f t="shared" si="331"/>
        <v>14215</v>
      </c>
      <c r="X59" s="44">
        <f t="shared" si="331"/>
        <v>14106</v>
      </c>
      <c r="Y59" s="44">
        <f t="shared" si="331"/>
        <v>11409</v>
      </c>
      <c r="Z59" s="44">
        <f t="shared" si="331"/>
        <v>10315</v>
      </c>
      <c r="AA59" s="44">
        <f t="shared" si="331"/>
        <v>8737</v>
      </c>
      <c r="AB59" s="44">
        <f t="shared" si="331"/>
        <v>8610</v>
      </c>
      <c r="AC59" s="38">
        <f t="shared" si="38"/>
        <v>164827</v>
      </c>
      <c r="AD59" s="36">
        <f t="shared" si="13"/>
        <v>184886.88888888888</v>
      </c>
      <c r="AE59" s="26"/>
      <c r="AF59" s="48">
        <f t="shared" ref="AF59:AQ59" si="332">SUM(AF11+AF17+AF23+AF29+AF35+AF41+AF47+AF53)</f>
        <v>86</v>
      </c>
      <c r="AG59" s="48">
        <f t="shared" si="332"/>
        <v>54</v>
      </c>
      <c r="AH59" s="48">
        <f t="shared" si="332"/>
        <v>43</v>
      </c>
      <c r="AI59" s="48">
        <f t="shared" si="332"/>
        <v>38</v>
      </c>
      <c r="AJ59" s="48">
        <f t="shared" si="332"/>
        <v>56</v>
      </c>
      <c r="AK59" s="48">
        <f t="shared" si="332"/>
        <v>38</v>
      </c>
      <c r="AL59" s="48">
        <f t="shared" si="332"/>
        <v>38</v>
      </c>
      <c r="AM59" s="48">
        <f t="shared" si="332"/>
        <v>130</v>
      </c>
      <c r="AN59" s="48">
        <f t="shared" si="332"/>
        <v>216</v>
      </c>
      <c r="AO59" s="48">
        <f t="shared" si="332"/>
        <v>142</v>
      </c>
      <c r="AP59" s="48">
        <f t="shared" si="332"/>
        <v>174</v>
      </c>
      <c r="AQ59" s="48">
        <f t="shared" si="332"/>
        <v>182</v>
      </c>
      <c r="AR59" s="38">
        <f t="shared" si="14"/>
        <v>1197</v>
      </c>
      <c r="AS59" s="44">
        <f t="shared" ref="AS59:BD59" si="333">SUM(AS11+AS17+AS23+AS29+AS35+AS41+AS47+AS53)</f>
        <v>906</v>
      </c>
      <c r="AT59" s="44">
        <f t="shared" si="333"/>
        <v>741</v>
      </c>
      <c r="AU59" s="44">
        <f t="shared" si="333"/>
        <v>531</v>
      </c>
      <c r="AV59" s="44">
        <f t="shared" si="333"/>
        <v>566</v>
      </c>
      <c r="AW59" s="44">
        <f t="shared" si="333"/>
        <v>377</v>
      </c>
      <c r="AX59" s="44">
        <f t="shared" si="333"/>
        <v>744</v>
      </c>
      <c r="AY59" s="44">
        <f t="shared" si="333"/>
        <v>583</v>
      </c>
      <c r="AZ59" s="44">
        <f t="shared" si="333"/>
        <v>743</v>
      </c>
      <c r="BA59" s="44">
        <f t="shared" si="333"/>
        <v>479</v>
      </c>
      <c r="BB59" s="44">
        <f t="shared" si="333"/>
        <v>453</v>
      </c>
      <c r="BC59" s="44">
        <f t="shared" si="333"/>
        <v>606</v>
      </c>
      <c r="BD59" s="44">
        <f t="shared" si="333"/>
        <v>463</v>
      </c>
      <c r="BE59" s="38">
        <f t="shared" si="15"/>
        <v>7192</v>
      </c>
      <c r="BF59" s="36">
        <f t="shared" si="16"/>
        <v>8389</v>
      </c>
      <c r="BG59" s="26"/>
      <c r="BH59" s="44">
        <f t="shared" ref="BH59:BS59" si="334">SUM(BH11+BH17+BH23+BH29+BH35+BH41+BH47+BH53)</f>
        <v>7</v>
      </c>
      <c r="BI59" s="44">
        <f t="shared" si="334"/>
        <v>20</v>
      </c>
      <c r="BJ59" s="44">
        <f t="shared" si="334"/>
        <v>12</v>
      </c>
      <c r="BK59" s="44">
        <f t="shared" si="334"/>
        <v>16</v>
      </c>
      <c r="BL59" s="44">
        <f t="shared" si="334"/>
        <v>9</v>
      </c>
      <c r="BM59" s="44">
        <f t="shared" si="334"/>
        <v>9</v>
      </c>
      <c r="BN59" s="44">
        <f t="shared" si="334"/>
        <v>1</v>
      </c>
      <c r="BO59" s="44">
        <f t="shared" si="334"/>
        <v>5</v>
      </c>
      <c r="BP59" s="44">
        <f t="shared" si="334"/>
        <v>5</v>
      </c>
      <c r="BQ59" s="44">
        <f t="shared" si="334"/>
        <v>4</v>
      </c>
      <c r="BR59" s="44">
        <f t="shared" si="334"/>
        <v>16</v>
      </c>
      <c r="BS59" s="44">
        <f t="shared" si="334"/>
        <v>2</v>
      </c>
      <c r="BT59" s="38">
        <f t="shared" si="17"/>
        <v>106</v>
      </c>
      <c r="BU59" s="44">
        <f t="shared" ref="BU59:CF59" si="335">SUM(BU11+BU17+BU23+BU29+BU35+BU41+BU47+BU53)</f>
        <v>1513</v>
      </c>
      <c r="BV59" s="44">
        <f t="shared" si="335"/>
        <v>1574</v>
      </c>
      <c r="BW59" s="44">
        <f t="shared" si="335"/>
        <v>1996</v>
      </c>
      <c r="BX59" s="44">
        <f t="shared" si="335"/>
        <v>1570</v>
      </c>
      <c r="BY59" s="44">
        <f t="shared" si="335"/>
        <v>1391</v>
      </c>
      <c r="BZ59" s="44">
        <f t="shared" si="335"/>
        <v>1152</v>
      </c>
      <c r="CA59" s="44">
        <f t="shared" si="335"/>
        <v>1228</v>
      </c>
      <c r="CB59" s="44">
        <f t="shared" si="335"/>
        <v>1263</v>
      </c>
      <c r="CC59" s="44">
        <f t="shared" si="335"/>
        <v>1441</v>
      </c>
      <c r="CD59" s="44">
        <f t="shared" si="335"/>
        <v>1609</v>
      </c>
      <c r="CE59" s="44">
        <f t="shared" si="335"/>
        <v>1491.3333333333333</v>
      </c>
      <c r="CF59" s="44">
        <f t="shared" si="335"/>
        <v>1231.3939393939395</v>
      </c>
      <c r="CG59" s="38">
        <f t="shared" si="18"/>
        <v>17459.727272727272</v>
      </c>
      <c r="CH59" s="36">
        <f t="shared" si="19"/>
        <v>17565.727272727272</v>
      </c>
      <c r="CI59" s="26"/>
      <c r="CJ59" s="44">
        <f t="shared" ref="CJ59:CU59" si="336">SUM(CJ11+CJ17+CJ23+CJ29+CJ35+CJ41+CJ47+CJ53)</f>
        <v>607</v>
      </c>
      <c r="CK59" s="44">
        <f t="shared" si="336"/>
        <v>567</v>
      </c>
      <c r="CL59" s="44">
        <f t="shared" si="336"/>
        <v>686</v>
      </c>
      <c r="CM59" s="44">
        <f t="shared" si="336"/>
        <v>630</v>
      </c>
      <c r="CN59" s="44">
        <f t="shared" si="336"/>
        <v>429</v>
      </c>
      <c r="CO59" s="44">
        <f t="shared" si="336"/>
        <v>347</v>
      </c>
      <c r="CP59" s="44">
        <f t="shared" si="336"/>
        <v>400</v>
      </c>
      <c r="CQ59" s="44">
        <f t="shared" si="336"/>
        <v>432</v>
      </c>
      <c r="CR59" s="44">
        <f t="shared" si="336"/>
        <v>330</v>
      </c>
      <c r="CS59" s="44">
        <f t="shared" si="336"/>
        <v>425</v>
      </c>
      <c r="CT59" s="44">
        <f t="shared" si="336"/>
        <v>365</v>
      </c>
      <c r="CU59" s="44">
        <f t="shared" si="336"/>
        <v>372</v>
      </c>
      <c r="CV59" s="38">
        <f t="shared" si="20"/>
        <v>5590</v>
      </c>
      <c r="CW59" s="44">
        <f t="shared" ref="CW59:DH59" si="337">SUM(CW11+CW17+CW23+CW29+CW35+CW41+CW47+CW53)</f>
        <v>1613</v>
      </c>
      <c r="CX59" s="44">
        <f t="shared" si="337"/>
        <v>1733</v>
      </c>
      <c r="CY59" s="44">
        <f t="shared" si="337"/>
        <v>2077</v>
      </c>
      <c r="CZ59" s="44">
        <f t="shared" si="337"/>
        <v>1440</v>
      </c>
      <c r="DA59" s="44">
        <f t="shared" si="337"/>
        <v>1641</v>
      </c>
      <c r="DB59" s="44">
        <f t="shared" si="337"/>
        <v>1427</v>
      </c>
      <c r="DC59" s="44">
        <f t="shared" si="337"/>
        <v>1325</v>
      </c>
      <c r="DD59" s="44">
        <f t="shared" si="337"/>
        <v>1427</v>
      </c>
      <c r="DE59" s="44">
        <f t="shared" si="337"/>
        <v>1461</v>
      </c>
      <c r="DF59" s="44">
        <f t="shared" si="337"/>
        <v>1399</v>
      </c>
      <c r="DG59" s="44">
        <f t="shared" si="337"/>
        <v>1331</v>
      </c>
      <c r="DH59" s="44">
        <f t="shared" si="337"/>
        <v>1161</v>
      </c>
      <c r="DI59" s="38">
        <f t="shared" si="21"/>
        <v>18035</v>
      </c>
      <c r="DJ59" s="36">
        <f t="shared" si="22"/>
        <v>23625</v>
      </c>
      <c r="DK59" s="26"/>
      <c r="DL59" s="44">
        <f t="shared" ref="DL59:DW59" si="338">SUM(DL11+DL17+DL23+DL29+DL35+DL41+DL47+DL53)</f>
        <v>268</v>
      </c>
      <c r="DM59" s="44">
        <f t="shared" si="338"/>
        <v>320</v>
      </c>
      <c r="DN59" s="44">
        <f t="shared" si="338"/>
        <v>234</v>
      </c>
      <c r="DO59" s="44">
        <f t="shared" si="338"/>
        <v>265</v>
      </c>
      <c r="DP59" s="44">
        <f t="shared" si="338"/>
        <v>183</v>
      </c>
      <c r="DQ59" s="44">
        <f t="shared" si="338"/>
        <v>167</v>
      </c>
      <c r="DR59" s="44">
        <f t="shared" si="338"/>
        <v>117</v>
      </c>
      <c r="DS59" s="44">
        <f t="shared" si="338"/>
        <v>114</v>
      </c>
      <c r="DT59" s="44">
        <f t="shared" si="338"/>
        <v>104</v>
      </c>
      <c r="DU59" s="44">
        <f t="shared" si="338"/>
        <v>231</v>
      </c>
      <c r="DV59" s="44">
        <f t="shared" si="338"/>
        <v>180</v>
      </c>
      <c r="DW59" s="44">
        <f t="shared" si="338"/>
        <v>138</v>
      </c>
      <c r="DX59" s="38">
        <f t="shared" si="0"/>
        <v>2321</v>
      </c>
      <c r="DY59" s="44">
        <f t="shared" ref="DY59:EJ59" si="339">SUM(DY11+DY17+DY23+DY29+DY35+DY41+DY47+DY53)</f>
        <v>893</v>
      </c>
      <c r="DZ59" s="44">
        <f t="shared" si="339"/>
        <v>1323</v>
      </c>
      <c r="EA59" s="44">
        <f t="shared" si="339"/>
        <v>1520</v>
      </c>
      <c r="EB59" s="44">
        <f t="shared" si="339"/>
        <v>1323</v>
      </c>
      <c r="EC59" s="44">
        <f t="shared" si="339"/>
        <v>1392</v>
      </c>
      <c r="ED59" s="44">
        <f t="shared" si="339"/>
        <v>1248</v>
      </c>
      <c r="EE59" s="44">
        <f t="shared" si="339"/>
        <v>1218</v>
      </c>
      <c r="EF59" s="44">
        <f t="shared" si="339"/>
        <v>958</v>
      </c>
      <c r="EG59" s="44">
        <f t="shared" si="339"/>
        <v>925</v>
      </c>
      <c r="EH59" s="44">
        <f t="shared" si="339"/>
        <v>1161</v>
      </c>
      <c r="EI59" s="44">
        <f t="shared" si="339"/>
        <v>1118</v>
      </c>
      <c r="EJ59" s="44">
        <f t="shared" si="339"/>
        <v>940</v>
      </c>
      <c r="EK59" s="38">
        <f t="shared" si="23"/>
        <v>14019</v>
      </c>
      <c r="EL59" s="36">
        <f t="shared" si="1"/>
        <v>16340</v>
      </c>
      <c r="EM59" s="26"/>
      <c r="EN59" s="44">
        <f t="shared" ref="EN59:EY59" si="340">SUM(EN11+EN17+EN23+EN29+EN35+EN41+EN47+EN53)</f>
        <v>2197</v>
      </c>
      <c r="EO59" s="44">
        <f t="shared" si="340"/>
        <v>1857</v>
      </c>
      <c r="EP59" s="44">
        <f t="shared" si="340"/>
        <v>2524</v>
      </c>
      <c r="EQ59" s="44">
        <f t="shared" si="340"/>
        <v>1960</v>
      </c>
      <c r="ER59" s="44">
        <f t="shared" si="340"/>
        <v>1739</v>
      </c>
      <c r="ES59" s="44">
        <f t="shared" si="340"/>
        <v>1265</v>
      </c>
      <c r="ET59" s="44">
        <f t="shared" si="340"/>
        <v>1134</v>
      </c>
      <c r="EU59" s="44">
        <f t="shared" si="340"/>
        <v>1265</v>
      </c>
      <c r="EV59" s="44">
        <f t="shared" si="340"/>
        <v>1598</v>
      </c>
      <c r="EW59" s="44">
        <f t="shared" si="340"/>
        <v>2153</v>
      </c>
      <c r="EX59" s="44">
        <f t="shared" si="340"/>
        <v>1473</v>
      </c>
      <c r="EY59" s="44">
        <f t="shared" si="340"/>
        <v>1654</v>
      </c>
      <c r="EZ59" s="38">
        <f t="shared" si="24"/>
        <v>20819</v>
      </c>
      <c r="FA59" s="26"/>
      <c r="FB59" s="44">
        <f t="shared" ref="FB59:FM59" si="341">SUM(FB11+FB17+FB23+FB29+FB35+FB41+FB47+FB53)</f>
        <v>9071</v>
      </c>
      <c r="FC59" s="44">
        <f t="shared" si="341"/>
        <v>9096</v>
      </c>
      <c r="FD59" s="44">
        <f t="shared" si="341"/>
        <v>9903</v>
      </c>
      <c r="FE59" s="44">
        <f t="shared" si="341"/>
        <v>7913</v>
      </c>
      <c r="FF59" s="44">
        <f t="shared" si="341"/>
        <v>7504</v>
      </c>
      <c r="FG59" s="44">
        <f t="shared" si="341"/>
        <v>6433</v>
      </c>
      <c r="FH59" s="44">
        <f t="shared" si="341"/>
        <v>6575</v>
      </c>
      <c r="FI59" s="44">
        <f t="shared" si="341"/>
        <v>7996</v>
      </c>
      <c r="FJ59" s="44">
        <f t="shared" si="341"/>
        <v>7569</v>
      </c>
      <c r="FK59" s="44">
        <f t="shared" si="341"/>
        <v>7535</v>
      </c>
      <c r="FL59" s="44">
        <f t="shared" si="341"/>
        <v>7792</v>
      </c>
      <c r="FM59" s="44">
        <f t="shared" si="341"/>
        <v>7642</v>
      </c>
      <c r="FN59" s="38">
        <f t="shared" si="25"/>
        <v>95029</v>
      </c>
      <c r="FO59" s="26"/>
      <c r="FP59" s="44">
        <f t="shared" ref="FP59:GA59" si="342">SUM(FP11+FP17+FP23+FP29+FP35+FP41+FP47+FP53)</f>
        <v>910</v>
      </c>
      <c r="FQ59" s="44">
        <f t="shared" si="342"/>
        <v>910</v>
      </c>
      <c r="FR59" s="44">
        <f t="shared" si="342"/>
        <v>867</v>
      </c>
      <c r="FS59" s="44">
        <f t="shared" si="342"/>
        <v>674</v>
      </c>
      <c r="FT59" s="44">
        <f t="shared" si="342"/>
        <v>814</v>
      </c>
      <c r="FU59" s="44">
        <f t="shared" si="342"/>
        <v>743</v>
      </c>
      <c r="FV59" s="44">
        <f t="shared" si="342"/>
        <v>614</v>
      </c>
      <c r="FW59" s="44">
        <f t="shared" si="342"/>
        <v>621</v>
      </c>
      <c r="FX59" s="44">
        <f t="shared" si="342"/>
        <v>707</v>
      </c>
      <c r="FY59" s="44">
        <f t="shared" si="342"/>
        <v>664</v>
      </c>
      <c r="FZ59" s="44">
        <f t="shared" si="342"/>
        <v>598</v>
      </c>
      <c r="GA59" s="44">
        <f t="shared" si="342"/>
        <v>473</v>
      </c>
      <c r="GB59" s="38">
        <f t="shared" si="26"/>
        <v>8595</v>
      </c>
      <c r="GC59" s="26"/>
      <c r="GD59" s="44">
        <f t="shared" ref="GD59:GO59" si="343">SUM(GD11+GD17+GD23+GD29+GD35+GD41+GD47+GD53)</f>
        <v>1951</v>
      </c>
      <c r="GE59" s="44">
        <f t="shared" si="343"/>
        <v>1961</v>
      </c>
      <c r="GF59" s="44">
        <f t="shared" si="343"/>
        <v>1522</v>
      </c>
      <c r="GG59" s="44">
        <f t="shared" si="343"/>
        <v>2003</v>
      </c>
      <c r="GH59" s="44">
        <f t="shared" si="343"/>
        <v>1979</v>
      </c>
      <c r="GI59" s="44">
        <f t="shared" si="343"/>
        <v>1469</v>
      </c>
      <c r="GJ59" s="44">
        <f t="shared" si="343"/>
        <v>1518</v>
      </c>
      <c r="GK59" s="44">
        <f t="shared" si="343"/>
        <v>1424</v>
      </c>
      <c r="GL59" s="44">
        <f t="shared" si="343"/>
        <v>1918</v>
      </c>
      <c r="GM59" s="44">
        <f t="shared" si="343"/>
        <v>1506</v>
      </c>
      <c r="GN59" s="44">
        <f t="shared" si="343"/>
        <v>1546</v>
      </c>
      <c r="GO59" s="44">
        <f t="shared" si="343"/>
        <v>1349</v>
      </c>
      <c r="GP59" s="38">
        <f t="shared" si="27"/>
        <v>20146</v>
      </c>
      <c r="GQ59" s="26"/>
      <c r="GR59" s="44">
        <f t="shared" ref="GR59:HC59" si="344">SUM(GR11+GR17+GR23+GR29+GR35+GR41+GR47+GR53)</f>
        <v>1035</v>
      </c>
      <c r="GS59" s="44">
        <f t="shared" si="344"/>
        <v>1003</v>
      </c>
      <c r="GT59" s="44">
        <f t="shared" si="344"/>
        <v>1139</v>
      </c>
      <c r="GU59" s="44">
        <f t="shared" si="344"/>
        <v>882</v>
      </c>
      <c r="GV59" s="44">
        <f t="shared" si="344"/>
        <v>737</v>
      </c>
      <c r="GW59" s="44">
        <f t="shared" si="344"/>
        <v>522</v>
      </c>
      <c r="GX59" s="44">
        <f t="shared" si="344"/>
        <v>483</v>
      </c>
      <c r="GY59" s="44">
        <f t="shared" si="344"/>
        <v>576</v>
      </c>
      <c r="GZ59" s="44">
        <f t="shared" si="344"/>
        <v>644</v>
      </c>
      <c r="HA59" s="44">
        <f t="shared" si="344"/>
        <v>681</v>
      </c>
      <c r="HB59" s="44">
        <f t="shared" si="344"/>
        <v>867</v>
      </c>
      <c r="HC59" s="44">
        <f t="shared" si="344"/>
        <v>827</v>
      </c>
      <c r="HD59" s="38">
        <f t="shared" si="28"/>
        <v>9396</v>
      </c>
      <c r="HE59" s="26"/>
      <c r="HF59" s="44">
        <f t="shared" ref="HF59:HQ59" si="345">SUM(HF11+HF17+HF23+HF29+HF35+HF41+HF47+HF53)</f>
        <v>4968</v>
      </c>
      <c r="HG59" s="44">
        <f t="shared" si="345"/>
        <v>5256</v>
      </c>
      <c r="HH59" s="44">
        <f t="shared" si="345"/>
        <v>4758</v>
      </c>
      <c r="HI59" s="44">
        <f t="shared" si="345"/>
        <v>4230</v>
      </c>
      <c r="HJ59" s="44">
        <f t="shared" si="345"/>
        <v>4138</v>
      </c>
      <c r="HK59" s="44">
        <f t="shared" si="345"/>
        <v>4207</v>
      </c>
      <c r="HL59" s="44">
        <f t="shared" si="345"/>
        <v>3833</v>
      </c>
      <c r="HM59" s="44">
        <f t="shared" si="345"/>
        <v>3500</v>
      </c>
      <c r="HN59" s="44">
        <f t="shared" si="345"/>
        <v>3436</v>
      </c>
      <c r="HO59" s="44">
        <f t="shared" si="345"/>
        <v>3662</v>
      </c>
      <c r="HP59" s="44">
        <f t="shared" si="345"/>
        <v>3519</v>
      </c>
      <c r="HQ59" s="44">
        <f t="shared" si="345"/>
        <v>3529</v>
      </c>
      <c r="HR59" s="38">
        <f t="shared" si="29"/>
        <v>49036</v>
      </c>
      <c r="HS59" s="26"/>
      <c r="HT59" s="44">
        <f t="shared" ref="HT59:IE59" si="346">SUM(HT11+HT17+HT23+HT29+HT35+HT41+HT47+HT53)</f>
        <v>64</v>
      </c>
      <c r="HU59" s="44">
        <f t="shared" si="346"/>
        <v>53</v>
      </c>
      <c r="HV59" s="44">
        <f t="shared" si="346"/>
        <v>91</v>
      </c>
      <c r="HW59" s="44">
        <f t="shared" si="346"/>
        <v>75</v>
      </c>
      <c r="HX59" s="44">
        <f t="shared" si="346"/>
        <v>61</v>
      </c>
      <c r="HY59" s="44">
        <f t="shared" si="346"/>
        <v>43</v>
      </c>
      <c r="HZ59" s="44">
        <f t="shared" si="346"/>
        <v>24</v>
      </c>
      <c r="IA59" s="44">
        <f t="shared" si="346"/>
        <v>55</v>
      </c>
      <c r="IB59" s="44">
        <f t="shared" si="346"/>
        <v>66</v>
      </c>
      <c r="IC59" s="44">
        <f t="shared" si="346"/>
        <v>52</v>
      </c>
      <c r="ID59" s="44">
        <f t="shared" si="346"/>
        <v>48</v>
      </c>
      <c r="IE59" s="44">
        <f t="shared" si="346"/>
        <v>48</v>
      </c>
      <c r="IF59" s="38">
        <f t="shared" ref="IF59:IF63" si="347">SUM(HT59:IE59)</f>
        <v>680</v>
      </c>
      <c r="IG59" s="44">
        <f t="shared" ref="IG59:IR59" si="348">SUM(IG11+IG17+IG23+IG29+IG35+IG41+IG47+IG53)</f>
        <v>2069</v>
      </c>
      <c r="IH59" s="44">
        <f t="shared" si="348"/>
        <v>1763</v>
      </c>
      <c r="II59" s="44">
        <f t="shared" si="348"/>
        <v>1937</v>
      </c>
      <c r="IJ59" s="44">
        <f t="shared" si="348"/>
        <v>1979</v>
      </c>
      <c r="IK59" s="44">
        <f t="shared" si="348"/>
        <v>1952</v>
      </c>
      <c r="IL59" s="44">
        <f t="shared" si="348"/>
        <v>1265</v>
      </c>
      <c r="IM59" s="44">
        <f t="shared" si="348"/>
        <v>1153</v>
      </c>
      <c r="IN59" s="44">
        <f t="shared" si="348"/>
        <v>1080</v>
      </c>
      <c r="IO59" s="44">
        <f t="shared" si="348"/>
        <v>1328</v>
      </c>
      <c r="IP59" s="44">
        <f t="shared" si="348"/>
        <v>1416</v>
      </c>
      <c r="IQ59" s="44">
        <f t="shared" si="348"/>
        <v>1561</v>
      </c>
      <c r="IR59" s="44">
        <f t="shared" si="348"/>
        <v>1405</v>
      </c>
      <c r="IS59" s="38">
        <f t="shared" ref="IS59:IS63" si="349">SUM(IG59:IR59)</f>
        <v>18908</v>
      </c>
      <c r="IT59" s="36">
        <f t="shared" si="39"/>
        <v>19588</v>
      </c>
      <c r="IU59" s="26"/>
      <c r="IV59" s="44">
        <f t="shared" ref="IV59:JG59" si="350">SUM(IV11+IV17+IV23+IV29+IV35+IV41+IV47+IV53)</f>
        <v>922</v>
      </c>
      <c r="IW59" s="44">
        <f t="shared" si="350"/>
        <v>760</v>
      </c>
      <c r="IX59" s="44">
        <f t="shared" si="350"/>
        <v>781</v>
      </c>
      <c r="IY59" s="44">
        <f t="shared" si="350"/>
        <v>730</v>
      </c>
      <c r="IZ59" s="44">
        <f t="shared" si="350"/>
        <v>609</v>
      </c>
      <c r="JA59" s="44">
        <f t="shared" si="350"/>
        <v>565</v>
      </c>
      <c r="JB59" s="44">
        <f t="shared" si="350"/>
        <v>587</v>
      </c>
      <c r="JC59" s="44">
        <f t="shared" si="350"/>
        <v>705</v>
      </c>
      <c r="JD59" s="44">
        <f t="shared" si="350"/>
        <v>699</v>
      </c>
      <c r="JE59" s="44">
        <f t="shared" si="350"/>
        <v>765</v>
      </c>
      <c r="JF59" s="44">
        <f t="shared" si="350"/>
        <v>624</v>
      </c>
      <c r="JG59" s="44">
        <f t="shared" si="350"/>
        <v>631</v>
      </c>
      <c r="JH59" s="38">
        <f t="shared" ref="JH59:JH63" si="351">SUM(IV59:JG59)</f>
        <v>8378</v>
      </c>
      <c r="JI59" s="111">
        <f t="shared" ref="JI59:JT59" si="352">SUM(JI11+JI17+JI23+JI29+JI35+JI41+JI47+JI53)</f>
        <v>5565.2000000000007</v>
      </c>
      <c r="JJ59" s="7">
        <f t="shared" si="352"/>
        <v>5938.7999999999993</v>
      </c>
      <c r="JK59" s="7">
        <f t="shared" si="352"/>
        <v>6332.8</v>
      </c>
      <c r="JL59" s="7">
        <f t="shared" si="352"/>
        <v>5564.6</v>
      </c>
      <c r="JM59" s="7">
        <f t="shared" si="352"/>
        <v>5066.2</v>
      </c>
      <c r="JN59" s="7">
        <f t="shared" si="352"/>
        <v>5483.2</v>
      </c>
      <c r="JO59" s="7">
        <f t="shared" si="352"/>
        <v>4526.8000000000011</v>
      </c>
      <c r="JP59" s="7">
        <f t="shared" si="352"/>
        <v>4771.6000000000004</v>
      </c>
      <c r="JQ59" s="7">
        <f t="shared" si="352"/>
        <v>5797.4000000000005</v>
      </c>
      <c r="JR59" s="7">
        <f t="shared" si="352"/>
        <v>5615.8</v>
      </c>
      <c r="JS59" s="7">
        <f t="shared" si="352"/>
        <v>6194.4</v>
      </c>
      <c r="JT59" s="7">
        <f t="shared" si="352"/>
        <v>5735.4</v>
      </c>
      <c r="JU59" s="90">
        <f t="shared" si="5"/>
        <v>66592.200000000012</v>
      </c>
      <c r="JV59" s="40">
        <f t="shared" si="30"/>
        <v>74970.200000000012</v>
      </c>
      <c r="JW59" s="26"/>
      <c r="JX59" s="44">
        <f t="shared" ref="JX59:KI59" si="353">SUM(JX11+JX17+JX23+JX29+JX35+JX41+JX47+JX53)</f>
        <v>201</v>
      </c>
      <c r="JY59" s="44">
        <f t="shared" si="353"/>
        <v>243</v>
      </c>
      <c r="JZ59" s="44">
        <f t="shared" si="353"/>
        <v>178</v>
      </c>
      <c r="KA59" s="44">
        <f t="shared" si="353"/>
        <v>197</v>
      </c>
      <c r="KB59" s="44">
        <f t="shared" si="353"/>
        <v>183</v>
      </c>
      <c r="KC59" s="44">
        <f t="shared" si="353"/>
        <v>139</v>
      </c>
      <c r="KD59" s="44">
        <f t="shared" si="353"/>
        <v>136</v>
      </c>
      <c r="KE59" s="44">
        <f t="shared" si="353"/>
        <v>98</v>
      </c>
      <c r="KF59" s="44">
        <f t="shared" si="353"/>
        <v>134</v>
      </c>
      <c r="KG59" s="44">
        <f t="shared" si="353"/>
        <v>186</v>
      </c>
      <c r="KH59" s="44">
        <f t="shared" si="353"/>
        <v>196</v>
      </c>
      <c r="KI59" s="44">
        <f t="shared" si="353"/>
        <v>203</v>
      </c>
      <c r="KJ59" s="38">
        <f t="shared" ref="KJ59:KJ63" si="354">SUM(JX59:KI59)</f>
        <v>2094</v>
      </c>
      <c r="KK59" s="44">
        <f t="shared" ref="KK59:KV59" si="355">SUM(KK11+KK17+KK23+KK29+KK35+KK41+KK47+KK53)</f>
        <v>1423</v>
      </c>
      <c r="KL59" s="44">
        <f t="shared" si="355"/>
        <v>1054</v>
      </c>
      <c r="KM59" s="44">
        <f t="shared" si="355"/>
        <v>1234</v>
      </c>
      <c r="KN59" s="44">
        <f t="shared" si="355"/>
        <v>1314</v>
      </c>
      <c r="KO59" s="44">
        <f t="shared" si="355"/>
        <v>1295</v>
      </c>
      <c r="KP59" s="44">
        <f t="shared" si="355"/>
        <v>791</v>
      </c>
      <c r="KQ59" s="44">
        <f t="shared" si="355"/>
        <v>677</v>
      </c>
      <c r="KR59" s="44">
        <f t="shared" si="355"/>
        <v>739</v>
      </c>
      <c r="KS59" s="44">
        <f t="shared" si="355"/>
        <v>762</v>
      </c>
      <c r="KT59" s="44">
        <f t="shared" si="355"/>
        <v>678</v>
      </c>
      <c r="KU59" s="44">
        <f t="shared" si="355"/>
        <v>864</v>
      </c>
      <c r="KV59" s="44">
        <f t="shared" si="355"/>
        <v>930</v>
      </c>
      <c r="KW59" s="38">
        <f t="shared" ref="KW59:KW63" si="356">SUM(KK59:KV59)</f>
        <v>11761</v>
      </c>
      <c r="KX59" s="36">
        <f t="shared" si="31"/>
        <v>13855</v>
      </c>
      <c r="KY59" s="26"/>
      <c r="KZ59" s="44">
        <f t="shared" ref="KZ59:LK59" si="357">SUM(KZ11+KZ17+KZ23+KZ29+KZ35+KZ41+KZ47+KZ53)</f>
        <v>240</v>
      </c>
      <c r="LA59" s="44">
        <f t="shared" si="357"/>
        <v>613</v>
      </c>
      <c r="LB59" s="44">
        <f t="shared" si="357"/>
        <v>543</v>
      </c>
      <c r="LC59" s="44">
        <f t="shared" si="357"/>
        <v>566</v>
      </c>
      <c r="LD59" s="44">
        <f t="shared" si="357"/>
        <v>282</v>
      </c>
      <c r="LE59" s="44">
        <f t="shared" si="357"/>
        <v>222</v>
      </c>
      <c r="LF59" s="44">
        <f t="shared" si="357"/>
        <v>212</v>
      </c>
      <c r="LG59" s="44">
        <f t="shared" si="357"/>
        <v>248</v>
      </c>
      <c r="LH59" s="44">
        <f t="shared" si="357"/>
        <v>280</v>
      </c>
      <c r="LI59" s="44">
        <f t="shared" si="357"/>
        <v>311</v>
      </c>
      <c r="LJ59" s="44">
        <f t="shared" si="357"/>
        <v>318</v>
      </c>
      <c r="LK59" s="44">
        <f t="shared" si="357"/>
        <v>282</v>
      </c>
      <c r="LL59" s="38">
        <f t="shared" si="32"/>
        <v>4117</v>
      </c>
      <c r="LM59" s="26"/>
      <c r="LN59" s="44">
        <f t="shared" ref="LN59:LY59" si="358">SUM(LN11+LN17+LN23+LN29+LN35+LN41+LN47+LN53)</f>
        <v>5740</v>
      </c>
      <c r="LO59" s="44">
        <f t="shared" si="358"/>
        <v>5761</v>
      </c>
      <c r="LP59" s="44">
        <f t="shared" si="358"/>
        <v>5312</v>
      </c>
      <c r="LQ59" s="44">
        <f t="shared" si="358"/>
        <v>4666</v>
      </c>
      <c r="LR59" s="44">
        <f t="shared" si="358"/>
        <v>4507</v>
      </c>
      <c r="LS59" s="44">
        <f t="shared" si="358"/>
        <v>3759</v>
      </c>
      <c r="LT59" s="44">
        <f t="shared" si="358"/>
        <v>2941</v>
      </c>
      <c r="LU59" s="44">
        <f t="shared" si="358"/>
        <v>3542</v>
      </c>
      <c r="LV59" s="44">
        <f t="shared" si="358"/>
        <v>3765</v>
      </c>
      <c r="LW59" s="44">
        <f t="shared" si="358"/>
        <v>3871</v>
      </c>
      <c r="LX59" s="44">
        <f t="shared" si="358"/>
        <v>3700</v>
      </c>
      <c r="LY59" s="44">
        <f t="shared" si="358"/>
        <v>3426</v>
      </c>
      <c r="LZ59" s="38">
        <f t="shared" ref="LZ59:LZ63" si="359">SUM(LN59:LY59)</f>
        <v>50990</v>
      </c>
      <c r="MA59" s="26"/>
      <c r="MB59" s="44">
        <f t="shared" ref="MB59:MM59" si="360">SUM(MB11+MB17+MB23+MB29+MB35+MB41+MB47+MB53)</f>
        <v>3492</v>
      </c>
      <c r="MC59" s="44">
        <f t="shared" si="360"/>
        <v>4136</v>
      </c>
      <c r="MD59" s="44">
        <f t="shared" si="360"/>
        <v>4055</v>
      </c>
      <c r="ME59" s="44">
        <f t="shared" si="360"/>
        <v>3285</v>
      </c>
      <c r="MF59" s="44">
        <f t="shared" si="360"/>
        <v>3994</v>
      </c>
      <c r="MG59" s="44">
        <f t="shared" si="360"/>
        <v>2938</v>
      </c>
      <c r="MH59" s="44">
        <f t="shared" si="360"/>
        <v>3362</v>
      </c>
      <c r="MI59" s="44">
        <f t="shared" si="360"/>
        <v>3807</v>
      </c>
      <c r="MJ59" s="44">
        <f t="shared" si="360"/>
        <v>3768</v>
      </c>
      <c r="MK59" s="44">
        <f t="shared" si="360"/>
        <v>3456</v>
      </c>
      <c r="ML59" s="44">
        <f t="shared" si="360"/>
        <v>2792</v>
      </c>
      <c r="MM59" s="44">
        <f t="shared" si="360"/>
        <v>2747</v>
      </c>
      <c r="MN59" s="38">
        <f t="shared" ref="MN59:MN63" si="361">SUM(MB59:MM59)</f>
        <v>41832</v>
      </c>
      <c r="MO59" s="44">
        <f t="shared" ref="MO59:MZ59" si="362">SUM(MO11+MO17+MO23+MO29+MO35+MO41+MO47+MO53)</f>
        <v>14087</v>
      </c>
      <c r="MP59" s="44">
        <f t="shared" si="362"/>
        <v>13087</v>
      </c>
      <c r="MQ59" s="44">
        <f t="shared" si="362"/>
        <v>13509</v>
      </c>
      <c r="MR59" s="44">
        <f t="shared" si="362"/>
        <v>9444</v>
      </c>
      <c r="MS59" s="44">
        <f t="shared" si="362"/>
        <v>12692</v>
      </c>
      <c r="MT59" s="44">
        <f t="shared" si="362"/>
        <v>11674</v>
      </c>
      <c r="MU59" s="44">
        <f t="shared" si="362"/>
        <v>11551</v>
      </c>
      <c r="MV59" s="44">
        <f t="shared" si="362"/>
        <v>10933</v>
      </c>
      <c r="MW59" s="44">
        <f t="shared" si="362"/>
        <v>10275</v>
      </c>
      <c r="MX59" s="44">
        <f t="shared" si="362"/>
        <v>12742</v>
      </c>
      <c r="MY59" s="44">
        <f t="shared" si="362"/>
        <v>11575</v>
      </c>
      <c r="MZ59" s="44">
        <f t="shared" si="362"/>
        <v>11104</v>
      </c>
      <c r="NA59" s="38">
        <f t="shared" ref="NA59:NA63" si="363">SUM(MO59:MZ59)</f>
        <v>142673</v>
      </c>
      <c r="NB59" s="36">
        <f t="shared" si="33"/>
        <v>184505</v>
      </c>
      <c r="NC59" s="26"/>
      <c r="ND59" s="44">
        <f t="shared" ref="ND59:NO59" si="364">SUM(ND11+ND17+ND23+ND29+ND35+ND41+ND47+ND53)</f>
        <v>1439</v>
      </c>
      <c r="NE59" s="44">
        <f t="shared" si="364"/>
        <v>1399</v>
      </c>
      <c r="NF59" s="44">
        <f t="shared" si="364"/>
        <v>1354</v>
      </c>
      <c r="NG59" s="44">
        <f t="shared" si="364"/>
        <v>1474</v>
      </c>
      <c r="NH59" s="44">
        <f t="shared" si="364"/>
        <v>1242</v>
      </c>
      <c r="NI59" s="44">
        <f t="shared" si="364"/>
        <v>991</v>
      </c>
      <c r="NJ59" s="44">
        <f t="shared" si="364"/>
        <v>1168</v>
      </c>
      <c r="NK59" s="44">
        <f t="shared" si="364"/>
        <v>1210</v>
      </c>
      <c r="NL59" s="44">
        <f t="shared" si="364"/>
        <v>1824</v>
      </c>
      <c r="NM59" s="44">
        <f t="shared" si="364"/>
        <v>1192</v>
      </c>
      <c r="NN59" s="44">
        <f t="shared" si="364"/>
        <v>1085</v>
      </c>
      <c r="NO59" s="44">
        <f t="shared" si="364"/>
        <v>1005</v>
      </c>
      <c r="NP59" s="118">
        <f t="shared" ref="NP59:NP63" si="365">SUM(ND59:NO59)</f>
        <v>15383</v>
      </c>
      <c r="NQ59" s="36">
        <f t="shared" si="34"/>
        <v>41443.888888888891</v>
      </c>
      <c r="NR59" s="36">
        <f t="shared" si="35"/>
        <v>401699.72727272729</v>
      </c>
      <c r="NS59" s="36">
        <f t="shared" si="36"/>
        <v>374092.2</v>
      </c>
      <c r="NT59" s="36">
        <f t="shared" si="37"/>
        <v>817235.81616161624</v>
      </c>
      <c r="NU59" s="21"/>
      <c r="NV59" s="21"/>
      <c r="NW59" s="21"/>
      <c r="NX59" s="21"/>
      <c r="NY59" s="21"/>
      <c r="NZ59" s="21"/>
      <c r="OA59" s="21"/>
      <c r="OB59" s="21"/>
      <c r="OC59" s="21"/>
      <c r="OD59" s="21"/>
      <c r="OE59" s="21"/>
      <c r="OF59" s="21"/>
      <c r="OG59" s="21"/>
      <c r="OH59" s="21"/>
      <c r="OI59" s="21"/>
      <c r="OJ59" s="21"/>
      <c r="OK59" s="21"/>
      <c r="OL59" s="21"/>
      <c r="OM59" s="21"/>
      <c r="ON59" s="21"/>
      <c r="OO59" s="21"/>
      <c r="OP59" s="22"/>
      <c r="OQ59" s="21"/>
      <c r="OR59" s="21"/>
      <c r="OS59" s="21"/>
      <c r="OT59" s="21"/>
      <c r="OU59" s="21"/>
      <c r="OV59" s="21"/>
      <c r="OW59" s="21"/>
      <c r="OX59" s="21"/>
      <c r="OY59" s="21"/>
      <c r="OZ59" s="21"/>
      <c r="PA59" s="21"/>
      <c r="PB59" s="21"/>
      <c r="PC59" s="21"/>
      <c r="PD59" s="21"/>
      <c r="PE59" s="21"/>
      <c r="PF59" s="21"/>
      <c r="PG59" s="21"/>
      <c r="PH59" s="21"/>
      <c r="PI59" s="21"/>
      <c r="PJ59" s="21"/>
      <c r="PK59" s="21"/>
      <c r="PL59" s="21"/>
      <c r="PM59" s="21"/>
      <c r="PN59" s="21"/>
      <c r="PO59" s="21"/>
      <c r="PP59" s="22"/>
      <c r="PQ59" s="21"/>
      <c r="PR59" s="21"/>
      <c r="PS59" s="21"/>
      <c r="PT59" s="21"/>
      <c r="PU59" s="21"/>
      <c r="PV59" s="21"/>
      <c r="PW59" s="21"/>
      <c r="PX59" s="21"/>
      <c r="PY59" s="21"/>
      <c r="PZ59" s="21"/>
      <c r="QA59" s="21"/>
      <c r="QB59" s="21"/>
      <c r="QC59" s="21"/>
      <c r="QD59" s="21"/>
      <c r="QE59" s="21"/>
      <c r="QF59" s="21"/>
      <c r="QG59" s="21"/>
      <c r="QH59" s="21"/>
      <c r="QI59" s="21"/>
      <c r="QJ59" s="21"/>
      <c r="QK59" s="21"/>
      <c r="QL59" s="21"/>
      <c r="QM59" s="21"/>
      <c r="QN59" s="21"/>
      <c r="QO59" s="21"/>
      <c r="QP59" s="22"/>
    </row>
    <row r="60" spans="1:458" ht="50.1" customHeight="1" x14ac:dyDescent="0.25">
      <c r="A60" s="131"/>
      <c r="B60" s="6" t="s">
        <v>19</v>
      </c>
      <c r="C60" s="25"/>
      <c r="D60" s="44">
        <f t="shared" ref="D60:O60" si="366">SUM(D12+D18+D24+D30+D36+D42+D48+D54)</f>
        <v>185</v>
      </c>
      <c r="E60" s="44">
        <f t="shared" si="366"/>
        <v>226</v>
      </c>
      <c r="F60" s="44">
        <f t="shared" si="366"/>
        <v>206.77777777777777</v>
      </c>
      <c r="G60" s="44">
        <f t="shared" si="366"/>
        <v>241</v>
      </c>
      <c r="H60" s="44">
        <f t="shared" si="366"/>
        <v>90</v>
      </c>
      <c r="I60" s="44">
        <f t="shared" si="366"/>
        <v>217</v>
      </c>
      <c r="J60" s="44">
        <f t="shared" si="366"/>
        <v>121</v>
      </c>
      <c r="K60" s="44">
        <f t="shared" si="366"/>
        <v>119</v>
      </c>
      <c r="L60" s="44">
        <f t="shared" si="366"/>
        <v>51</v>
      </c>
      <c r="M60" s="44">
        <f t="shared" si="366"/>
        <v>82</v>
      </c>
      <c r="N60" s="44">
        <f t="shared" si="366"/>
        <v>132</v>
      </c>
      <c r="O60" s="44">
        <f t="shared" si="366"/>
        <v>76</v>
      </c>
      <c r="P60" s="38">
        <f t="shared" si="12"/>
        <v>1746.7777777777778</v>
      </c>
      <c r="Q60" s="44">
        <f t="shared" ref="Q60:AB60" si="367">SUM(Q12+Q18+Q24+Q30+Q36+Q42+Q48+Q54)</f>
        <v>3025</v>
      </c>
      <c r="R60" s="44">
        <f t="shared" si="367"/>
        <v>4026</v>
      </c>
      <c r="S60" s="44">
        <f t="shared" si="367"/>
        <v>4349</v>
      </c>
      <c r="T60" s="44">
        <f t="shared" si="367"/>
        <v>4645</v>
      </c>
      <c r="U60" s="44">
        <f t="shared" si="367"/>
        <v>4030</v>
      </c>
      <c r="V60" s="44">
        <f t="shared" si="367"/>
        <v>3109</v>
      </c>
      <c r="W60" s="44">
        <f t="shared" si="367"/>
        <v>3017</v>
      </c>
      <c r="X60" s="44">
        <f t="shared" si="367"/>
        <v>2538</v>
      </c>
      <c r="Y60" s="44">
        <f t="shared" si="367"/>
        <v>2400</v>
      </c>
      <c r="Z60" s="44">
        <f t="shared" si="367"/>
        <v>1863</v>
      </c>
      <c r="AA60" s="44">
        <f t="shared" si="367"/>
        <v>2175</v>
      </c>
      <c r="AB60" s="44">
        <f t="shared" si="367"/>
        <v>1793</v>
      </c>
      <c r="AC60" s="38">
        <f t="shared" si="38"/>
        <v>36970</v>
      </c>
      <c r="AD60" s="36">
        <f t="shared" si="13"/>
        <v>38716.777777777781</v>
      </c>
      <c r="AE60" s="26"/>
      <c r="AF60" s="48">
        <f t="shared" ref="AF60:AQ60" si="368">SUM(AF12+AF18+AF24+AF30+AF36+AF42+AF48+AF54)</f>
        <v>22</v>
      </c>
      <c r="AG60" s="48">
        <f t="shared" si="368"/>
        <v>6</v>
      </c>
      <c r="AH60" s="48">
        <f t="shared" si="368"/>
        <v>5</v>
      </c>
      <c r="AI60" s="48">
        <f t="shared" si="368"/>
        <v>8</v>
      </c>
      <c r="AJ60" s="48">
        <f t="shared" si="368"/>
        <v>15</v>
      </c>
      <c r="AK60" s="48">
        <f t="shared" si="368"/>
        <v>11</v>
      </c>
      <c r="AL60" s="48">
        <f t="shared" si="368"/>
        <v>7</v>
      </c>
      <c r="AM60" s="48">
        <f t="shared" si="368"/>
        <v>14</v>
      </c>
      <c r="AN60" s="48">
        <f t="shared" si="368"/>
        <v>12</v>
      </c>
      <c r="AO60" s="48">
        <f t="shared" si="368"/>
        <v>10</v>
      </c>
      <c r="AP60" s="48">
        <f t="shared" si="368"/>
        <v>7</v>
      </c>
      <c r="AQ60" s="48">
        <f t="shared" si="368"/>
        <v>1</v>
      </c>
      <c r="AR60" s="38">
        <f t="shared" si="14"/>
        <v>118</v>
      </c>
      <c r="AS60" s="44">
        <f t="shared" ref="AS60:BD60" si="369">SUM(AS12+AS18+AS24+AS30+AS36+AS42+AS48+AS54)</f>
        <v>26</v>
      </c>
      <c r="AT60" s="44">
        <f t="shared" si="369"/>
        <v>11</v>
      </c>
      <c r="AU60" s="44">
        <f t="shared" si="369"/>
        <v>37</v>
      </c>
      <c r="AV60" s="44">
        <f t="shared" si="369"/>
        <v>22</v>
      </c>
      <c r="AW60" s="44">
        <f t="shared" si="369"/>
        <v>18</v>
      </c>
      <c r="AX60" s="44">
        <f t="shared" si="369"/>
        <v>17</v>
      </c>
      <c r="AY60" s="44">
        <f t="shared" si="369"/>
        <v>15</v>
      </c>
      <c r="AZ60" s="44">
        <f t="shared" si="369"/>
        <v>20</v>
      </c>
      <c r="BA60" s="44">
        <f t="shared" si="369"/>
        <v>11</v>
      </c>
      <c r="BB60" s="44">
        <f t="shared" si="369"/>
        <v>16</v>
      </c>
      <c r="BC60" s="44">
        <f t="shared" si="369"/>
        <v>14</v>
      </c>
      <c r="BD60" s="44">
        <f t="shared" si="369"/>
        <v>21</v>
      </c>
      <c r="BE60" s="38">
        <f t="shared" si="15"/>
        <v>228</v>
      </c>
      <c r="BF60" s="36">
        <f t="shared" si="16"/>
        <v>346</v>
      </c>
      <c r="BG60" s="26"/>
      <c r="BH60" s="44">
        <f t="shared" ref="BH60:BS60" si="370">SUM(BH12+BH18+BH24+BH30+BH36+BH42+BH48+BH54)</f>
        <v>16</v>
      </c>
      <c r="BI60" s="44">
        <f t="shared" si="370"/>
        <v>11</v>
      </c>
      <c r="BJ60" s="44">
        <f t="shared" si="370"/>
        <v>2</v>
      </c>
      <c r="BK60" s="44">
        <f t="shared" si="370"/>
        <v>5</v>
      </c>
      <c r="BL60" s="44">
        <f t="shared" si="370"/>
        <v>2</v>
      </c>
      <c r="BM60" s="44">
        <f t="shared" si="370"/>
        <v>6</v>
      </c>
      <c r="BN60" s="44">
        <f t="shared" si="370"/>
        <v>10</v>
      </c>
      <c r="BO60" s="44">
        <f t="shared" si="370"/>
        <v>5</v>
      </c>
      <c r="BP60" s="44">
        <f t="shared" si="370"/>
        <v>10</v>
      </c>
      <c r="BQ60" s="44">
        <f t="shared" si="370"/>
        <v>8</v>
      </c>
      <c r="BR60" s="44">
        <f t="shared" si="370"/>
        <v>6</v>
      </c>
      <c r="BS60" s="44">
        <f t="shared" si="370"/>
        <v>3</v>
      </c>
      <c r="BT60" s="38">
        <f t="shared" si="17"/>
        <v>84</v>
      </c>
      <c r="BU60" s="44">
        <f t="shared" ref="BU60:CF60" si="371">SUM(BU12+BU18+BU24+BU30+BU36+BU42+BU48+BU54)</f>
        <v>283</v>
      </c>
      <c r="BV60" s="44">
        <f t="shared" si="371"/>
        <v>373</v>
      </c>
      <c r="BW60" s="44">
        <f t="shared" si="371"/>
        <v>411</v>
      </c>
      <c r="BX60" s="44">
        <f t="shared" si="371"/>
        <v>296</v>
      </c>
      <c r="BY60" s="44">
        <f t="shared" si="371"/>
        <v>353</v>
      </c>
      <c r="BZ60" s="44">
        <f t="shared" si="371"/>
        <v>195</v>
      </c>
      <c r="CA60" s="44">
        <f t="shared" si="371"/>
        <v>145</v>
      </c>
      <c r="CB60" s="44">
        <f t="shared" si="371"/>
        <v>131</v>
      </c>
      <c r="CC60" s="44">
        <f t="shared" si="371"/>
        <v>125</v>
      </c>
      <c r="CD60" s="44">
        <f t="shared" si="371"/>
        <v>156</v>
      </c>
      <c r="CE60" s="44">
        <f t="shared" si="371"/>
        <v>221.66666666666666</v>
      </c>
      <c r="CF60" s="44">
        <f t="shared" si="371"/>
        <v>222.96969696969697</v>
      </c>
      <c r="CG60" s="38">
        <f t="shared" si="18"/>
        <v>2912.6363636363635</v>
      </c>
      <c r="CH60" s="36">
        <f t="shared" si="19"/>
        <v>2996.6363636363635</v>
      </c>
      <c r="CI60" s="26"/>
      <c r="CJ60" s="44">
        <f t="shared" ref="CJ60:CU60" si="372">SUM(CJ12+CJ18+CJ24+CJ30+CJ36+CJ42+CJ48+CJ54)</f>
        <v>28</v>
      </c>
      <c r="CK60" s="44">
        <f t="shared" si="372"/>
        <v>27</v>
      </c>
      <c r="CL60" s="44">
        <f t="shared" si="372"/>
        <v>25</v>
      </c>
      <c r="CM60" s="44">
        <f t="shared" si="372"/>
        <v>66</v>
      </c>
      <c r="CN60" s="44">
        <f t="shared" si="372"/>
        <v>20</v>
      </c>
      <c r="CO60" s="44">
        <f t="shared" si="372"/>
        <v>30</v>
      </c>
      <c r="CP60" s="44">
        <f t="shared" si="372"/>
        <v>16</v>
      </c>
      <c r="CQ60" s="44">
        <f t="shared" si="372"/>
        <v>22</v>
      </c>
      <c r="CR60" s="44">
        <f t="shared" si="372"/>
        <v>12</v>
      </c>
      <c r="CS60" s="44">
        <f t="shared" si="372"/>
        <v>25</v>
      </c>
      <c r="CT60" s="44">
        <f t="shared" si="372"/>
        <v>33</v>
      </c>
      <c r="CU60" s="44">
        <f t="shared" si="372"/>
        <v>28</v>
      </c>
      <c r="CV60" s="38">
        <f t="shared" si="20"/>
        <v>332</v>
      </c>
      <c r="CW60" s="44">
        <f t="shared" ref="CW60:DH60" si="373">SUM(CW12+CW18+CW24+CW30+CW36+CW42+CW48+CW54)</f>
        <v>358</v>
      </c>
      <c r="CX60" s="44">
        <f t="shared" si="373"/>
        <v>663</v>
      </c>
      <c r="CY60" s="44">
        <f t="shared" si="373"/>
        <v>937</v>
      </c>
      <c r="CZ60" s="44">
        <f t="shared" si="373"/>
        <v>814</v>
      </c>
      <c r="DA60" s="44">
        <f t="shared" si="373"/>
        <v>811</v>
      </c>
      <c r="DB60" s="44">
        <f t="shared" si="373"/>
        <v>511</v>
      </c>
      <c r="DC60" s="44">
        <f t="shared" si="373"/>
        <v>322</v>
      </c>
      <c r="DD60" s="44">
        <f t="shared" si="373"/>
        <v>277</v>
      </c>
      <c r="DE60" s="44">
        <f t="shared" si="373"/>
        <v>388</v>
      </c>
      <c r="DF60" s="44">
        <f t="shared" si="373"/>
        <v>439</v>
      </c>
      <c r="DG60" s="44">
        <f t="shared" si="373"/>
        <v>445</v>
      </c>
      <c r="DH60" s="44">
        <f t="shared" si="373"/>
        <v>296</v>
      </c>
      <c r="DI60" s="38">
        <f t="shared" si="21"/>
        <v>6261</v>
      </c>
      <c r="DJ60" s="36">
        <f t="shared" si="22"/>
        <v>6593</v>
      </c>
      <c r="DK60" s="26"/>
      <c r="DL60" s="44">
        <f t="shared" ref="DL60:DW60" si="374">SUM(DL12+DL18+DL24+DL30+DL36+DL42+DL48+DL54)</f>
        <v>51</v>
      </c>
      <c r="DM60" s="44">
        <f t="shared" si="374"/>
        <v>69</v>
      </c>
      <c r="DN60" s="44">
        <f t="shared" si="374"/>
        <v>38</v>
      </c>
      <c r="DO60" s="44">
        <f t="shared" si="374"/>
        <v>65</v>
      </c>
      <c r="DP60" s="44">
        <f t="shared" si="374"/>
        <v>70</v>
      </c>
      <c r="DQ60" s="44">
        <f t="shared" si="374"/>
        <v>2</v>
      </c>
      <c r="DR60" s="44">
        <f t="shared" si="374"/>
        <v>11</v>
      </c>
      <c r="DS60" s="44">
        <f t="shared" si="374"/>
        <v>7</v>
      </c>
      <c r="DT60" s="44">
        <f t="shared" si="374"/>
        <v>16</v>
      </c>
      <c r="DU60" s="44">
        <f t="shared" si="374"/>
        <v>34</v>
      </c>
      <c r="DV60" s="44">
        <f t="shared" si="374"/>
        <v>57</v>
      </c>
      <c r="DW60" s="44">
        <f t="shared" si="374"/>
        <v>20</v>
      </c>
      <c r="DX60" s="38">
        <f t="shared" si="0"/>
        <v>440</v>
      </c>
      <c r="DY60" s="44">
        <f t="shared" ref="DY60:EJ60" si="375">SUM(DY12+DY18+DY24+DY30+DY36+DY42+DY48+DY54)</f>
        <v>140</v>
      </c>
      <c r="DZ60" s="44">
        <f t="shared" si="375"/>
        <v>114</v>
      </c>
      <c r="EA60" s="44">
        <f t="shared" si="375"/>
        <v>162</v>
      </c>
      <c r="EB60" s="44">
        <f t="shared" si="375"/>
        <v>212</v>
      </c>
      <c r="EC60" s="44">
        <f t="shared" si="375"/>
        <v>247</v>
      </c>
      <c r="ED60" s="44">
        <f t="shared" si="375"/>
        <v>186</v>
      </c>
      <c r="EE60" s="44">
        <f t="shared" si="375"/>
        <v>271</v>
      </c>
      <c r="EF60" s="44">
        <f t="shared" si="375"/>
        <v>114</v>
      </c>
      <c r="EG60" s="44">
        <f t="shared" si="375"/>
        <v>172</v>
      </c>
      <c r="EH60" s="44">
        <f t="shared" si="375"/>
        <v>264</v>
      </c>
      <c r="EI60" s="44">
        <f t="shared" si="375"/>
        <v>198</v>
      </c>
      <c r="EJ60" s="44">
        <f t="shared" si="375"/>
        <v>136</v>
      </c>
      <c r="EK60" s="38">
        <f t="shared" si="23"/>
        <v>2216</v>
      </c>
      <c r="EL60" s="36">
        <f t="shared" si="1"/>
        <v>2656</v>
      </c>
      <c r="EM60" s="26"/>
      <c r="EN60" s="44">
        <f t="shared" ref="EN60:EY60" si="376">SUM(EN12+EN18+EN24+EN30+EN36+EN42+EN48+EN54)</f>
        <v>652</v>
      </c>
      <c r="EO60" s="44">
        <f t="shared" si="376"/>
        <v>747</v>
      </c>
      <c r="EP60" s="44">
        <f t="shared" si="376"/>
        <v>541</v>
      </c>
      <c r="EQ60" s="44">
        <f t="shared" si="376"/>
        <v>605</v>
      </c>
      <c r="ER60" s="44">
        <f t="shared" si="376"/>
        <v>833</v>
      </c>
      <c r="ES60" s="44">
        <f t="shared" si="376"/>
        <v>472</v>
      </c>
      <c r="ET60" s="44">
        <f t="shared" si="376"/>
        <v>299</v>
      </c>
      <c r="EU60" s="44">
        <f t="shared" si="376"/>
        <v>502</v>
      </c>
      <c r="EV60" s="44">
        <f t="shared" si="376"/>
        <v>640</v>
      </c>
      <c r="EW60" s="44">
        <f t="shared" si="376"/>
        <v>582</v>
      </c>
      <c r="EX60" s="44">
        <f t="shared" si="376"/>
        <v>503</v>
      </c>
      <c r="EY60" s="44">
        <f t="shared" si="376"/>
        <v>424</v>
      </c>
      <c r="EZ60" s="38">
        <f t="shared" si="24"/>
        <v>6800</v>
      </c>
      <c r="FA60" s="26"/>
      <c r="FB60" s="44">
        <f t="shared" ref="FB60:FM60" si="377">SUM(FB12+FB18+FB24+FB30+FB36+FB42+FB48+FB54)</f>
        <v>1110</v>
      </c>
      <c r="FC60" s="44">
        <f t="shared" si="377"/>
        <v>1757</v>
      </c>
      <c r="FD60" s="44">
        <f t="shared" si="377"/>
        <v>2252</v>
      </c>
      <c r="FE60" s="44">
        <f t="shared" si="377"/>
        <v>1655</v>
      </c>
      <c r="FF60" s="44">
        <f t="shared" si="377"/>
        <v>1608</v>
      </c>
      <c r="FG60" s="44">
        <f t="shared" si="377"/>
        <v>725</v>
      </c>
      <c r="FH60" s="44">
        <f t="shared" si="377"/>
        <v>695</v>
      </c>
      <c r="FI60" s="44">
        <f t="shared" si="377"/>
        <v>1374</v>
      </c>
      <c r="FJ60" s="44">
        <f t="shared" si="377"/>
        <v>2138</v>
      </c>
      <c r="FK60" s="44">
        <f t="shared" si="377"/>
        <v>978</v>
      </c>
      <c r="FL60" s="44">
        <f t="shared" si="377"/>
        <v>1017</v>
      </c>
      <c r="FM60" s="44">
        <f t="shared" si="377"/>
        <v>1149</v>
      </c>
      <c r="FN60" s="38">
        <f t="shared" si="25"/>
        <v>16458</v>
      </c>
      <c r="FO60" s="26"/>
      <c r="FP60" s="44">
        <f t="shared" ref="FP60:GA60" si="378">SUM(FP12+FP18+FP24+FP30+FP36+FP42+FP48+FP54)</f>
        <v>166</v>
      </c>
      <c r="FQ60" s="44">
        <f t="shared" si="378"/>
        <v>180</v>
      </c>
      <c r="FR60" s="44">
        <f t="shared" si="378"/>
        <v>106</v>
      </c>
      <c r="FS60" s="44">
        <f t="shared" si="378"/>
        <v>96</v>
      </c>
      <c r="FT60" s="44">
        <f t="shared" si="378"/>
        <v>131</v>
      </c>
      <c r="FU60" s="44">
        <f t="shared" si="378"/>
        <v>118</v>
      </c>
      <c r="FV60" s="44">
        <f t="shared" si="378"/>
        <v>122</v>
      </c>
      <c r="FW60" s="44">
        <f t="shared" si="378"/>
        <v>93</v>
      </c>
      <c r="FX60" s="44">
        <f t="shared" si="378"/>
        <v>163</v>
      </c>
      <c r="FY60" s="44">
        <f t="shared" si="378"/>
        <v>109</v>
      </c>
      <c r="FZ60" s="44">
        <f t="shared" si="378"/>
        <v>119</v>
      </c>
      <c r="GA60" s="44">
        <f t="shared" si="378"/>
        <v>118</v>
      </c>
      <c r="GB60" s="38">
        <f t="shared" si="26"/>
        <v>1521</v>
      </c>
      <c r="GC60" s="26"/>
      <c r="GD60" s="44">
        <f t="shared" ref="GD60:GO60" si="379">SUM(GD12+GD18+GD24+GD30+GD36+GD42+GD48+GD54)</f>
        <v>613</v>
      </c>
      <c r="GE60" s="44">
        <f t="shared" si="379"/>
        <v>530</v>
      </c>
      <c r="GF60" s="44">
        <f t="shared" si="379"/>
        <v>673</v>
      </c>
      <c r="GG60" s="44">
        <f t="shared" si="379"/>
        <v>773</v>
      </c>
      <c r="GH60" s="44">
        <f t="shared" si="379"/>
        <v>789</v>
      </c>
      <c r="GI60" s="44">
        <f t="shared" si="379"/>
        <v>586</v>
      </c>
      <c r="GJ60" s="44">
        <f t="shared" si="379"/>
        <v>473</v>
      </c>
      <c r="GK60" s="44">
        <f t="shared" si="379"/>
        <v>587</v>
      </c>
      <c r="GL60" s="44">
        <f t="shared" si="379"/>
        <v>520</v>
      </c>
      <c r="GM60" s="44">
        <f t="shared" si="379"/>
        <v>518</v>
      </c>
      <c r="GN60" s="44">
        <f t="shared" si="379"/>
        <v>472</v>
      </c>
      <c r="GO60" s="44">
        <f t="shared" si="379"/>
        <v>428</v>
      </c>
      <c r="GP60" s="38">
        <f t="shared" si="27"/>
        <v>6962</v>
      </c>
      <c r="GQ60" s="26"/>
      <c r="GR60" s="44">
        <f t="shared" ref="GR60:HC60" si="380">SUM(GR12+GR18+GR24+GR30+GR36+GR42+GR48+GR54)</f>
        <v>33</v>
      </c>
      <c r="GS60" s="44">
        <f t="shared" si="380"/>
        <v>21</v>
      </c>
      <c r="GT60" s="44">
        <f t="shared" si="380"/>
        <v>17</v>
      </c>
      <c r="GU60" s="44">
        <f t="shared" si="380"/>
        <v>131</v>
      </c>
      <c r="GV60" s="44">
        <f t="shared" si="380"/>
        <v>100</v>
      </c>
      <c r="GW60" s="44">
        <f t="shared" si="380"/>
        <v>50</v>
      </c>
      <c r="GX60" s="44">
        <f t="shared" si="380"/>
        <v>29</v>
      </c>
      <c r="GY60" s="44">
        <f t="shared" si="380"/>
        <v>8</v>
      </c>
      <c r="GZ60" s="44">
        <f t="shared" si="380"/>
        <v>21</v>
      </c>
      <c r="HA60" s="44">
        <f t="shared" si="380"/>
        <v>7</v>
      </c>
      <c r="HB60" s="44">
        <f t="shared" si="380"/>
        <v>61</v>
      </c>
      <c r="HC60" s="44">
        <f t="shared" si="380"/>
        <v>35</v>
      </c>
      <c r="HD60" s="38">
        <f t="shared" si="28"/>
        <v>513</v>
      </c>
      <c r="HE60" s="26"/>
      <c r="HF60" s="44">
        <f t="shared" ref="HF60:HQ60" si="381">SUM(HF12+HF18+HF24+HF30+HF36+HF42+HF48+HF54)</f>
        <v>389</v>
      </c>
      <c r="HG60" s="44">
        <f t="shared" si="381"/>
        <v>486</v>
      </c>
      <c r="HH60" s="44">
        <f t="shared" si="381"/>
        <v>456</v>
      </c>
      <c r="HI60" s="44">
        <f t="shared" si="381"/>
        <v>399</v>
      </c>
      <c r="HJ60" s="44">
        <f t="shared" si="381"/>
        <v>466</v>
      </c>
      <c r="HK60" s="44">
        <f t="shared" si="381"/>
        <v>556</v>
      </c>
      <c r="HL60" s="44">
        <f t="shared" si="381"/>
        <v>536</v>
      </c>
      <c r="HM60" s="44">
        <f t="shared" si="381"/>
        <v>373</v>
      </c>
      <c r="HN60" s="44">
        <f t="shared" si="381"/>
        <v>627</v>
      </c>
      <c r="HO60" s="44">
        <f t="shared" si="381"/>
        <v>407</v>
      </c>
      <c r="HP60" s="44">
        <f t="shared" si="381"/>
        <v>358</v>
      </c>
      <c r="HQ60" s="44">
        <f t="shared" si="381"/>
        <v>397</v>
      </c>
      <c r="HR60" s="38">
        <f t="shared" si="29"/>
        <v>5450</v>
      </c>
      <c r="HS60" s="26"/>
      <c r="HT60" s="44">
        <f t="shared" ref="HT60:IE60" si="382">SUM(HT12+HT18+HT24+HT30+HT36+HT42+HT48+HT54)</f>
        <v>2</v>
      </c>
      <c r="HU60" s="44">
        <f t="shared" si="382"/>
        <v>15</v>
      </c>
      <c r="HV60" s="44">
        <f t="shared" si="382"/>
        <v>19</v>
      </c>
      <c r="HW60" s="44">
        <f t="shared" si="382"/>
        <v>16</v>
      </c>
      <c r="HX60" s="44">
        <f t="shared" si="382"/>
        <v>15</v>
      </c>
      <c r="HY60" s="44">
        <f t="shared" si="382"/>
        <v>6</v>
      </c>
      <c r="HZ60" s="44">
        <f t="shared" si="382"/>
        <v>11</v>
      </c>
      <c r="IA60" s="44">
        <f t="shared" si="382"/>
        <v>15</v>
      </c>
      <c r="IB60" s="44">
        <f t="shared" si="382"/>
        <v>18</v>
      </c>
      <c r="IC60" s="44">
        <f t="shared" si="382"/>
        <v>15</v>
      </c>
      <c r="ID60" s="44">
        <f t="shared" si="382"/>
        <v>20</v>
      </c>
      <c r="IE60" s="44">
        <f t="shared" si="382"/>
        <v>17</v>
      </c>
      <c r="IF60" s="38">
        <f t="shared" si="347"/>
        <v>169</v>
      </c>
      <c r="IG60" s="44">
        <f t="shared" ref="IG60:IR60" si="383">SUM(IG12+IG18+IG24+IG30+IG36+IG42+IG48+IG54)</f>
        <v>391</v>
      </c>
      <c r="IH60" s="44">
        <f t="shared" si="383"/>
        <v>464</v>
      </c>
      <c r="II60" s="44">
        <f t="shared" si="383"/>
        <v>506</v>
      </c>
      <c r="IJ60" s="44">
        <f t="shared" si="383"/>
        <v>613</v>
      </c>
      <c r="IK60" s="44">
        <f t="shared" si="383"/>
        <v>414</v>
      </c>
      <c r="IL60" s="44">
        <f t="shared" si="383"/>
        <v>314</v>
      </c>
      <c r="IM60" s="44">
        <f t="shared" si="383"/>
        <v>289</v>
      </c>
      <c r="IN60" s="44">
        <f t="shared" si="383"/>
        <v>277</v>
      </c>
      <c r="IO60" s="44">
        <f t="shared" si="383"/>
        <v>321</v>
      </c>
      <c r="IP60" s="44">
        <f t="shared" si="383"/>
        <v>362</v>
      </c>
      <c r="IQ60" s="44">
        <f t="shared" si="383"/>
        <v>329</v>
      </c>
      <c r="IR60" s="44">
        <f t="shared" si="383"/>
        <v>260</v>
      </c>
      <c r="IS60" s="38">
        <f t="shared" si="349"/>
        <v>4540</v>
      </c>
      <c r="IT60" s="36">
        <f t="shared" si="39"/>
        <v>4709</v>
      </c>
      <c r="IU60" s="26"/>
      <c r="IV60" s="44">
        <f t="shared" ref="IV60:JG60" si="384">SUM(IV12+IV18+IV24+IV30+IV36+IV42+IV48+IV54)</f>
        <v>321</v>
      </c>
      <c r="IW60" s="44">
        <f t="shared" si="384"/>
        <v>281</v>
      </c>
      <c r="IX60" s="44">
        <f t="shared" si="384"/>
        <v>282</v>
      </c>
      <c r="IY60" s="44">
        <f t="shared" si="384"/>
        <v>291</v>
      </c>
      <c r="IZ60" s="44">
        <f t="shared" si="384"/>
        <v>249</v>
      </c>
      <c r="JA60" s="44">
        <f t="shared" si="384"/>
        <v>218</v>
      </c>
      <c r="JB60" s="44">
        <f t="shared" si="384"/>
        <v>271</v>
      </c>
      <c r="JC60" s="44">
        <f t="shared" si="384"/>
        <v>217</v>
      </c>
      <c r="JD60" s="44">
        <f t="shared" si="384"/>
        <v>251</v>
      </c>
      <c r="JE60" s="44">
        <f t="shared" si="384"/>
        <v>301</v>
      </c>
      <c r="JF60" s="44">
        <f t="shared" si="384"/>
        <v>245</v>
      </c>
      <c r="JG60" s="44">
        <f t="shared" si="384"/>
        <v>255</v>
      </c>
      <c r="JH60" s="38">
        <f t="shared" si="351"/>
        <v>3182</v>
      </c>
      <c r="JI60" s="111">
        <f t="shared" ref="JI60:JT60" si="385">SUM(JI12+JI18+JI24+JI30+JI36+JI42+JI48+JI54)</f>
        <v>1130.8</v>
      </c>
      <c r="JJ60" s="7">
        <f t="shared" si="385"/>
        <v>2011.6</v>
      </c>
      <c r="JK60" s="7">
        <f t="shared" si="385"/>
        <v>2225</v>
      </c>
      <c r="JL60" s="7">
        <f t="shared" si="385"/>
        <v>2235.0000000000005</v>
      </c>
      <c r="JM60" s="7">
        <f t="shared" si="385"/>
        <v>1641.8000000000002</v>
      </c>
      <c r="JN60" s="7">
        <f t="shared" si="385"/>
        <v>1237.2000000000003</v>
      </c>
      <c r="JO60" s="7">
        <f t="shared" si="385"/>
        <v>1188.5999999999999</v>
      </c>
      <c r="JP60" s="7">
        <f t="shared" si="385"/>
        <v>1286.2</v>
      </c>
      <c r="JQ60" s="7">
        <f t="shared" si="385"/>
        <v>2020.0000000000002</v>
      </c>
      <c r="JR60" s="7">
        <f t="shared" si="385"/>
        <v>1495.2</v>
      </c>
      <c r="JS60" s="7">
        <f t="shared" si="385"/>
        <v>1480.8000000000002</v>
      </c>
      <c r="JT60" s="7">
        <f t="shared" si="385"/>
        <v>1489.6000000000001</v>
      </c>
      <c r="JU60" s="90">
        <f t="shared" si="5"/>
        <v>19441.8</v>
      </c>
      <c r="JV60" s="40">
        <f t="shared" si="30"/>
        <v>22623.8</v>
      </c>
      <c r="JW60" s="26"/>
      <c r="JX60" s="44">
        <f t="shared" ref="JX60:KI60" si="386">SUM(JX12+JX18+JX24+JX30+JX36+JX42+JX48+JX54)</f>
        <v>222</v>
      </c>
      <c r="JY60" s="44">
        <f t="shared" si="386"/>
        <v>294</v>
      </c>
      <c r="JZ60" s="44">
        <f t="shared" si="386"/>
        <v>312</v>
      </c>
      <c r="KA60" s="44">
        <f t="shared" si="386"/>
        <v>486</v>
      </c>
      <c r="KB60" s="44">
        <f t="shared" si="386"/>
        <v>805</v>
      </c>
      <c r="KC60" s="44">
        <f t="shared" si="386"/>
        <v>696</v>
      </c>
      <c r="KD60" s="44">
        <f t="shared" si="386"/>
        <v>586</v>
      </c>
      <c r="KE60" s="44">
        <f t="shared" si="386"/>
        <v>685</v>
      </c>
      <c r="KF60" s="44">
        <f t="shared" si="386"/>
        <v>553</v>
      </c>
      <c r="KG60" s="44">
        <f t="shared" si="386"/>
        <v>335</v>
      </c>
      <c r="KH60" s="44">
        <f t="shared" si="386"/>
        <v>266</v>
      </c>
      <c r="KI60" s="44">
        <f t="shared" si="386"/>
        <v>278</v>
      </c>
      <c r="KJ60" s="38">
        <f t="shared" si="354"/>
        <v>5518</v>
      </c>
      <c r="KK60" s="44">
        <f t="shared" ref="KK60:KV60" si="387">SUM(KK12+KK18+KK24+KK30+KK36+KK42+KK48+KK54)</f>
        <v>145</v>
      </c>
      <c r="KL60" s="44">
        <f t="shared" si="387"/>
        <v>155</v>
      </c>
      <c r="KM60" s="44">
        <f t="shared" si="387"/>
        <v>198</v>
      </c>
      <c r="KN60" s="44">
        <f t="shared" si="387"/>
        <v>277</v>
      </c>
      <c r="KO60" s="44">
        <f t="shared" si="387"/>
        <v>183</v>
      </c>
      <c r="KP60" s="44">
        <f t="shared" si="387"/>
        <v>98</v>
      </c>
      <c r="KQ60" s="44">
        <f t="shared" si="387"/>
        <v>90</v>
      </c>
      <c r="KR60" s="44">
        <f t="shared" si="387"/>
        <v>137</v>
      </c>
      <c r="KS60" s="44">
        <f t="shared" si="387"/>
        <v>75</v>
      </c>
      <c r="KT60" s="44">
        <f t="shared" si="387"/>
        <v>67</v>
      </c>
      <c r="KU60" s="44">
        <f t="shared" si="387"/>
        <v>79</v>
      </c>
      <c r="KV60" s="44">
        <f t="shared" si="387"/>
        <v>136</v>
      </c>
      <c r="KW60" s="38">
        <f t="shared" si="356"/>
        <v>1640</v>
      </c>
      <c r="KX60" s="36">
        <f t="shared" si="31"/>
        <v>7158</v>
      </c>
      <c r="KY60" s="26"/>
      <c r="KZ60" s="44">
        <f t="shared" ref="KZ60:LK60" si="388">SUM(KZ12+KZ18+KZ24+KZ30+KZ36+KZ42+KZ48+KZ54)</f>
        <v>149</v>
      </c>
      <c r="LA60" s="44">
        <f t="shared" si="388"/>
        <v>78</v>
      </c>
      <c r="LB60" s="44">
        <f t="shared" si="388"/>
        <v>47</v>
      </c>
      <c r="LC60" s="44">
        <f t="shared" si="388"/>
        <v>121</v>
      </c>
      <c r="LD60" s="44">
        <f t="shared" si="388"/>
        <v>70</v>
      </c>
      <c r="LE60" s="44">
        <f t="shared" si="388"/>
        <v>64</v>
      </c>
      <c r="LF60" s="44">
        <f t="shared" si="388"/>
        <v>52</v>
      </c>
      <c r="LG60" s="44">
        <f t="shared" si="388"/>
        <v>46</v>
      </c>
      <c r="LH60" s="44">
        <f t="shared" si="388"/>
        <v>30</v>
      </c>
      <c r="LI60" s="44">
        <f t="shared" si="388"/>
        <v>68</v>
      </c>
      <c r="LJ60" s="44">
        <f t="shared" si="388"/>
        <v>52</v>
      </c>
      <c r="LK60" s="44">
        <f t="shared" si="388"/>
        <v>49</v>
      </c>
      <c r="LL60" s="38">
        <f t="shared" si="32"/>
        <v>826</v>
      </c>
      <c r="LM60" s="26"/>
      <c r="LN60" s="44">
        <f t="shared" ref="LN60:LY60" si="389">SUM(LN12+LN18+LN24+LN30+LN36+LN42+LN48+LN54)</f>
        <v>183</v>
      </c>
      <c r="LO60" s="44">
        <f t="shared" si="389"/>
        <v>210</v>
      </c>
      <c r="LP60" s="44">
        <f t="shared" si="389"/>
        <v>212</v>
      </c>
      <c r="LQ60" s="44">
        <f t="shared" si="389"/>
        <v>195</v>
      </c>
      <c r="LR60" s="44">
        <f t="shared" si="389"/>
        <v>168</v>
      </c>
      <c r="LS60" s="44">
        <f t="shared" si="389"/>
        <v>126</v>
      </c>
      <c r="LT60" s="44">
        <f t="shared" si="389"/>
        <v>112</v>
      </c>
      <c r="LU60" s="44">
        <f t="shared" si="389"/>
        <v>187</v>
      </c>
      <c r="LV60" s="44">
        <f t="shared" si="389"/>
        <v>160</v>
      </c>
      <c r="LW60" s="44">
        <f t="shared" si="389"/>
        <v>180</v>
      </c>
      <c r="LX60" s="44">
        <f t="shared" si="389"/>
        <v>140</v>
      </c>
      <c r="LY60" s="44">
        <f t="shared" si="389"/>
        <v>146</v>
      </c>
      <c r="LZ60" s="38">
        <f t="shared" si="359"/>
        <v>2019</v>
      </c>
      <c r="MA60" s="26"/>
      <c r="MB60" s="44">
        <f t="shared" ref="MB60:MM60" si="390">SUM(MB12+MB18+MB24+MB30+MB36+MB42+MB48+MB54)</f>
        <v>543</v>
      </c>
      <c r="MC60" s="44">
        <f t="shared" si="390"/>
        <v>491</v>
      </c>
      <c r="MD60" s="44">
        <f t="shared" si="390"/>
        <v>592</v>
      </c>
      <c r="ME60" s="44">
        <f t="shared" si="390"/>
        <v>636</v>
      </c>
      <c r="MF60" s="44">
        <f t="shared" si="390"/>
        <v>980</v>
      </c>
      <c r="MG60" s="44">
        <f t="shared" si="390"/>
        <v>694</v>
      </c>
      <c r="MH60" s="44">
        <f t="shared" si="390"/>
        <v>532</v>
      </c>
      <c r="MI60" s="44">
        <f t="shared" si="390"/>
        <v>473</v>
      </c>
      <c r="MJ60" s="44">
        <f t="shared" si="390"/>
        <v>451</v>
      </c>
      <c r="MK60" s="44">
        <f t="shared" si="390"/>
        <v>388</v>
      </c>
      <c r="ML60" s="44">
        <f t="shared" si="390"/>
        <v>387</v>
      </c>
      <c r="MM60" s="44">
        <f t="shared" si="390"/>
        <v>460</v>
      </c>
      <c r="MN60" s="38">
        <f t="shared" si="361"/>
        <v>6627</v>
      </c>
      <c r="MO60" s="44">
        <f t="shared" ref="MO60:MZ60" si="391">SUM(MO12+MO18+MO24+MO30+MO36+MO42+MO48+MO54)</f>
        <v>2594</v>
      </c>
      <c r="MP60" s="44">
        <f t="shared" si="391"/>
        <v>2727</v>
      </c>
      <c r="MQ60" s="44">
        <f t="shared" si="391"/>
        <v>4054</v>
      </c>
      <c r="MR60" s="44">
        <f t="shared" si="391"/>
        <v>3667</v>
      </c>
      <c r="MS60" s="44">
        <f t="shared" si="391"/>
        <v>3367</v>
      </c>
      <c r="MT60" s="44">
        <f t="shared" si="391"/>
        <v>2277</v>
      </c>
      <c r="MU60" s="44">
        <f t="shared" si="391"/>
        <v>2670</v>
      </c>
      <c r="MV60" s="44">
        <f t="shared" si="391"/>
        <v>2342</v>
      </c>
      <c r="MW60" s="44">
        <f t="shared" si="391"/>
        <v>2367</v>
      </c>
      <c r="MX60" s="44">
        <f t="shared" si="391"/>
        <v>2742</v>
      </c>
      <c r="MY60" s="44">
        <f t="shared" si="391"/>
        <v>2597</v>
      </c>
      <c r="MZ60" s="44">
        <f t="shared" si="391"/>
        <v>2195</v>
      </c>
      <c r="NA60" s="38">
        <f t="shared" si="363"/>
        <v>33599</v>
      </c>
      <c r="NB60" s="36">
        <f t="shared" si="33"/>
        <v>40226</v>
      </c>
      <c r="NC60" s="26"/>
      <c r="ND60" s="44">
        <f t="shared" ref="ND60:NO60" si="392">SUM(ND12+ND18+ND24+ND30+ND36+ND42+ND48+ND54)</f>
        <v>402</v>
      </c>
      <c r="NE60" s="44">
        <f t="shared" si="392"/>
        <v>291</v>
      </c>
      <c r="NF60" s="44">
        <f t="shared" si="392"/>
        <v>418</v>
      </c>
      <c r="NG60" s="44">
        <f t="shared" si="392"/>
        <v>430</v>
      </c>
      <c r="NH60" s="44">
        <f t="shared" si="392"/>
        <v>568</v>
      </c>
      <c r="NI60" s="44">
        <f t="shared" si="392"/>
        <v>464</v>
      </c>
      <c r="NJ60" s="44">
        <f t="shared" si="392"/>
        <v>355</v>
      </c>
      <c r="NK60" s="44">
        <f t="shared" si="392"/>
        <v>330</v>
      </c>
      <c r="NL60" s="44">
        <f t="shared" si="392"/>
        <v>594</v>
      </c>
      <c r="NM60" s="44">
        <f t="shared" si="392"/>
        <v>390</v>
      </c>
      <c r="NN60" s="44">
        <f t="shared" si="392"/>
        <v>396</v>
      </c>
      <c r="NO60" s="44">
        <f t="shared" si="392"/>
        <v>469</v>
      </c>
      <c r="NP60" s="118">
        <f t="shared" si="365"/>
        <v>5107</v>
      </c>
      <c r="NQ60" s="36">
        <f t="shared" si="34"/>
        <v>8920.7777777777774</v>
      </c>
      <c r="NR60" s="36">
        <f t="shared" si="35"/>
        <v>72749.636363636368</v>
      </c>
      <c r="NS60" s="36">
        <f t="shared" si="36"/>
        <v>90010.8</v>
      </c>
      <c r="NT60" s="36">
        <f t="shared" si="37"/>
        <v>171681.21414141415</v>
      </c>
      <c r="NU60" s="21"/>
      <c r="NV60" s="21"/>
      <c r="NW60" s="21"/>
      <c r="NX60" s="21"/>
      <c r="NY60" s="21"/>
      <c r="NZ60" s="21"/>
      <c r="OA60" s="21"/>
      <c r="OB60" s="21"/>
      <c r="OC60" s="21"/>
      <c r="OD60" s="21"/>
      <c r="OE60" s="21"/>
      <c r="OF60" s="21"/>
      <c r="OG60" s="21"/>
      <c r="OH60" s="21"/>
      <c r="OI60" s="21"/>
      <c r="OJ60" s="21"/>
      <c r="OK60" s="21"/>
      <c r="OL60" s="21"/>
      <c r="OM60" s="21"/>
      <c r="ON60" s="21"/>
      <c r="OO60" s="21"/>
      <c r="OP60" s="22"/>
      <c r="OQ60" s="21"/>
      <c r="OR60" s="21"/>
      <c r="OS60" s="21"/>
      <c r="OT60" s="21"/>
      <c r="OU60" s="21"/>
      <c r="OV60" s="21"/>
      <c r="OW60" s="21"/>
      <c r="OX60" s="21"/>
      <c r="OY60" s="21"/>
      <c r="OZ60" s="21"/>
      <c r="PA60" s="21"/>
      <c r="PB60" s="21"/>
      <c r="PC60" s="21"/>
      <c r="PD60" s="21"/>
      <c r="PE60" s="21"/>
      <c r="PF60" s="21"/>
      <c r="PG60" s="21"/>
      <c r="PH60" s="21"/>
      <c r="PI60" s="21"/>
      <c r="PJ60" s="21"/>
      <c r="PK60" s="21"/>
      <c r="PL60" s="21"/>
      <c r="PM60" s="21"/>
      <c r="PN60" s="21"/>
      <c r="PO60" s="21"/>
      <c r="PP60" s="22"/>
      <c r="PQ60" s="21"/>
      <c r="PR60" s="21"/>
      <c r="PS60" s="21"/>
      <c r="PT60" s="21"/>
      <c r="PU60" s="21"/>
      <c r="PV60" s="21"/>
      <c r="PW60" s="21"/>
      <c r="PX60" s="21"/>
      <c r="PY60" s="21"/>
      <c r="PZ60" s="21"/>
      <c r="QA60" s="21"/>
      <c r="QB60" s="21"/>
      <c r="QC60" s="21"/>
      <c r="QD60" s="21"/>
      <c r="QE60" s="21"/>
      <c r="QF60" s="21"/>
      <c r="QG60" s="21"/>
      <c r="QH60" s="21"/>
      <c r="QI60" s="21"/>
      <c r="QJ60" s="21"/>
      <c r="QK60" s="21"/>
      <c r="QL60" s="21"/>
      <c r="QM60" s="21"/>
      <c r="QN60" s="21"/>
      <c r="QO60" s="21"/>
      <c r="QP60" s="22"/>
    </row>
    <row r="61" spans="1:458" ht="50.1" customHeight="1" x14ac:dyDescent="0.25">
      <c r="A61" s="131"/>
      <c r="B61" s="6" t="s">
        <v>20</v>
      </c>
      <c r="C61" s="25"/>
      <c r="D61" s="44">
        <f>SUM(D13+D19+D25+D31+D37+D43+D49+D55)</f>
        <v>23728</v>
      </c>
      <c r="E61" s="44">
        <f t="shared" ref="E61:O61" si="393">SUM(E13+E19+E25+E31+E37+E43+E49+E55)</f>
        <v>19237</v>
      </c>
      <c r="F61" s="44">
        <f t="shared" si="393"/>
        <v>21563.333333333332</v>
      </c>
      <c r="G61" s="44">
        <f t="shared" si="393"/>
        <v>18432</v>
      </c>
      <c r="H61" s="44">
        <f t="shared" si="393"/>
        <v>17308</v>
      </c>
      <c r="I61" s="44">
        <f t="shared" si="393"/>
        <v>20331</v>
      </c>
      <c r="J61" s="44">
        <f t="shared" si="393"/>
        <v>20816</v>
      </c>
      <c r="K61" s="44">
        <f t="shared" si="393"/>
        <v>19608</v>
      </c>
      <c r="L61" s="44">
        <f t="shared" si="393"/>
        <v>19689</v>
      </c>
      <c r="M61" s="44">
        <f t="shared" si="393"/>
        <v>21464</v>
      </c>
      <c r="N61" s="44">
        <f t="shared" si="393"/>
        <v>18113</v>
      </c>
      <c r="O61" s="44">
        <f t="shared" si="393"/>
        <v>16091</v>
      </c>
      <c r="P61" s="38">
        <f>SUM(D61:O61)</f>
        <v>236380.33333333331</v>
      </c>
      <c r="Q61" s="44">
        <f>SUM(Q13+Q19+Q25+Q31+Q37+Q43+Q49+Q55)</f>
        <v>52015</v>
      </c>
      <c r="R61" s="44">
        <f t="shared" ref="R61:AB61" si="394">SUM(R13+R19+R25+R31+R37+R43+R49+R55)</f>
        <v>53607</v>
      </c>
      <c r="S61" s="44">
        <f t="shared" si="394"/>
        <v>58317</v>
      </c>
      <c r="T61" s="44">
        <f t="shared" si="394"/>
        <v>52114</v>
      </c>
      <c r="U61" s="44">
        <f t="shared" si="394"/>
        <v>37296</v>
      </c>
      <c r="V61" s="44">
        <f t="shared" si="394"/>
        <v>37576</v>
      </c>
      <c r="W61" s="44">
        <f t="shared" si="394"/>
        <v>36204</v>
      </c>
      <c r="X61" s="44">
        <f t="shared" si="394"/>
        <v>39549</v>
      </c>
      <c r="Y61" s="44">
        <f t="shared" si="394"/>
        <v>40840</v>
      </c>
      <c r="Z61" s="44">
        <f t="shared" si="394"/>
        <v>42667</v>
      </c>
      <c r="AA61" s="44">
        <f t="shared" si="394"/>
        <v>38445</v>
      </c>
      <c r="AB61" s="44">
        <f t="shared" si="394"/>
        <v>36372</v>
      </c>
      <c r="AC61" s="38">
        <f>SUM(Q61:AB61)</f>
        <v>525002</v>
      </c>
      <c r="AD61" s="36">
        <f t="shared" si="13"/>
        <v>761382.33333333326</v>
      </c>
      <c r="AE61" s="26"/>
      <c r="AF61" s="48">
        <f t="shared" ref="AF61:AQ61" si="395">SUM(AF13+AF19+AF25+AF31+AF37+AF43+AF49+AF55)</f>
        <v>1251</v>
      </c>
      <c r="AG61" s="48">
        <f t="shared" si="395"/>
        <v>1197</v>
      </c>
      <c r="AH61" s="48">
        <f t="shared" si="395"/>
        <v>1285</v>
      </c>
      <c r="AI61" s="48">
        <f t="shared" si="395"/>
        <v>1264</v>
      </c>
      <c r="AJ61" s="48">
        <f t="shared" si="395"/>
        <v>1279</v>
      </c>
      <c r="AK61" s="48">
        <f t="shared" si="395"/>
        <v>1248</v>
      </c>
      <c r="AL61" s="48">
        <f t="shared" si="395"/>
        <v>1223</v>
      </c>
      <c r="AM61" s="48">
        <f t="shared" si="395"/>
        <v>1244</v>
      </c>
      <c r="AN61" s="48">
        <f t="shared" si="395"/>
        <v>1408</v>
      </c>
      <c r="AO61" s="48">
        <f t="shared" si="395"/>
        <v>1304</v>
      </c>
      <c r="AP61" s="48">
        <f t="shared" si="395"/>
        <v>1330</v>
      </c>
      <c r="AQ61" s="48">
        <f t="shared" si="395"/>
        <v>1232</v>
      </c>
      <c r="AR61" s="38">
        <f t="shared" si="14"/>
        <v>15265</v>
      </c>
      <c r="AS61" s="44">
        <f t="shared" ref="AS61:BD61" si="396">SUM(AS13+AS19+AS25+AS31+AS37+AS43+AS49+AS55)</f>
        <v>3588</v>
      </c>
      <c r="AT61" s="44">
        <f t="shared" si="396"/>
        <v>4099</v>
      </c>
      <c r="AU61" s="44">
        <f t="shared" si="396"/>
        <v>4204</v>
      </c>
      <c r="AV61" s="44">
        <f t="shared" si="396"/>
        <v>4136</v>
      </c>
      <c r="AW61" s="44">
        <f t="shared" si="396"/>
        <v>3015</v>
      </c>
      <c r="AX61" s="44">
        <f t="shared" si="396"/>
        <v>3018</v>
      </c>
      <c r="AY61" s="44">
        <f t="shared" si="396"/>
        <v>2799</v>
      </c>
      <c r="AZ61" s="44">
        <f t="shared" si="396"/>
        <v>3262</v>
      </c>
      <c r="BA61" s="44">
        <f t="shared" si="396"/>
        <v>4273</v>
      </c>
      <c r="BB61" s="44">
        <f t="shared" si="396"/>
        <v>3752</v>
      </c>
      <c r="BC61" s="44">
        <f t="shared" si="396"/>
        <v>3408</v>
      </c>
      <c r="BD61" s="44">
        <f t="shared" si="396"/>
        <v>2972</v>
      </c>
      <c r="BE61" s="38">
        <f t="shared" si="15"/>
        <v>42526</v>
      </c>
      <c r="BF61" s="36">
        <f t="shared" si="16"/>
        <v>57791</v>
      </c>
      <c r="BG61" s="26"/>
      <c r="BH61" s="44">
        <f t="shared" ref="BH61:BS61" si="397">SUM(BH13+BH19+BH25+BH31+BH37+BH43+BH49+BH55)</f>
        <v>288</v>
      </c>
      <c r="BI61" s="44">
        <f t="shared" si="397"/>
        <v>329</v>
      </c>
      <c r="BJ61" s="44">
        <f t="shared" si="397"/>
        <v>285</v>
      </c>
      <c r="BK61" s="44">
        <f t="shared" si="397"/>
        <v>267</v>
      </c>
      <c r="BL61" s="44">
        <f t="shared" si="397"/>
        <v>225</v>
      </c>
      <c r="BM61" s="44">
        <f t="shared" si="397"/>
        <v>226</v>
      </c>
      <c r="BN61" s="44">
        <f t="shared" si="397"/>
        <v>215</v>
      </c>
      <c r="BO61" s="44">
        <f t="shared" si="397"/>
        <v>235</v>
      </c>
      <c r="BP61" s="44">
        <f t="shared" si="397"/>
        <v>304</v>
      </c>
      <c r="BQ61" s="44">
        <f t="shared" si="397"/>
        <v>256</v>
      </c>
      <c r="BR61" s="44">
        <f t="shared" si="397"/>
        <v>338</v>
      </c>
      <c r="BS61" s="44">
        <f t="shared" si="397"/>
        <v>286</v>
      </c>
      <c r="BT61" s="38">
        <f t="shared" si="17"/>
        <v>3254</v>
      </c>
      <c r="BU61" s="44">
        <f t="shared" ref="BU61:CF61" si="398">SUM(BU13+BU19+BU25+BU31+BU37+BU43+BU49+BU55)</f>
        <v>8209</v>
      </c>
      <c r="BV61" s="44">
        <f t="shared" si="398"/>
        <v>8314</v>
      </c>
      <c r="BW61" s="44">
        <f t="shared" si="398"/>
        <v>9053</v>
      </c>
      <c r="BX61" s="44">
        <f t="shared" si="398"/>
        <v>7293</v>
      </c>
      <c r="BY61" s="44">
        <f t="shared" si="398"/>
        <v>6713</v>
      </c>
      <c r="BZ61" s="44">
        <f t="shared" si="398"/>
        <v>6110</v>
      </c>
      <c r="CA61" s="44">
        <f t="shared" si="398"/>
        <v>6558</v>
      </c>
      <c r="CB61" s="44">
        <f t="shared" si="398"/>
        <v>6504</v>
      </c>
      <c r="CC61" s="44">
        <f t="shared" si="398"/>
        <v>7193</v>
      </c>
      <c r="CD61" s="44">
        <f t="shared" si="398"/>
        <v>8701</v>
      </c>
      <c r="CE61" s="44">
        <f t="shared" si="398"/>
        <v>7718.333333333333</v>
      </c>
      <c r="CF61" s="44">
        <f t="shared" si="398"/>
        <v>6739.848484848485</v>
      </c>
      <c r="CG61" s="38">
        <f t="shared" si="18"/>
        <v>89106.181818181809</v>
      </c>
      <c r="CH61" s="36">
        <f>SUM(BT61+CG61)</f>
        <v>92360.181818181809</v>
      </c>
      <c r="CI61" s="26"/>
      <c r="CJ61" s="44">
        <f t="shared" ref="CJ61:CU61" si="399">SUM(CJ13+CJ19+CJ25+CJ31+CJ37+CJ43+CJ49+CJ55)</f>
        <v>4144</v>
      </c>
      <c r="CK61" s="44">
        <f t="shared" si="399"/>
        <v>3896</v>
      </c>
      <c r="CL61" s="44">
        <f t="shared" si="399"/>
        <v>4086</v>
      </c>
      <c r="CM61" s="44">
        <f t="shared" si="399"/>
        <v>3993</v>
      </c>
      <c r="CN61" s="44">
        <f t="shared" si="399"/>
        <v>3485</v>
      </c>
      <c r="CO61" s="44">
        <f t="shared" si="399"/>
        <v>3142</v>
      </c>
      <c r="CP61" s="44">
        <f t="shared" si="399"/>
        <v>3273</v>
      </c>
      <c r="CQ61" s="44">
        <f t="shared" si="399"/>
        <v>4049</v>
      </c>
      <c r="CR61" s="44">
        <f t="shared" si="399"/>
        <v>3677</v>
      </c>
      <c r="CS61" s="44">
        <f t="shared" si="399"/>
        <v>3782</v>
      </c>
      <c r="CT61" s="44">
        <f t="shared" si="399"/>
        <v>3551</v>
      </c>
      <c r="CU61" s="44">
        <f t="shared" si="399"/>
        <v>3212</v>
      </c>
      <c r="CV61" s="38">
        <f t="shared" si="20"/>
        <v>44290</v>
      </c>
      <c r="CW61" s="44">
        <f t="shared" ref="CW61:DH61" si="400">SUM(CW13+CW19+CW25+CW31+CW37+CW43+CW49+CW55)</f>
        <v>13985</v>
      </c>
      <c r="CX61" s="44">
        <f t="shared" si="400"/>
        <v>12928</v>
      </c>
      <c r="CY61" s="44">
        <f t="shared" si="400"/>
        <v>14330</v>
      </c>
      <c r="CZ61" s="44">
        <f t="shared" si="400"/>
        <v>11865</v>
      </c>
      <c r="DA61" s="44">
        <f t="shared" si="400"/>
        <v>12377</v>
      </c>
      <c r="DB61" s="44">
        <f t="shared" si="400"/>
        <v>11443</v>
      </c>
      <c r="DC61" s="44">
        <f t="shared" si="400"/>
        <v>12156</v>
      </c>
      <c r="DD61" s="44">
        <f t="shared" si="400"/>
        <v>12245</v>
      </c>
      <c r="DE61" s="44">
        <f t="shared" si="400"/>
        <v>12499</v>
      </c>
      <c r="DF61" s="44">
        <f t="shared" si="400"/>
        <v>13494</v>
      </c>
      <c r="DG61" s="44">
        <f t="shared" si="400"/>
        <v>11151</v>
      </c>
      <c r="DH61" s="44">
        <f t="shared" si="400"/>
        <v>10420</v>
      </c>
      <c r="DI61" s="38">
        <f t="shared" si="21"/>
        <v>148893</v>
      </c>
      <c r="DJ61" s="36">
        <f t="shared" si="22"/>
        <v>193183</v>
      </c>
      <c r="DK61" s="26"/>
      <c r="DL61" s="44">
        <f t="shared" ref="DL61:DW61" si="401">SUM(DL13+DL19+DL25+DL31+DL37+DL43+DL49+DL55)</f>
        <v>6503</v>
      </c>
      <c r="DM61" s="44">
        <f t="shared" si="401"/>
        <v>6018</v>
      </c>
      <c r="DN61" s="44">
        <f t="shared" si="401"/>
        <v>6243</v>
      </c>
      <c r="DO61" s="44">
        <f t="shared" si="401"/>
        <v>5447</v>
      </c>
      <c r="DP61" s="44">
        <f t="shared" si="401"/>
        <v>5138</v>
      </c>
      <c r="DQ61" s="44">
        <f t="shared" si="401"/>
        <v>5458</v>
      </c>
      <c r="DR61" s="44">
        <f t="shared" si="401"/>
        <v>5022</v>
      </c>
      <c r="DS61" s="44">
        <f t="shared" si="401"/>
        <v>5148</v>
      </c>
      <c r="DT61" s="44">
        <f t="shared" si="401"/>
        <v>5182</v>
      </c>
      <c r="DU61" s="44">
        <f t="shared" si="401"/>
        <v>5422</v>
      </c>
      <c r="DV61" s="44">
        <f t="shared" si="401"/>
        <v>5355</v>
      </c>
      <c r="DW61" s="44">
        <f t="shared" si="401"/>
        <v>4863</v>
      </c>
      <c r="DX61" s="38">
        <f t="shared" si="0"/>
        <v>65799</v>
      </c>
      <c r="DY61" s="44">
        <f t="shared" ref="DY61:EJ61" si="402">SUM(DY13+DY19+DY25+DY31+DY37+DY43+DY49+DY55)</f>
        <v>15031</v>
      </c>
      <c r="DZ61" s="44">
        <f t="shared" si="402"/>
        <v>14801</v>
      </c>
      <c r="EA61" s="44">
        <f t="shared" si="402"/>
        <v>14585</v>
      </c>
      <c r="EB61" s="44">
        <f t="shared" si="402"/>
        <v>13734</v>
      </c>
      <c r="EC61" s="44">
        <f t="shared" si="402"/>
        <v>12001</v>
      </c>
      <c r="ED61" s="44">
        <f t="shared" si="402"/>
        <v>12115</v>
      </c>
      <c r="EE61" s="44">
        <f t="shared" si="402"/>
        <v>12974</v>
      </c>
      <c r="EF61" s="44">
        <f t="shared" si="402"/>
        <v>11961</v>
      </c>
      <c r="EG61" s="44">
        <f t="shared" si="402"/>
        <v>11499</v>
      </c>
      <c r="EH61" s="44">
        <f t="shared" si="402"/>
        <v>13186</v>
      </c>
      <c r="EI61" s="44">
        <f t="shared" si="402"/>
        <v>11934</v>
      </c>
      <c r="EJ61" s="44">
        <f t="shared" si="402"/>
        <v>10437</v>
      </c>
      <c r="EK61" s="38">
        <f t="shared" si="23"/>
        <v>154258</v>
      </c>
      <c r="EL61" s="36">
        <f>SUM(DX61+EK61)</f>
        <v>220057</v>
      </c>
      <c r="EM61" s="26"/>
      <c r="EN61" s="44">
        <f t="shared" ref="EN61:EY61" si="403">SUM(EN13+EN19+EN25+EN31+EN37+EN43+EN49+EN55)</f>
        <v>18946</v>
      </c>
      <c r="EO61" s="44">
        <f t="shared" si="403"/>
        <v>16342</v>
      </c>
      <c r="EP61" s="44">
        <f t="shared" si="403"/>
        <v>19053</v>
      </c>
      <c r="EQ61" s="44">
        <f t="shared" si="403"/>
        <v>15056</v>
      </c>
      <c r="ER61" s="44">
        <f t="shared" si="403"/>
        <v>13412</v>
      </c>
      <c r="ES61" s="44">
        <f t="shared" si="403"/>
        <v>13501</v>
      </c>
      <c r="ET61" s="44">
        <f t="shared" si="403"/>
        <v>14641</v>
      </c>
      <c r="EU61" s="44">
        <f t="shared" si="403"/>
        <v>13993</v>
      </c>
      <c r="EV61" s="44">
        <f t="shared" si="403"/>
        <v>14728</v>
      </c>
      <c r="EW61" s="44">
        <f t="shared" si="403"/>
        <v>16637</v>
      </c>
      <c r="EX61" s="44">
        <f t="shared" si="403"/>
        <v>14763</v>
      </c>
      <c r="EY61" s="44">
        <f t="shared" si="403"/>
        <v>13481</v>
      </c>
      <c r="EZ61" s="38">
        <f t="shared" si="24"/>
        <v>184553</v>
      </c>
      <c r="FA61" s="26"/>
      <c r="FB61" s="44">
        <f t="shared" ref="FB61:FM61" si="404">SUM(FB13+FB19+FB25+FB31+FB37+FB43+FB49+FB55)</f>
        <v>36874</v>
      </c>
      <c r="FC61" s="44">
        <f t="shared" si="404"/>
        <v>32618</v>
      </c>
      <c r="FD61" s="44">
        <f t="shared" si="404"/>
        <v>33180</v>
      </c>
      <c r="FE61" s="44">
        <f t="shared" si="404"/>
        <v>27983</v>
      </c>
      <c r="FF61" s="44">
        <f t="shared" si="404"/>
        <v>28954</v>
      </c>
      <c r="FG61" s="44">
        <f t="shared" si="404"/>
        <v>26120</v>
      </c>
      <c r="FH61" s="44">
        <f t="shared" si="404"/>
        <v>30308</v>
      </c>
      <c r="FI61" s="44">
        <f t="shared" si="404"/>
        <v>33225</v>
      </c>
      <c r="FJ61" s="44">
        <f t="shared" si="404"/>
        <v>30764</v>
      </c>
      <c r="FK61" s="44">
        <f t="shared" si="404"/>
        <v>32509</v>
      </c>
      <c r="FL61" s="44">
        <f t="shared" si="404"/>
        <v>28416</v>
      </c>
      <c r="FM61" s="44">
        <f t="shared" si="404"/>
        <v>28978</v>
      </c>
      <c r="FN61" s="38">
        <f t="shared" si="25"/>
        <v>369929</v>
      </c>
      <c r="FO61" s="26"/>
      <c r="FP61" s="44">
        <f t="shared" ref="FP61:GA61" si="405">SUM(FP13+FP19+FP25+FP31+FP37+FP43+FP49+FP55)</f>
        <v>8778</v>
      </c>
      <c r="FQ61" s="44">
        <f t="shared" si="405"/>
        <v>7374</v>
      </c>
      <c r="FR61" s="44">
        <f t="shared" si="405"/>
        <v>7682</v>
      </c>
      <c r="FS61" s="44">
        <f t="shared" si="405"/>
        <v>6589</v>
      </c>
      <c r="FT61" s="44">
        <f t="shared" si="405"/>
        <v>6839</v>
      </c>
      <c r="FU61" s="44">
        <f t="shared" si="405"/>
        <v>6497</v>
      </c>
      <c r="FV61" s="44">
        <f t="shared" si="405"/>
        <v>6889</v>
      </c>
      <c r="FW61" s="44">
        <f t="shared" si="405"/>
        <v>6931</v>
      </c>
      <c r="FX61" s="44">
        <f t="shared" si="405"/>
        <v>7362</v>
      </c>
      <c r="FY61" s="44">
        <f t="shared" si="405"/>
        <v>7445</v>
      </c>
      <c r="FZ61" s="44">
        <f t="shared" si="405"/>
        <v>6933</v>
      </c>
      <c r="GA61" s="44">
        <f t="shared" si="405"/>
        <v>6288</v>
      </c>
      <c r="GB61" s="38">
        <f t="shared" si="26"/>
        <v>85607</v>
      </c>
      <c r="GC61" s="26"/>
      <c r="GD61" s="44">
        <f t="shared" ref="GD61:GO61" si="406">SUM(GD13+GD19+GD25+GD31+GD37+GD43+GD49+GD55)</f>
        <v>16829</v>
      </c>
      <c r="GE61" s="44">
        <f t="shared" si="406"/>
        <v>15354</v>
      </c>
      <c r="GF61" s="44">
        <f t="shared" si="406"/>
        <v>14517</v>
      </c>
      <c r="GG61" s="44">
        <f t="shared" si="406"/>
        <v>14286</v>
      </c>
      <c r="GH61" s="44">
        <f t="shared" si="406"/>
        <v>13540</v>
      </c>
      <c r="GI61" s="44">
        <f t="shared" si="406"/>
        <v>12416</v>
      </c>
      <c r="GJ61" s="44">
        <f t="shared" si="406"/>
        <v>13236</v>
      </c>
      <c r="GK61" s="44">
        <f t="shared" si="406"/>
        <v>13640</v>
      </c>
      <c r="GL61" s="44">
        <f t="shared" si="406"/>
        <v>13194</v>
      </c>
      <c r="GM61" s="44">
        <f t="shared" si="406"/>
        <v>14445</v>
      </c>
      <c r="GN61" s="44">
        <f t="shared" si="406"/>
        <v>14345</v>
      </c>
      <c r="GO61" s="44">
        <f t="shared" si="406"/>
        <v>13575</v>
      </c>
      <c r="GP61" s="38">
        <f t="shared" si="27"/>
        <v>169377</v>
      </c>
      <c r="GQ61" s="26"/>
      <c r="GR61" s="44">
        <f t="shared" ref="GR61:HC61" si="407">SUM(GR13+GR19+GR25+GR31+GR37+GR43+GR49+GR55)</f>
        <v>6142</v>
      </c>
      <c r="GS61" s="44">
        <f t="shared" si="407"/>
        <v>5583</v>
      </c>
      <c r="GT61" s="44">
        <f t="shared" si="407"/>
        <v>5825</v>
      </c>
      <c r="GU61" s="44">
        <f t="shared" si="407"/>
        <v>5418</v>
      </c>
      <c r="GV61" s="44">
        <f t="shared" si="407"/>
        <v>4904</v>
      </c>
      <c r="GW61" s="44">
        <f t="shared" si="407"/>
        <v>4920</v>
      </c>
      <c r="GX61" s="44">
        <f t="shared" si="407"/>
        <v>5484</v>
      </c>
      <c r="GY61" s="44">
        <f t="shared" si="407"/>
        <v>5208</v>
      </c>
      <c r="GZ61" s="44">
        <f t="shared" si="407"/>
        <v>5485</v>
      </c>
      <c r="HA61" s="44">
        <f t="shared" si="407"/>
        <v>6096</v>
      </c>
      <c r="HB61" s="44">
        <f t="shared" si="407"/>
        <v>5552</v>
      </c>
      <c r="HC61" s="44">
        <f t="shared" si="407"/>
        <v>5386</v>
      </c>
      <c r="HD61" s="38">
        <f t="shared" si="28"/>
        <v>66003</v>
      </c>
      <c r="HE61" s="26"/>
      <c r="HF61" s="44">
        <f t="shared" ref="HF61:HQ61" si="408">SUM(HF13+HF19+HF25+HF31+HF37+HF43+HF49+HF55)</f>
        <v>27639</v>
      </c>
      <c r="HG61" s="44">
        <f t="shared" si="408"/>
        <v>27480</v>
      </c>
      <c r="HH61" s="44">
        <f t="shared" si="408"/>
        <v>25397</v>
      </c>
      <c r="HI61" s="44">
        <f t="shared" si="408"/>
        <v>24774</v>
      </c>
      <c r="HJ61" s="44">
        <f t="shared" si="408"/>
        <v>23208</v>
      </c>
      <c r="HK61" s="44">
        <f t="shared" si="408"/>
        <v>22899</v>
      </c>
      <c r="HL61" s="44">
        <f t="shared" si="408"/>
        <v>24908</v>
      </c>
      <c r="HM61" s="44">
        <f t="shared" si="408"/>
        <v>25048</v>
      </c>
      <c r="HN61" s="44">
        <f t="shared" si="408"/>
        <v>25349</v>
      </c>
      <c r="HO61" s="44">
        <f t="shared" si="408"/>
        <v>25587</v>
      </c>
      <c r="HP61" s="44">
        <f t="shared" si="408"/>
        <v>25341</v>
      </c>
      <c r="HQ61" s="44">
        <f t="shared" si="408"/>
        <v>22563</v>
      </c>
      <c r="HR61" s="38">
        <f t="shared" si="29"/>
        <v>300193</v>
      </c>
      <c r="HS61" s="26"/>
      <c r="HT61" s="44">
        <f t="shared" ref="HT61:IE61" si="409">SUM(HT13+HT19+HT25+HT31+HT37+HT43+HT49+HT55)</f>
        <v>2109</v>
      </c>
      <c r="HU61" s="44">
        <f t="shared" si="409"/>
        <v>2045</v>
      </c>
      <c r="HV61" s="44">
        <f t="shared" si="409"/>
        <v>2053</v>
      </c>
      <c r="HW61" s="44">
        <f t="shared" si="409"/>
        <v>2119</v>
      </c>
      <c r="HX61" s="44">
        <f t="shared" si="409"/>
        <v>1983</v>
      </c>
      <c r="HY61" s="44">
        <f t="shared" si="409"/>
        <v>1892</v>
      </c>
      <c r="HZ61" s="44">
        <f t="shared" si="409"/>
        <v>1895</v>
      </c>
      <c r="IA61" s="44">
        <f t="shared" si="409"/>
        <v>1952</v>
      </c>
      <c r="IB61" s="44">
        <f t="shared" si="409"/>
        <v>2116</v>
      </c>
      <c r="IC61" s="44">
        <f t="shared" si="409"/>
        <v>2015</v>
      </c>
      <c r="ID61" s="44">
        <f t="shared" si="409"/>
        <v>1777</v>
      </c>
      <c r="IE61" s="44">
        <f t="shared" si="409"/>
        <v>1574</v>
      </c>
      <c r="IF61" s="38">
        <f t="shared" si="347"/>
        <v>23530</v>
      </c>
      <c r="IG61" s="44">
        <f t="shared" ref="IG61:IR61" si="410">SUM(IG13+IG19+IG25+IG31+IG37+IG43+IG49+IG55)</f>
        <v>12128</v>
      </c>
      <c r="IH61" s="44">
        <f t="shared" si="410"/>
        <v>10660</v>
      </c>
      <c r="II61" s="44">
        <f t="shared" si="410"/>
        <v>11345</v>
      </c>
      <c r="IJ61" s="44">
        <f t="shared" si="410"/>
        <v>10386</v>
      </c>
      <c r="IK61" s="44">
        <f t="shared" si="410"/>
        <v>9923</v>
      </c>
      <c r="IL61" s="44">
        <f t="shared" si="410"/>
        <v>9636</v>
      </c>
      <c r="IM61" s="44">
        <f t="shared" si="410"/>
        <v>10162</v>
      </c>
      <c r="IN61" s="44">
        <f t="shared" si="410"/>
        <v>10355</v>
      </c>
      <c r="IO61" s="44">
        <f t="shared" si="410"/>
        <v>10499</v>
      </c>
      <c r="IP61" s="44">
        <f t="shared" si="410"/>
        <v>11310</v>
      </c>
      <c r="IQ61" s="44">
        <f t="shared" si="410"/>
        <v>9796</v>
      </c>
      <c r="IR61" s="44">
        <f t="shared" si="410"/>
        <v>8708</v>
      </c>
      <c r="IS61" s="38">
        <f t="shared" si="349"/>
        <v>124908</v>
      </c>
      <c r="IT61" s="36">
        <f t="shared" si="39"/>
        <v>148438</v>
      </c>
      <c r="IU61" s="26"/>
      <c r="IV61" s="44">
        <f t="shared" ref="IV61:JG61" si="411">SUM(IV13+IV19+IV25+IV31+IV37+IV43+IV49+IV55)</f>
        <v>4039</v>
      </c>
      <c r="IW61" s="44">
        <f t="shared" si="411"/>
        <v>3784</v>
      </c>
      <c r="IX61" s="44">
        <f t="shared" si="411"/>
        <v>3985</v>
      </c>
      <c r="IY61" s="44">
        <f t="shared" si="411"/>
        <v>3969</v>
      </c>
      <c r="IZ61" s="44">
        <f t="shared" si="411"/>
        <v>3723</v>
      </c>
      <c r="JA61" s="44">
        <f t="shared" si="411"/>
        <v>3443</v>
      </c>
      <c r="JB61" s="44">
        <f t="shared" si="411"/>
        <v>3247</v>
      </c>
      <c r="JC61" s="44">
        <f t="shared" si="411"/>
        <v>3452</v>
      </c>
      <c r="JD61" s="44">
        <f t="shared" si="411"/>
        <v>3731</v>
      </c>
      <c r="JE61" s="44">
        <f t="shared" si="411"/>
        <v>3853</v>
      </c>
      <c r="JF61" s="44">
        <f t="shared" si="411"/>
        <v>3474</v>
      </c>
      <c r="JG61" s="44">
        <f t="shared" si="411"/>
        <v>3541</v>
      </c>
      <c r="JH61" s="38">
        <f t="shared" si="351"/>
        <v>44241</v>
      </c>
      <c r="JI61" s="111">
        <f t="shared" ref="JI61:JT61" si="412">SUM(JI13+JI19+JI25+JI31+JI37+JI43+JI49+JI55)</f>
        <v>31818</v>
      </c>
      <c r="JJ61" s="7">
        <f t="shared" si="412"/>
        <v>29908.6</v>
      </c>
      <c r="JK61" s="7">
        <f t="shared" si="412"/>
        <v>28084.399999999998</v>
      </c>
      <c r="JL61" s="7">
        <f t="shared" si="412"/>
        <v>25142.199999999997</v>
      </c>
      <c r="JM61" s="7">
        <f t="shared" si="412"/>
        <v>23829.200000000001</v>
      </c>
      <c r="JN61" s="7">
        <f t="shared" si="412"/>
        <v>24567.200000000001</v>
      </c>
      <c r="JO61" s="7">
        <f t="shared" si="412"/>
        <v>24296.600000000002</v>
      </c>
      <c r="JP61" s="7">
        <f t="shared" si="412"/>
        <v>25171.600000000002</v>
      </c>
      <c r="JQ61" s="7">
        <f t="shared" si="412"/>
        <v>27014.400000000001</v>
      </c>
      <c r="JR61" s="7">
        <f t="shared" si="412"/>
        <v>26950.799999999999</v>
      </c>
      <c r="JS61" s="7">
        <f t="shared" si="412"/>
        <v>26219.800000000003</v>
      </c>
      <c r="JT61" s="7">
        <f t="shared" si="412"/>
        <v>25148.2</v>
      </c>
      <c r="JU61" s="90">
        <f t="shared" si="5"/>
        <v>318151</v>
      </c>
      <c r="JV61" s="40">
        <f t="shared" si="30"/>
        <v>362392</v>
      </c>
      <c r="JW61" s="26"/>
      <c r="JX61" s="44">
        <f t="shared" ref="JX61:KI61" si="413">SUM(JX13+JX19+JX25+JX31+JX37+JX43+JX49+JX55)</f>
        <v>2268</v>
      </c>
      <c r="JY61" s="44">
        <f t="shared" si="413"/>
        <v>2194</v>
      </c>
      <c r="JZ61" s="44">
        <f t="shared" si="413"/>
        <v>2417</v>
      </c>
      <c r="KA61" s="44">
        <f t="shared" si="413"/>
        <v>2414</v>
      </c>
      <c r="KB61" s="44">
        <f t="shared" si="413"/>
        <v>2595</v>
      </c>
      <c r="KC61" s="44">
        <f t="shared" si="413"/>
        <v>2324</v>
      </c>
      <c r="KD61" s="44">
        <f t="shared" si="413"/>
        <v>2410</v>
      </c>
      <c r="KE61" s="44">
        <f t="shared" si="413"/>
        <v>2535</v>
      </c>
      <c r="KF61" s="44">
        <f t="shared" si="413"/>
        <v>2502</v>
      </c>
      <c r="KG61" s="44">
        <f t="shared" si="413"/>
        <v>2366</v>
      </c>
      <c r="KH61" s="44">
        <f t="shared" si="413"/>
        <v>2300</v>
      </c>
      <c r="KI61" s="44">
        <f t="shared" si="413"/>
        <v>2185</v>
      </c>
      <c r="KJ61" s="38">
        <f t="shared" si="354"/>
        <v>28510</v>
      </c>
      <c r="KK61" s="44">
        <f t="shared" ref="KK61:KV61" si="414">SUM(KK13+KK19+KK25+KK31+KK37+KK43+KK49+KK55)</f>
        <v>11420</v>
      </c>
      <c r="KL61" s="44">
        <f t="shared" si="414"/>
        <v>10455</v>
      </c>
      <c r="KM61" s="44">
        <f t="shared" si="414"/>
        <v>12706</v>
      </c>
      <c r="KN61" s="44">
        <f t="shared" si="414"/>
        <v>11411</v>
      </c>
      <c r="KO61" s="44">
        <f t="shared" si="414"/>
        <v>10347</v>
      </c>
      <c r="KP61" s="44">
        <f t="shared" si="414"/>
        <v>7939</v>
      </c>
      <c r="KQ61" s="44">
        <f t="shared" si="414"/>
        <v>7896</v>
      </c>
      <c r="KR61" s="44">
        <f t="shared" si="414"/>
        <v>8572</v>
      </c>
      <c r="KS61" s="44">
        <f t="shared" si="414"/>
        <v>9197</v>
      </c>
      <c r="KT61" s="44">
        <f t="shared" si="414"/>
        <v>10051</v>
      </c>
      <c r="KU61" s="44">
        <f t="shared" si="414"/>
        <v>8918</v>
      </c>
      <c r="KV61" s="44">
        <f t="shared" si="414"/>
        <v>7236</v>
      </c>
      <c r="KW61" s="38">
        <f t="shared" si="356"/>
        <v>116148</v>
      </c>
      <c r="KX61" s="36">
        <f t="shared" si="31"/>
        <v>144658</v>
      </c>
      <c r="KY61" s="26"/>
      <c r="KZ61" s="44">
        <f t="shared" ref="KZ61:LK61" si="415">SUM(KZ13+KZ19+KZ25+KZ31+KZ37+KZ43+KZ49+KZ55)</f>
        <v>4306</v>
      </c>
      <c r="LA61" s="44">
        <f t="shared" si="415"/>
        <v>4315</v>
      </c>
      <c r="LB61" s="44">
        <f t="shared" si="415"/>
        <v>4574</v>
      </c>
      <c r="LC61" s="44">
        <f t="shared" si="415"/>
        <v>4775</v>
      </c>
      <c r="LD61" s="44">
        <f t="shared" si="415"/>
        <v>4478</v>
      </c>
      <c r="LE61" s="44">
        <f t="shared" si="415"/>
        <v>3787</v>
      </c>
      <c r="LF61" s="44">
        <f t="shared" si="415"/>
        <v>3696</v>
      </c>
      <c r="LG61" s="44">
        <f t="shared" si="415"/>
        <v>3897</v>
      </c>
      <c r="LH61" s="44">
        <f t="shared" si="415"/>
        <v>4394</v>
      </c>
      <c r="LI61" s="44">
        <f t="shared" si="415"/>
        <v>4476</v>
      </c>
      <c r="LJ61" s="44">
        <f t="shared" si="415"/>
        <v>4053</v>
      </c>
      <c r="LK61" s="44">
        <f t="shared" si="415"/>
        <v>3900</v>
      </c>
      <c r="LL61" s="38">
        <f t="shared" si="32"/>
        <v>50651</v>
      </c>
      <c r="LM61" s="26"/>
      <c r="LN61" s="44">
        <f t="shared" ref="LN61:LY61" si="416">SUM(LN13+LN19+LN25+LN31+LN37+LN43+LN49+LN55)</f>
        <v>42340</v>
      </c>
      <c r="LO61" s="44">
        <f t="shared" si="416"/>
        <v>41864</v>
      </c>
      <c r="LP61" s="44">
        <f t="shared" si="416"/>
        <v>40247</v>
      </c>
      <c r="LQ61" s="44">
        <f t="shared" si="416"/>
        <v>39428</v>
      </c>
      <c r="LR61" s="44">
        <f t="shared" si="416"/>
        <v>36271</v>
      </c>
      <c r="LS61" s="44">
        <f t="shared" si="416"/>
        <v>37634</v>
      </c>
      <c r="LT61" s="44">
        <f t="shared" si="416"/>
        <v>38277</v>
      </c>
      <c r="LU61" s="44">
        <f t="shared" si="416"/>
        <v>35603</v>
      </c>
      <c r="LV61" s="44">
        <f t="shared" si="416"/>
        <v>33965</v>
      </c>
      <c r="LW61" s="44">
        <f t="shared" si="416"/>
        <v>39072</v>
      </c>
      <c r="LX61" s="44">
        <f t="shared" si="416"/>
        <v>33965</v>
      </c>
      <c r="LY61" s="44">
        <f t="shared" si="416"/>
        <v>34254</v>
      </c>
      <c r="LZ61" s="38">
        <f t="shared" si="359"/>
        <v>452920</v>
      </c>
      <c r="MA61" s="26"/>
      <c r="MB61" s="44">
        <f t="shared" ref="MB61:MM61" si="417">SUM(MB13+MB19+MB25+MB31+MB37+MB43+MB49+MB55)</f>
        <v>40549</v>
      </c>
      <c r="MC61" s="44">
        <f t="shared" si="417"/>
        <v>35227</v>
      </c>
      <c r="MD61" s="44">
        <f t="shared" si="417"/>
        <v>37098</v>
      </c>
      <c r="ME61" s="44">
        <f t="shared" si="417"/>
        <v>34505</v>
      </c>
      <c r="MF61" s="44">
        <f t="shared" si="417"/>
        <v>34722</v>
      </c>
      <c r="MG61" s="44">
        <f t="shared" si="417"/>
        <v>27879</v>
      </c>
      <c r="MH61" s="44">
        <f t="shared" si="417"/>
        <v>32921</v>
      </c>
      <c r="MI61" s="44">
        <f t="shared" si="417"/>
        <v>32879</v>
      </c>
      <c r="MJ61" s="44">
        <f t="shared" si="417"/>
        <v>32724</v>
      </c>
      <c r="MK61" s="44">
        <f t="shared" si="417"/>
        <v>34769</v>
      </c>
      <c r="ML61" s="44">
        <f t="shared" si="417"/>
        <v>30340</v>
      </c>
      <c r="MM61" s="44">
        <f t="shared" si="417"/>
        <v>28202</v>
      </c>
      <c r="MN61" s="38">
        <f t="shared" si="361"/>
        <v>401815</v>
      </c>
      <c r="MO61" s="44">
        <f t="shared" ref="MO61:MZ61" si="418">SUM(MO13+MO19+MO25+MO31+MO37+MO43+MO49+MO55)</f>
        <v>63590</v>
      </c>
      <c r="MP61" s="44">
        <f t="shared" si="418"/>
        <v>52566</v>
      </c>
      <c r="MQ61" s="44">
        <f t="shared" si="418"/>
        <v>54943</v>
      </c>
      <c r="MR61" s="44">
        <f t="shared" si="418"/>
        <v>44962</v>
      </c>
      <c r="MS61" s="44">
        <f t="shared" si="418"/>
        <v>50453</v>
      </c>
      <c r="MT61" s="44">
        <f t="shared" si="418"/>
        <v>46776</v>
      </c>
      <c r="MU61" s="44">
        <f t="shared" si="418"/>
        <v>47818</v>
      </c>
      <c r="MV61" s="44">
        <f t="shared" si="418"/>
        <v>50175</v>
      </c>
      <c r="MW61" s="44">
        <f t="shared" si="418"/>
        <v>49210</v>
      </c>
      <c r="MX61" s="44">
        <f t="shared" si="418"/>
        <v>57458</v>
      </c>
      <c r="MY61" s="44">
        <f t="shared" si="418"/>
        <v>51015</v>
      </c>
      <c r="MZ61" s="44">
        <f t="shared" si="418"/>
        <v>43986</v>
      </c>
      <c r="NA61" s="38">
        <f t="shared" si="363"/>
        <v>612952</v>
      </c>
      <c r="NB61" s="36">
        <f t="shared" si="33"/>
        <v>1014767</v>
      </c>
      <c r="NC61" s="26"/>
      <c r="ND61" s="44">
        <f t="shared" ref="ND61:NO61" si="419">SUM(ND13+ND19+ND25+ND31+ND37+ND43+ND49+ND55)</f>
        <v>10011</v>
      </c>
      <c r="NE61" s="44">
        <f t="shared" si="419"/>
        <v>9491</v>
      </c>
      <c r="NF61" s="44">
        <f t="shared" si="419"/>
        <v>9182</v>
      </c>
      <c r="NG61" s="44">
        <f t="shared" si="419"/>
        <v>8374</v>
      </c>
      <c r="NH61" s="44">
        <f t="shared" si="419"/>
        <v>7402</v>
      </c>
      <c r="NI61" s="44">
        <f t="shared" si="419"/>
        <v>6778</v>
      </c>
      <c r="NJ61" s="44">
        <f t="shared" si="419"/>
        <v>7813</v>
      </c>
      <c r="NK61" s="44">
        <f t="shared" si="419"/>
        <v>7434</v>
      </c>
      <c r="NL61" s="44">
        <f t="shared" si="419"/>
        <v>7482</v>
      </c>
      <c r="NM61" s="44">
        <f t="shared" si="419"/>
        <v>7847</v>
      </c>
      <c r="NN61" s="44">
        <f t="shared" si="419"/>
        <v>6497</v>
      </c>
      <c r="NO61" s="44">
        <f t="shared" si="419"/>
        <v>6963</v>
      </c>
      <c r="NP61" s="118">
        <f t="shared" si="365"/>
        <v>95274</v>
      </c>
      <c r="NQ61" s="36">
        <f t="shared" si="34"/>
        <v>483031.33333333331</v>
      </c>
      <c r="NR61" s="36">
        <f t="shared" si="35"/>
        <v>2830399.1818181816</v>
      </c>
      <c r="NS61" s="36">
        <f t="shared" si="36"/>
        <v>1456105</v>
      </c>
      <c r="NT61" s="36">
        <f t="shared" si="37"/>
        <v>4769535.5151515156</v>
      </c>
      <c r="NU61" s="21"/>
      <c r="NV61" s="21"/>
      <c r="NW61" s="21"/>
      <c r="NX61" s="21"/>
      <c r="NY61" s="21"/>
      <c r="NZ61" s="21"/>
      <c r="OA61" s="21"/>
      <c r="OB61" s="21"/>
      <c r="OC61" s="21"/>
      <c r="OD61" s="21"/>
      <c r="OE61" s="21"/>
      <c r="OF61" s="21"/>
      <c r="OG61" s="21"/>
      <c r="OH61" s="21"/>
      <c r="OI61" s="21"/>
      <c r="OJ61" s="21"/>
      <c r="OK61" s="21"/>
      <c r="OL61" s="21"/>
      <c r="OM61" s="21"/>
      <c r="ON61" s="21"/>
      <c r="OO61" s="21"/>
      <c r="OP61" s="22"/>
      <c r="OQ61" s="21"/>
      <c r="OR61" s="21"/>
      <c r="OS61" s="21"/>
      <c r="OT61" s="21"/>
      <c r="OU61" s="21"/>
      <c r="OV61" s="21"/>
      <c r="OW61" s="21"/>
      <c r="OX61" s="21"/>
      <c r="OY61" s="21"/>
      <c r="OZ61" s="21"/>
      <c r="PA61" s="21"/>
      <c r="PB61" s="21"/>
      <c r="PC61" s="21"/>
      <c r="PD61" s="21"/>
      <c r="PE61" s="21"/>
      <c r="PF61" s="21"/>
      <c r="PG61" s="21"/>
      <c r="PH61" s="21"/>
      <c r="PI61" s="21"/>
      <c r="PJ61" s="21"/>
      <c r="PK61" s="21"/>
      <c r="PL61" s="21"/>
      <c r="PM61" s="21"/>
      <c r="PN61" s="21"/>
      <c r="PO61" s="21"/>
      <c r="PP61" s="22"/>
      <c r="PQ61" s="21"/>
      <c r="PR61" s="21"/>
      <c r="PS61" s="21"/>
      <c r="PT61" s="21"/>
      <c r="PU61" s="21"/>
      <c r="PV61" s="21"/>
      <c r="PW61" s="21"/>
      <c r="PX61" s="21"/>
      <c r="PY61" s="21"/>
      <c r="PZ61" s="21"/>
      <c r="QA61" s="21"/>
      <c r="QB61" s="21"/>
      <c r="QC61" s="21"/>
      <c r="QD61" s="21"/>
      <c r="QE61" s="21"/>
      <c r="QF61" s="21"/>
      <c r="QG61" s="21"/>
      <c r="QH61" s="21"/>
      <c r="QI61" s="21"/>
      <c r="QJ61" s="21"/>
      <c r="QK61" s="21"/>
      <c r="QL61" s="21"/>
      <c r="QM61" s="21"/>
      <c r="QN61" s="21"/>
      <c r="QO61" s="21"/>
      <c r="QP61" s="22"/>
    </row>
    <row r="62" spans="1:458" ht="50.1" customHeight="1" x14ac:dyDescent="0.25">
      <c r="A62" s="131"/>
      <c r="B62" s="6" t="s">
        <v>21</v>
      </c>
      <c r="C62" s="25"/>
      <c r="D62" s="44">
        <f t="shared" ref="D62:O62" si="420">SUM(D14+D20+D26+D32+D38+D44+D50+D56)</f>
        <v>0</v>
      </c>
      <c r="E62" s="44">
        <f t="shared" si="420"/>
        <v>0</v>
      </c>
      <c r="F62" s="44">
        <f t="shared" si="420"/>
        <v>2</v>
      </c>
      <c r="G62" s="44">
        <f t="shared" si="420"/>
        <v>267</v>
      </c>
      <c r="H62" s="44">
        <f t="shared" si="420"/>
        <v>58</v>
      </c>
      <c r="I62" s="44">
        <f t="shared" si="420"/>
        <v>1</v>
      </c>
      <c r="J62" s="44">
        <f t="shared" si="420"/>
        <v>2</v>
      </c>
      <c r="K62" s="44">
        <f t="shared" si="420"/>
        <v>0</v>
      </c>
      <c r="L62" s="44">
        <f t="shared" si="420"/>
        <v>0</v>
      </c>
      <c r="M62" s="44">
        <f t="shared" si="420"/>
        <v>0</v>
      </c>
      <c r="N62" s="44">
        <f t="shared" si="420"/>
        <v>1</v>
      </c>
      <c r="O62" s="44">
        <f t="shared" si="420"/>
        <v>0</v>
      </c>
      <c r="P62" s="38">
        <f t="shared" si="12"/>
        <v>331</v>
      </c>
      <c r="Q62" s="44">
        <f t="shared" ref="Q62:AB62" si="421">SUM(Q14+Q20+Q26+Q32+Q38+Q44+Q50+Q56)</f>
        <v>0</v>
      </c>
      <c r="R62" s="44">
        <f t="shared" si="421"/>
        <v>0</v>
      </c>
      <c r="S62" s="44">
        <f t="shared" si="421"/>
        <v>0</v>
      </c>
      <c r="T62" s="44">
        <f t="shared" si="421"/>
        <v>0</v>
      </c>
      <c r="U62" s="44">
        <f t="shared" si="421"/>
        <v>0</v>
      </c>
      <c r="V62" s="44">
        <f t="shared" si="421"/>
        <v>0</v>
      </c>
      <c r="W62" s="44">
        <f t="shared" si="421"/>
        <v>0</v>
      </c>
      <c r="X62" s="44">
        <f t="shared" si="421"/>
        <v>0</v>
      </c>
      <c r="Y62" s="44">
        <f t="shared" si="421"/>
        <v>0</v>
      </c>
      <c r="Z62" s="44">
        <f t="shared" si="421"/>
        <v>0</v>
      </c>
      <c r="AA62" s="44">
        <f t="shared" si="421"/>
        <v>0</v>
      </c>
      <c r="AB62" s="44">
        <f t="shared" si="421"/>
        <v>0</v>
      </c>
      <c r="AC62" s="38">
        <f t="shared" si="38"/>
        <v>0</v>
      </c>
      <c r="AD62" s="36">
        <f t="shared" si="13"/>
        <v>331</v>
      </c>
      <c r="AE62" s="26"/>
      <c r="AF62" s="48">
        <f t="shared" ref="AF62:AQ62" si="422">SUM(AF14+AF20+AF26+AF32+AF38+AF44+AF50+AF56)</f>
        <v>0</v>
      </c>
      <c r="AG62" s="48">
        <f t="shared" si="422"/>
        <v>0</v>
      </c>
      <c r="AH62" s="48">
        <f t="shared" si="422"/>
        <v>0</v>
      </c>
      <c r="AI62" s="48">
        <f t="shared" si="422"/>
        <v>0</v>
      </c>
      <c r="AJ62" s="48">
        <f t="shared" si="422"/>
        <v>0</v>
      </c>
      <c r="AK62" s="48">
        <f t="shared" si="422"/>
        <v>0</v>
      </c>
      <c r="AL62" s="48">
        <f t="shared" si="422"/>
        <v>0</v>
      </c>
      <c r="AM62" s="48">
        <f t="shared" si="422"/>
        <v>0</v>
      </c>
      <c r="AN62" s="48">
        <f t="shared" si="422"/>
        <v>0</v>
      </c>
      <c r="AO62" s="48">
        <f t="shared" si="422"/>
        <v>0</v>
      </c>
      <c r="AP62" s="48">
        <f t="shared" si="422"/>
        <v>0</v>
      </c>
      <c r="AQ62" s="48">
        <f t="shared" si="422"/>
        <v>0</v>
      </c>
      <c r="AR62" s="38">
        <f t="shared" si="14"/>
        <v>0</v>
      </c>
      <c r="AS62" s="44">
        <f t="shared" ref="AS62:BD62" si="423">SUM(AS14+AS20+AS26+AS32+AS38+AS44+AS50+AS56)</f>
        <v>24</v>
      </c>
      <c r="AT62" s="44">
        <f t="shared" si="423"/>
        <v>52</v>
      </c>
      <c r="AU62" s="44">
        <f t="shared" si="423"/>
        <v>47</v>
      </c>
      <c r="AV62" s="44">
        <f t="shared" si="423"/>
        <v>29</v>
      </c>
      <c r="AW62" s="44">
        <f t="shared" si="423"/>
        <v>28</v>
      </c>
      <c r="AX62" s="44">
        <f t="shared" si="423"/>
        <v>15</v>
      </c>
      <c r="AY62" s="44">
        <f t="shared" si="423"/>
        <v>30</v>
      </c>
      <c r="AZ62" s="44">
        <f t="shared" si="423"/>
        <v>23</v>
      </c>
      <c r="BA62" s="44">
        <f t="shared" si="423"/>
        <v>24</v>
      </c>
      <c r="BB62" s="44">
        <f t="shared" si="423"/>
        <v>42</v>
      </c>
      <c r="BC62" s="44">
        <f t="shared" si="423"/>
        <v>17</v>
      </c>
      <c r="BD62" s="44">
        <f t="shared" si="423"/>
        <v>18</v>
      </c>
      <c r="BE62" s="38">
        <f t="shared" si="15"/>
        <v>349</v>
      </c>
      <c r="BF62" s="36">
        <f t="shared" si="16"/>
        <v>349</v>
      </c>
      <c r="BG62" s="26"/>
      <c r="BH62" s="44">
        <f t="shared" ref="BH62:BS62" si="424">SUM(BH14+BH20+BH26+BH32+BH38+BH44+BH50+BH56)</f>
        <v>0</v>
      </c>
      <c r="BI62" s="44">
        <f t="shared" si="424"/>
        <v>0</v>
      </c>
      <c r="BJ62" s="44">
        <f t="shared" si="424"/>
        <v>0</v>
      </c>
      <c r="BK62" s="44">
        <f t="shared" si="424"/>
        <v>0</v>
      </c>
      <c r="BL62" s="44">
        <f t="shared" si="424"/>
        <v>0</v>
      </c>
      <c r="BM62" s="44">
        <f t="shared" si="424"/>
        <v>0</v>
      </c>
      <c r="BN62" s="44">
        <f t="shared" si="424"/>
        <v>0</v>
      </c>
      <c r="BO62" s="44">
        <f t="shared" si="424"/>
        <v>0</v>
      </c>
      <c r="BP62" s="44">
        <f t="shared" si="424"/>
        <v>0</v>
      </c>
      <c r="BQ62" s="44">
        <f t="shared" si="424"/>
        <v>0</v>
      </c>
      <c r="BR62" s="44">
        <f t="shared" si="424"/>
        <v>0</v>
      </c>
      <c r="BS62" s="44">
        <f t="shared" si="424"/>
        <v>0</v>
      </c>
      <c r="BT62" s="38">
        <f t="shared" si="17"/>
        <v>0</v>
      </c>
      <c r="BU62" s="44">
        <f t="shared" ref="BU62:CF62" si="425">SUM(BU14+BU20+BU26+BU32+BU38+BU44+BU50+BU56)</f>
        <v>30</v>
      </c>
      <c r="BV62" s="44">
        <f t="shared" si="425"/>
        <v>26</v>
      </c>
      <c r="BW62" s="44">
        <f t="shared" si="425"/>
        <v>28</v>
      </c>
      <c r="BX62" s="44">
        <f t="shared" si="425"/>
        <v>34</v>
      </c>
      <c r="BY62" s="44">
        <f t="shared" si="425"/>
        <v>28</v>
      </c>
      <c r="BZ62" s="44">
        <f t="shared" si="425"/>
        <v>16</v>
      </c>
      <c r="CA62" s="44">
        <f t="shared" si="425"/>
        <v>12</v>
      </c>
      <c r="CB62" s="44">
        <f t="shared" si="425"/>
        <v>14</v>
      </c>
      <c r="CC62" s="44">
        <f t="shared" si="425"/>
        <v>14</v>
      </c>
      <c r="CD62" s="44">
        <f t="shared" si="425"/>
        <v>18</v>
      </c>
      <c r="CE62" s="44">
        <f t="shared" si="425"/>
        <v>11</v>
      </c>
      <c r="CF62" s="44">
        <f t="shared" si="425"/>
        <v>17</v>
      </c>
      <c r="CG62" s="38">
        <f t="shared" si="18"/>
        <v>248</v>
      </c>
      <c r="CH62" s="36">
        <f>SUM(BT62+CG62)</f>
        <v>248</v>
      </c>
      <c r="CI62" s="26"/>
      <c r="CJ62" s="44">
        <f t="shared" ref="CJ62:CU62" si="426">SUM(CJ14+CJ20+CJ26+CJ32+CJ38+CJ44+CJ50+CJ56)</f>
        <v>58</v>
      </c>
      <c r="CK62" s="44">
        <f t="shared" si="426"/>
        <v>105</v>
      </c>
      <c r="CL62" s="44">
        <f t="shared" si="426"/>
        <v>97</v>
      </c>
      <c r="CM62" s="44">
        <f t="shared" si="426"/>
        <v>92</v>
      </c>
      <c r="CN62" s="44">
        <f t="shared" si="426"/>
        <v>30</v>
      </c>
      <c r="CO62" s="44">
        <f t="shared" si="426"/>
        <v>58</v>
      </c>
      <c r="CP62" s="44">
        <f t="shared" si="426"/>
        <v>83</v>
      </c>
      <c r="CQ62" s="44">
        <f t="shared" si="426"/>
        <v>118</v>
      </c>
      <c r="CR62" s="44">
        <f t="shared" si="426"/>
        <v>60</v>
      </c>
      <c r="CS62" s="44">
        <f t="shared" si="426"/>
        <v>100</v>
      </c>
      <c r="CT62" s="44">
        <f t="shared" si="426"/>
        <v>234</v>
      </c>
      <c r="CU62" s="44">
        <f t="shared" si="426"/>
        <v>36</v>
      </c>
      <c r="CV62" s="38">
        <f t="shared" si="20"/>
        <v>1071</v>
      </c>
      <c r="CW62" s="44">
        <f t="shared" ref="CW62:DH62" si="427">SUM(CW14+CW20+CW26+CW32+CW38+CW44+CW50+CW56)</f>
        <v>227</v>
      </c>
      <c r="CX62" s="44">
        <f t="shared" si="427"/>
        <v>177</v>
      </c>
      <c r="CY62" s="44">
        <f t="shared" si="427"/>
        <v>190</v>
      </c>
      <c r="CZ62" s="44">
        <f t="shared" si="427"/>
        <v>212</v>
      </c>
      <c r="DA62" s="44">
        <f t="shared" si="427"/>
        <v>187</v>
      </c>
      <c r="DB62" s="44">
        <f t="shared" si="427"/>
        <v>180</v>
      </c>
      <c r="DC62" s="44">
        <f t="shared" si="427"/>
        <v>145</v>
      </c>
      <c r="DD62" s="44">
        <f t="shared" si="427"/>
        <v>76</v>
      </c>
      <c r="DE62" s="44">
        <f t="shared" si="427"/>
        <v>117</v>
      </c>
      <c r="DF62" s="44">
        <f t="shared" si="427"/>
        <v>158</v>
      </c>
      <c r="DG62" s="44">
        <f t="shared" si="427"/>
        <v>161</v>
      </c>
      <c r="DH62" s="44">
        <f t="shared" si="427"/>
        <v>144</v>
      </c>
      <c r="DI62" s="38">
        <f t="shared" si="21"/>
        <v>1974</v>
      </c>
      <c r="DJ62" s="36">
        <f t="shared" si="22"/>
        <v>3045</v>
      </c>
      <c r="DK62" s="26"/>
      <c r="DL62" s="44">
        <f t="shared" ref="DL62:DW62" si="428">SUM(DL14+DL20+DL26+DL32+DL38+DL44+DL50+DL56)</f>
        <v>0</v>
      </c>
      <c r="DM62" s="44">
        <f t="shared" si="428"/>
        <v>0</v>
      </c>
      <c r="DN62" s="44">
        <f t="shared" si="428"/>
        <v>0</v>
      </c>
      <c r="DO62" s="44">
        <f t="shared" si="428"/>
        <v>0</v>
      </c>
      <c r="DP62" s="44">
        <f t="shared" si="428"/>
        <v>0</v>
      </c>
      <c r="DQ62" s="44">
        <f t="shared" si="428"/>
        <v>0</v>
      </c>
      <c r="DR62" s="44">
        <f t="shared" si="428"/>
        <v>0</v>
      </c>
      <c r="DS62" s="44">
        <f t="shared" si="428"/>
        <v>0</v>
      </c>
      <c r="DT62" s="44">
        <f t="shared" si="428"/>
        <v>0</v>
      </c>
      <c r="DU62" s="44">
        <f t="shared" si="428"/>
        <v>0</v>
      </c>
      <c r="DV62" s="44">
        <f t="shared" si="428"/>
        <v>0</v>
      </c>
      <c r="DW62" s="44">
        <f t="shared" si="428"/>
        <v>0</v>
      </c>
      <c r="DX62" s="38">
        <f t="shared" si="0"/>
        <v>0</v>
      </c>
      <c r="DY62" s="44">
        <f t="shared" ref="DY62:EJ62" si="429">SUM(DY14+DY20+DY26+DY32+DY38+DY44+DY50+DY56)</f>
        <v>318</v>
      </c>
      <c r="DZ62" s="44">
        <f t="shared" si="429"/>
        <v>247</v>
      </c>
      <c r="EA62" s="44">
        <f t="shared" si="429"/>
        <v>224</v>
      </c>
      <c r="EB62" s="44">
        <f t="shared" si="429"/>
        <v>263</v>
      </c>
      <c r="EC62" s="44">
        <f t="shared" si="429"/>
        <v>189</v>
      </c>
      <c r="ED62" s="44">
        <f t="shared" si="429"/>
        <v>151</v>
      </c>
      <c r="EE62" s="44">
        <f t="shared" si="429"/>
        <v>168</v>
      </c>
      <c r="EF62" s="44">
        <f t="shared" si="429"/>
        <v>203</v>
      </c>
      <c r="EG62" s="44">
        <f t="shared" si="429"/>
        <v>157</v>
      </c>
      <c r="EH62" s="44">
        <f t="shared" si="429"/>
        <v>107</v>
      </c>
      <c r="EI62" s="44">
        <f t="shared" si="429"/>
        <v>186</v>
      </c>
      <c r="EJ62" s="44">
        <f t="shared" si="429"/>
        <v>133</v>
      </c>
      <c r="EK62" s="38">
        <f t="shared" si="23"/>
        <v>2346</v>
      </c>
      <c r="EL62" s="36">
        <f t="shared" si="1"/>
        <v>2346</v>
      </c>
      <c r="EM62" s="26"/>
      <c r="EN62" s="44">
        <f t="shared" ref="EN62:EY62" si="430">SUM(EN14+EN20+EN26+EN32+EN38+EN44+EN50+EN56)</f>
        <v>14</v>
      </c>
      <c r="EO62" s="44">
        <f t="shared" si="430"/>
        <v>4</v>
      </c>
      <c r="EP62" s="44">
        <f t="shared" si="430"/>
        <v>5</v>
      </c>
      <c r="EQ62" s="44">
        <f t="shared" si="430"/>
        <v>18</v>
      </c>
      <c r="ER62" s="44">
        <f t="shared" si="430"/>
        <v>12</v>
      </c>
      <c r="ES62" s="44">
        <f t="shared" si="430"/>
        <v>6</v>
      </c>
      <c r="ET62" s="44">
        <f t="shared" si="430"/>
        <v>12</v>
      </c>
      <c r="EU62" s="44">
        <f t="shared" si="430"/>
        <v>5</v>
      </c>
      <c r="EV62" s="44">
        <f t="shared" si="430"/>
        <v>8</v>
      </c>
      <c r="EW62" s="44">
        <f t="shared" si="430"/>
        <v>4</v>
      </c>
      <c r="EX62" s="44">
        <f t="shared" si="430"/>
        <v>8</v>
      </c>
      <c r="EY62" s="44">
        <f t="shared" si="430"/>
        <v>3</v>
      </c>
      <c r="EZ62" s="38">
        <f t="shared" si="24"/>
        <v>99</v>
      </c>
      <c r="FA62" s="26"/>
      <c r="FB62" s="44">
        <f t="shared" ref="FB62:FM62" si="431">SUM(FB14+FB20+FB26+FB32+FB38+FB44+FB50+FB56)</f>
        <v>0</v>
      </c>
      <c r="FC62" s="44">
        <f t="shared" si="431"/>
        <v>0</v>
      </c>
      <c r="FD62" s="44">
        <f t="shared" si="431"/>
        <v>0</v>
      </c>
      <c r="FE62" s="44">
        <f t="shared" si="431"/>
        <v>0</v>
      </c>
      <c r="FF62" s="44">
        <f t="shared" si="431"/>
        <v>0</v>
      </c>
      <c r="FG62" s="44">
        <f t="shared" si="431"/>
        <v>0</v>
      </c>
      <c r="FH62" s="44">
        <f t="shared" si="431"/>
        <v>0</v>
      </c>
      <c r="FI62" s="44">
        <f t="shared" si="431"/>
        <v>0</v>
      </c>
      <c r="FJ62" s="44">
        <f t="shared" si="431"/>
        <v>0</v>
      </c>
      <c r="FK62" s="44">
        <f t="shared" si="431"/>
        <v>0</v>
      </c>
      <c r="FL62" s="44">
        <f t="shared" si="431"/>
        <v>0</v>
      </c>
      <c r="FM62" s="44">
        <f t="shared" si="431"/>
        <v>0</v>
      </c>
      <c r="FN62" s="38">
        <f t="shared" si="25"/>
        <v>0</v>
      </c>
      <c r="FO62" s="26"/>
      <c r="FP62" s="44">
        <f t="shared" ref="FP62:GA62" si="432">SUM(FP14+FP20+FP26+FP32+FP38+FP44+FP50+FP56)</f>
        <v>117</v>
      </c>
      <c r="FQ62" s="44">
        <f t="shared" si="432"/>
        <v>125</v>
      </c>
      <c r="FR62" s="44">
        <f t="shared" si="432"/>
        <v>97</v>
      </c>
      <c r="FS62" s="44">
        <f t="shared" si="432"/>
        <v>135</v>
      </c>
      <c r="FT62" s="44">
        <f t="shared" si="432"/>
        <v>119</v>
      </c>
      <c r="FU62" s="44">
        <f t="shared" si="432"/>
        <v>126</v>
      </c>
      <c r="FV62" s="44">
        <f t="shared" si="432"/>
        <v>120</v>
      </c>
      <c r="FW62" s="44">
        <f t="shared" si="432"/>
        <v>81</v>
      </c>
      <c r="FX62" s="44">
        <f t="shared" si="432"/>
        <v>89</v>
      </c>
      <c r="FY62" s="44">
        <f t="shared" si="432"/>
        <v>84</v>
      </c>
      <c r="FZ62" s="44">
        <f t="shared" si="432"/>
        <v>97</v>
      </c>
      <c r="GA62" s="44">
        <f t="shared" si="432"/>
        <v>86</v>
      </c>
      <c r="GB62" s="38">
        <f t="shared" si="26"/>
        <v>1276</v>
      </c>
      <c r="GC62" s="26"/>
      <c r="GD62" s="44">
        <f t="shared" ref="GD62:GO62" si="433">SUM(GD14+GD20+GD26+GD32+GD38+GD44+GD50+GD56)</f>
        <v>153</v>
      </c>
      <c r="GE62" s="44">
        <f t="shared" si="433"/>
        <v>168</v>
      </c>
      <c r="GF62" s="44">
        <f t="shared" si="433"/>
        <v>167</v>
      </c>
      <c r="GG62" s="44">
        <f t="shared" si="433"/>
        <v>140</v>
      </c>
      <c r="GH62" s="44">
        <f t="shared" si="433"/>
        <v>156</v>
      </c>
      <c r="GI62" s="44">
        <f t="shared" si="433"/>
        <v>176</v>
      </c>
      <c r="GJ62" s="44">
        <f t="shared" si="433"/>
        <v>180</v>
      </c>
      <c r="GK62" s="44">
        <f t="shared" si="433"/>
        <v>131</v>
      </c>
      <c r="GL62" s="44">
        <f t="shared" si="433"/>
        <v>119</v>
      </c>
      <c r="GM62" s="44">
        <f t="shared" si="433"/>
        <v>131</v>
      </c>
      <c r="GN62" s="44">
        <f t="shared" si="433"/>
        <v>168</v>
      </c>
      <c r="GO62" s="44">
        <f t="shared" si="433"/>
        <v>144</v>
      </c>
      <c r="GP62" s="38">
        <f t="shared" si="27"/>
        <v>1833</v>
      </c>
      <c r="GQ62" s="26"/>
      <c r="GR62" s="44">
        <f t="shared" ref="GR62:HC62" si="434">SUM(GR14+GR20+GR26+GR32+GR38+GR44+GR50+GR56)</f>
        <v>0</v>
      </c>
      <c r="GS62" s="44">
        <f t="shared" si="434"/>
        <v>33</v>
      </c>
      <c r="GT62" s="44">
        <f t="shared" si="434"/>
        <v>13</v>
      </c>
      <c r="GU62" s="44">
        <f t="shared" si="434"/>
        <v>12</v>
      </c>
      <c r="GV62" s="44">
        <f t="shared" si="434"/>
        <v>9</v>
      </c>
      <c r="GW62" s="44">
        <f t="shared" si="434"/>
        <v>13</v>
      </c>
      <c r="GX62" s="44">
        <f t="shared" si="434"/>
        <v>12</v>
      </c>
      <c r="GY62" s="44">
        <f t="shared" si="434"/>
        <v>6</v>
      </c>
      <c r="GZ62" s="44">
        <f t="shared" si="434"/>
        <v>0</v>
      </c>
      <c r="HA62" s="44">
        <f t="shared" si="434"/>
        <v>0</v>
      </c>
      <c r="HB62" s="44">
        <f t="shared" si="434"/>
        <v>4</v>
      </c>
      <c r="HC62" s="44">
        <f t="shared" si="434"/>
        <v>2</v>
      </c>
      <c r="HD62" s="38">
        <f t="shared" si="28"/>
        <v>104</v>
      </c>
      <c r="HE62" s="26"/>
      <c r="HF62" s="44">
        <f t="shared" ref="HF62:HQ62" si="435">SUM(HF14+HF20+HF26+HF32+HF38+HF44+HF50+HF56)</f>
        <v>0</v>
      </c>
      <c r="HG62" s="44">
        <f t="shared" si="435"/>
        <v>0</v>
      </c>
      <c r="HH62" s="44">
        <f t="shared" si="435"/>
        <v>0</v>
      </c>
      <c r="HI62" s="44">
        <f t="shared" si="435"/>
        <v>0</v>
      </c>
      <c r="HJ62" s="44">
        <f t="shared" si="435"/>
        <v>0</v>
      </c>
      <c r="HK62" s="44">
        <f t="shared" si="435"/>
        <v>0</v>
      </c>
      <c r="HL62" s="44">
        <f t="shared" si="435"/>
        <v>0</v>
      </c>
      <c r="HM62" s="44">
        <f t="shared" si="435"/>
        <v>0</v>
      </c>
      <c r="HN62" s="44">
        <f t="shared" si="435"/>
        <v>0</v>
      </c>
      <c r="HO62" s="44">
        <f t="shared" si="435"/>
        <v>0</v>
      </c>
      <c r="HP62" s="44">
        <f t="shared" si="435"/>
        <v>0</v>
      </c>
      <c r="HQ62" s="44">
        <f t="shared" si="435"/>
        <v>0</v>
      </c>
      <c r="HR62" s="38">
        <f t="shared" si="29"/>
        <v>0</v>
      </c>
      <c r="HS62" s="26"/>
      <c r="HT62" s="44">
        <f t="shared" ref="HT62:IE62" si="436">SUM(HT14+HT20+HT26+HT32+HT38+HT44+HT50+HT56)</f>
        <v>13</v>
      </c>
      <c r="HU62" s="44">
        <f t="shared" si="436"/>
        <v>15</v>
      </c>
      <c r="HV62" s="44">
        <f t="shared" si="436"/>
        <v>19</v>
      </c>
      <c r="HW62" s="44">
        <f t="shared" si="436"/>
        <v>15</v>
      </c>
      <c r="HX62" s="44">
        <f t="shared" si="436"/>
        <v>15</v>
      </c>
      <c r="HY62" s="44">
        <f t="shared" si="436"/>
        <v>17</v>
      </c>
      <c r="HZ62" s="44">
        <f t="shared" si="436"/>
        <v>13</v>
      </c>
      <c r="IA62" s="44">
        <f t="shared" si="436"/>
        <v>10</v>
      </c>
      <c r="IB62" s="44">
        <f t="shared" si="436"/>
        <v>19</v>
      </c>
      <c r="IC62" s="44">
        <f t="shared" si="436"/>
        <v>19</v>
      </c>
      <c r="ID62" s="44">
        <f t="shared" si="436"/>
        <v>19</v>
      </c>
      <c r="IE62" s="44">
        <f t="shared" si="436"/>
        <v>17</v>
      </c>
      <c r="IF62" s="38">
        <f t="shared" si="347"/>
        <v>191</v>
      </c>
      <c r="IG62" s="44">
        <f t="shared" ref="IG62:IR62" si="437">SUM(IG14+IG20+IG26+IG32+IG38+IG44+IG50+IG56)</f>
        <v>110</v>
      </c>
      <c r="IH62" s="44">
        <f t="shared" si="437"/>
        <v>121</v>
      </c>
      <c r="II62" s="44">
        <f t="shared" si="437"/>
        <v>96</v>
      </c>
      <c r="IJ62" s="44">
        <f t="shared" si="437"/>
        <v>152</v>
      </c>
      <c r="IK62" s="44">
        <f t="shared" si="437"/>
        <v>146</v>
      </c>
      <c r="IL62" s="44">
        <f t="shared" si="437"/>
        <v>112</v>
      </c>
      <c r="IM62" s="44">
        <f t="shared" si="437"/>
        <v>143</v>
      </c>
      <c r="IN62" s="44">
        <f t="shared" si="437"/>
        <v>97</v>
      </c>
      <c r="IO62" s="44">
        <f t="shared" si="437"/>
        <v>94</v>
      </c>
      <c r="IP62" s="44">
        <f t="shared" si="437"/>
        <v>85</v>
      </c>
      <c r="IQ62" s="44">
        <f t="shared" si="437"/>
        <v>96</v>
      </c>
      <c r="IR62" s="44">
        <f t="shared" si="437"/>
        <v>118</v>
      </c>
      <c r="IS62" s="38">
        <f t="shared" si="349"/>
        <v>1370</v>
      </c>
      <c r="IT62" s="36">
        <f t="shared" si="39"/>
        <v>1561</v>
      </c>
      <c r="IU62" s="26"/>
      <c r="IV62" s="44">
        <f t="shared" ref="IV62:JG62" si="438">SUM(IV14+IV20+IV26+IV32+IV38+IV44+IV50+IV56)</f>
        <v>30</v>
      </c>
      <c r="IW62" s="44">
        <f t="shared" si="438"/>
        <v>41</v>
      </c>
      <c r="IX62" s="44">
        <f t="shared" si="438"/>
        <v>38</v>
      </c>
      <c r="IY62" s="44">
        <f t="shared" si="438"/>
        <v>42</v>
      </c>
      <c r="IZ62" s="44">
        <f t="shared" si="438"/>
        <v>34</v>
      </c>
      <c r="JA62" s="44">
        <f t="shared" si="438"/>
        <v>45</v>
      </c>
      <c r="JB62" s="44">
        <f t="shared" si="438"/>
        <v>44</v>
      </c>
      <c r="JC62" s="44">
        <f t="shared" si="438"/>
        <v>47</v>
      </c>
      <c r="JD62" s="44">
        <f t="shared" si="438"/>
        <v>27</v>
      </c>
      <c r="JE62" s="44">
        <f t="shared" si="438"/>
        <v>26</v>
      </c>
      <c r="JF62" s="44">
        <f t="shared" si="438"/>
        <v>33</v>
      </c>
      <c r="JG62" s="44">
        <f t="shared" si="438"/>
        <v>35</v>
      </c>
      <c r="JH62" s="38">
        <f t="shared" si="351"/>
        <v>442</v>
      </c>
      <c r="JI62" s="111">
        <f t="shared" ref="JI62:JT62" si="439">SUM(JI14+JI20+JI26+JI32+JI38+JI44+JI50+JI56)</f>
        <v>105</v>
      </c>
      <c r="JJ62" s="7">
        <f t="shared" si="439"/>
        <v>132</v>
      </c>
      <c r="JK62" s="7">
        <f t="shared" si="439"/>
        <v>173</v>
      </c>
      <c r="JL62" s="7">
        <f t="shared" si="439"/>
        <v>159</v>
      </c>
      <c r="JM62" s="7">
        <f t="shared" si="439"/>
        <v>168</v>
      </c>
      <c r="JN62" s="7">
        <f t="shared" si="439"/>
        <v>129</v>
      </c>
      <c r="JO62" s="7">
        <f t="shared" si="439"/>
        <v>133</v>
      </c>
      <c r="JP62" s="7">
        <f t="shared" si="439"/>
        <v>93</v>
      </c>
      <c r="JQ62" s="7">
        <f t="shared" si="439"/>
        <v>123</v>
      </c>
      <c r="JR62" s="7">
        <f t="shared" si="439"/>
        <v>125</v>
      </c>
      <c r="JS62" s="7">
        <f t="shared" si="439"/>
        <v>159</v>
      </c>
      <c r="JT62" s="7">
        <f t="shared" si="439"/>
        <v>157</v>
      </c>
      <c r="JU62" s="90">
        <f t="shared" si="5"/>
        <v>1656</v>
      </c>
      <c r="JV62" s="40">
        <f t="shared" si="30"/>
        <v>2098</v>
      </c>
      <c r="JW62" s="26"/>
      <c r="JX62" s="44">
        <f t="shared" ref="JX62:KI62" si="440">SUM(JX14+JX20+JX26+JX32+JX38+JX44+JX50+JX56)</f>
        <v>5</v>
      </c>
      <c r="JY62" s="44">
        <f t="shared" si="440"/>
        <v>2</v>
      </c>
      <c r="JZ62" s="44">
        <f t="shared" si="440"/>
        <v>0</v>
      </c>
      <c r="KA62" s="44">
        <f t="shared" si="440"/>
        <v>6</v>
      </c>
      <c r="KB62" s="44">
        <f t="shared" si="440"/>
        <v>0</v>
      </c>
      <c r="KC62" s="44">
        <f t="shared" si="440"/>
        <v>1</v>
      </c>
      <c r="KD62" s="44">
        <f t="shared" si="440"/>
        <v>2</v>
      </c>
      <c r="KE62" s="44">
        <f t="shared" si="440"/>
        <v>1</v>
      </c>
      <c r="KF62" s="44">
        <f t="shared" si="440"/>
        <v>4</v>
      </c>
      <c r="KG62" s="44">
        <f t="shared" si="440"/>
        <v>5</v>
      </c>
      <c r="KH62" s="44">
        <f t="shared" si="440"/>
        <v>9</v>
      </c>
      <c r="KI62" s="44">
        <f t="shared" si="440"/>
        <v>0</v>
      </c>
      <c r="KJ62" s="38">
        <f t="shared" si="354"/>
        <v>35</v>
      </c>
      <c r="KK62" s="44">
        <f t="shared" ref="KK62:KV62" si="441">SUM(KK14+KK20+KK26+KK32+KK38+KK44+KK50+KK56)</f>
        <v>181</v>
      </c>
      <c r="KL62" s="44">
        <f t="shared" si="441"/>
        <v>120</v>
      </c>
      <c r="KM62" s="44">
        <f t="shared" si="441"/>
        <v>317</v>
      </c>
      <c r="KN62" s="44">
        <f t="shared" si="441"/>
        <v>257</v>
      </c>
      <c r="KO62" s="44">
        <f t="shared" si="441"/>
        <v>234</v>
      </c>
      <c r="KP62" s="44">
        <f t="shared" si="441"/>
        <v>90</v>
      </c>
      <c r="KQ62" s="44">
        <f t="shared" si="441"/>
        <v>133</v>
      </c>
      <c r="KR62" s="44">
        <f t="shared" si="441"/>
        <v>149</v>
      </c>
      <c r="KS62" s="44">
        <f t="shared" si="441"/>
        <v>249</v>
      </c>
      <c r="KT62" s="44">
        <f t="shared" si="441"/>
        <v>240</v>
      </c>
      <c r="KU62" s="44">
        <f t="shared" si="441"/>
        <v>231</v>
      </c>
      <c r="KV62" s="44">
        <f t="shared" si="441"/>
        <v>193</v>
      </c>
      <c r="KW62" s="38">
        <f t="shared" si="356"/>
        <v>2394</v>
      </c>
      <c r="KX62" s="36">
        <f t="shared" si="31"/>
        <v>2429</v>
      </c>
      <c r="KY62" s="26"/>
      <c r="KZ62" s="44">
        <f t="shared" ref="KZ62:LK62" si="442">SUM(KZ14+KZ20+KZ26+KZ32+KZ38+KZ44+KZ50+KZ56)</f>
        <v>23</v>
      </c>
      <c r="LA62" s="44">
        <f t="shared" si="442"/>
        <v>27</v>
      </c>
      <c r="LB62" s="44">
        <f t="shared" si="442"/>
        <v>31</v>
      </c>
      <c r="LC62" s="44">
        <f t="shared" si="442"/>
        <v>44</v>
      </c>
      <c r="LD62" s="44">
        <f t="shared" si="442"/>
        <v>12</v>
      </c>
      <c r="LE62" s="44">
        <f t="shared" si="442"/>
        <v>18</v>
      </c>
      <c r="LF62" s="44">
        <f t="shared" si="442"/>
        <v>23</v>
      </c>
      <c r="LG62" s="44">
        <f t="shared" si="442"/>
        <v>25</v>
      </c>
      <c r="LH62" s="44">
        <f t="shared" si="442"/>
        <v>34</v>
      </c>
      <c r="LI62" s="44">
        <f t="shared" si="442"/>
        <v>30</v>
      </c>
      <c r="LJ62" s="44">
        <f t="shared" si="442"/>
        <v>20</v>
      </c>
      <c r="LK62" s="44">
        <f t="shared" si="442"/>
        <v>26</v>
      </c>
      <c r="LL62" s="38">
        <f t="shared" si="32"/>
        <v>313</v>
      </c>
      <c r="LM62" s="26"/>
      <c r="LN62" s="44">
        <f t="shared" ref="LN62:LY62" si="443">SUM(LN14+LN20+LN26+LN32+LN38+LN44+LN50+LN56)</f>
        <v>345</v>
      </c>
      <c r="LO62" s="44">
        <f t="shared" si="443"/>
        <v>290</v>
      </c>
      <c r="LP62" s="44">
        <f t="shared" si="443"/>
        <v>282</v>
      </c>
      <c r="LQ62" s="44">
        <f t="shared" si="443"/>
        <v>288</v>
      </c>
      <c r="LR62" s="44">
        <f t="shared" si="443"/>
        <v>297</v>
      </c>
      <c r="LS62" s="44">
        <f>SUM(LS14+LS20+LS26+LS32+LS38+LS44+LS50+LS56)</f>
        <v>325</v>
      </c>
      <c r="LT62" s="44">
        <f t="shared" si="443"/>
        <v>276</v>
      </c>
      <c r="LU62" s="44">
        <f t="shared" si="443"/>
        <v>388</v>
      </c>
      <c r="LV62" s="44">
        <f t="shared" si="443"/>
        <v>285</v>
      </c>
      <c r="LW62" s="44">
        <f t="shared" si="443"/>
        <v>320</v>
      </c>
      <c r="LX62" s="44">
        <f t="shared" si="443"/>
        <v>269</v>
      </c>
      <c r="LY62" s="44">
        <f t="shared" si="443"/>
        <v>290</v>
      </c>
      <c r="LZ62" s="38">
        <f t="shared" si="359"/>
        <v>3655</v>
      </c>
      <c r="MA62" s="26"/>
      <c r="MB62" s="44">
        <f t="shared" ref="MB62:MM62" si="444">SUM(MB14+MB20+MB26+MB32+MB38+MB44+MB50+MB56)</f>
        <v>137</v>
      </c>
      <c r="MC62" s="44">
        <f t="shared" si="444"/>
        <v>105</v>
      </c>
      <c r="MD62" s="44">
        <f t="shared" si="444"/>
        <v>120</v>
      </c>
      <c r="ME62" s="44">
        <f t="shared" si="444"/>
        <v>105</v>
      </c>
      <c r="MF62" s="44">
        <f t="shared" si="444"/>
        <v>101</v>
      </c>
      <c r="MG62" s="44">
        <f t="shared" si="444"/>
        <v>84</v>
      </c>
      <c r="MH62" s="44">
        <f t="shared" si="444"/>
        <v>156</v>
      </c>
      <c r="MI62" s="44">
        <f t="shared" si="444"/>
        <v>139</v>
      </c>
      <c r="MJ62" s="44">
        <f t="shared" si="444"/>
        <v>64</v>
      </c>
      <c r="MK62" s="44">
        <f t="shared" si="444"/>
        <v>90</v>
      </c>
      <c r="ML62" s="44">
        <f t="shared" si="444"/>
        <v>133</v>
      </c>
      <c r="MM62" s="44">
        <f t="shared" si="444"/>
        <v>78</v>
      </c>
      <c r="MN62" s="38">
        <f t="shared" si="361"/>
        <v>1312</v>
      </c>
      <c r="MO62" s="44">
        <f t="shared" ref="MO62:MZ62" si="445">SUM(MO14+MO20+MO26+MO32+MO38+MO44+MO50+MO56)</f>
        <v>526</v>
      </c>
      <c r="MP62" s="44">
        <f t="shared" si="445"/>
        <v>1875</v>
      </c>
      <c r="MQ62" s="44">
        <f t="shared" si="445"/>
        <v>2474</v>
      </c>
      <c r="MR62" s="44">
        <f t="shared" si="445"/>
        <v>2301</v>
      </c>
      <c r="MS62" s="44">
        <f t="shared" si="445"/>
        <v>1850</v>
      </c>
      <c r="MT62" s="44">
        <f t="shared" si="445"/>
        <v>1841</v>
      </c>
      <c r="MU62" s="44">
        <f t="shared" si="445"/>
        <v>1599</v>
      </c>
      <c r="MV62" s="44">
        <f t="shared" si="445"/>
        <v>1446</v>
      </c>
      <c r="MW62" s="44">
        <f t="shared" si="445"/>
        <v>1186</v>
      </c>
      <c r="MX62" s="44">
        <f t="shared" si="445"/>
        <v>564</v>
      </c>
      <c r="MY62" s="44">
        <f t="shared" si="445"/>
        <v>296</v>
      </c>
      <c r="MZ62" s="44">
        <f t="shared" si="445"/>
        <v>428</v>
      </c>
      <c r="NA62" s="38">
        <f t="shared" si="363"/>
        <v>16386</v>
      </c>
      <c r="NB62" s="36">
        <f>SUM(MN62+NA62)</f>
        <v>17698</v>
      </c>
      <c r="NC62" s="26"/>
      <c r="ND62" s="44">
        <f t="shared" ref="ND62:NO62" si="446">SUM(ND14+ND20+ND26+ND32+ND38+ND44+ND50+ND56)</f>
        <v>42</v>
      </c>
      <c r="NE62" s="44">
        <f t="shared" si="446"/>
        <v>38</v>
      </c>
      <c r="NF62" s="44">
        <f t="shared" si="446"/>
        <v>15</v>
      </c>
      <c r="NG62" s="44">
        <f t="shared" si="446"/>
        <v>26</v>
      </c>
      <c r="NH62" s="44">
        <f t="shared" si="446"/>
        <v>14</v>
      </c>
      <c r="NI62" s="44">
        <f t="shared" si="446"/>
        <v>6</v>
      </c>
      <c r="NJ62" s="44">
        <f t="shared" si="446"/>
        <v>2</v>
      </c>
      <c r="NK62" s="44">
        <f t="shared" si="446"/>
        <v>12</v>
      </c>
      <c r="NL62" s="44">
        <f t="shared" si="446"/>
        <v>13</v>
      </c>
      <c r="NM62" s="44">
        <f t="shared" si="446"/>
        <v>0</v>
      </c>
      <c r="NN62" s="44">
        <f t="shared" si="446"/>
        <v>0</v>
      </c>
      <c r="NO62" s="44">
        <f t="shared" si="446"/>
        <v>0</v>
      </c>
      <c r="NP62" s="118">
        <f t="shared" si="365"/>
        <v>168</v>
      </c>
      <c r="NQ62" s="36">
        <f t="shared" si="34"/>
        <v>1732</v>
      </c>
      <c r="NR62" s="36">
        <f t="shared" si="35"/>
        <v>17779</v>
      </c>
      <c r="NS62" s="36">
        <f t="shared" si="36"/>
        <v>18042</v>
      </c>
      <c r="NT62" s="36">
        <f t="shared" si="37"/>
        <v>37553</v>
      </c>
      <c r="NU62" s="21"/>
      <c r="NV62" s="21"/>
      <c r="NW62" s="21"/>
      <c r="NX62" s="21"/>
      <c r="NY62" s="21"/>
      <c r="NZ62" s="21"/>
      <c r="OA62" s="21"/>
      <c r="OB62" s="21"/>
      <c r="OC62" s="21"/>
      <c r="OD62" s="21"/>
      <c r="OE62" s="21"/>
      <c r="OF62" s="21"/>
      <c r="OG62" s="21"/>
      <c r="OH62" s="21"/>
      <c r="OI62" s="21"/>
      <c r="OJ62" s="21"/>
      <c r="OK62" s="21"/>
      <c r="OL62" s="21"/>
      <c r="OM62" s="21"/>
      <c r="ON62" s="21"/>
      <c r="OO62" s="21"/>
      <c r="OP62" s="22"/>
      <c r="OQ62" s="21"/>
      <c r="OR62" s="21"/>
      <c r="OS62" s="21"/>
      <c r="OT62" s="21"/>
      <c r="OU62" s="21"/>
      <c r="OV62" s="21"/>
      <c r="OW62" s="21"/>
      <c r="OX62" s="21"/>
      <c r="OY62" s="21"/>
      <c r="OZ62" s="21"/>
      <c r="PA62" s="21"/>
      <c r="PB62" s="21"/>
      <c r="PC62" s="21"/>
      <c r="PD62" s="21"/>
      <c r="PE62" s="21"/>
      <c r="PF62" s="21"/>
      <c r="PG62" s="21"/>
      <c r="PH62" s="21"/>
      <c r="PI62" s="21"/>
      <c r="PJ62" s="21"/>
      <c r="PK62" s="21"/>
      <c r="PL62" s="21"/>
      <c r="PM62" s="21"/>
      <c r="PN62" s="21"/>
      <c r="PO62" s="21"/>
      <c r="PP62" s="22"/>
      <c r="PQ62" s="21"/>
      <c r="PR62" s="21"/>
      <c r="PS62" s="21"/>
      <c r="PT62" s="21"/>
      <c r="PU62" s="21"/>
      <c r="PV62" s="21"/>
      <c r="PW62" s="21"/>
      <c r="PX62" s="21"/>
      <c r="PY62" s="21"/>
      <c r="PZ62" s="21"/>
      <c r="QA62" s="21"/>
      <c r="QB62" s="21"/>
      <c r="QC62" s="21"/>
      <c r="QD62" s="21"/>
      <c r="QE62" s="21"/>
      <c r="QF62" s="21"/>
      <c r="QG62" s="21"/>
      <c r="QH62" s="21"/>
      <c r="QI62" s="21"/>
      <c r="QJ62" s="21"/>
      <c r="QK62" s="21"/>
      <c r="QL62" s="21"/>
      <c r="QM62" s="21"/>
      <c r="QN62" s="21"/>
      <c r="QO62" s="21"/>
      <c r="QP62" s="22"/>
    </row>
    <row r="63" spans="1:458" ht="50.1" customHeight="1" x14ac:dyDescent="0.25">
      <c r="A63" s="132"/>
      <c r="B63" s="6" t="s">
        <v>22</v>
      </c>
      <c r="C63" s="25"/>
      <c r="D63" s="44">
        <f t="shared" ref="D63:O63" si="447">SUM(D15+D21+D27+D33+D39+D45+D51+D57)</f>
        <v>0</v>
      </c>
      <c r="E63" s="44">
        <f t="shared" si="447"/>
        <v>0</v>
      </c>
      <c r="F63" s="44">
        <f t="shared" si="447"/>
        <v>0</v>
      </c>
      <c r="G63" s="44">
        <f t="shared" si="447"/>
        <v>0</v>
      </c>
      <c r="H63" s="44">
        <f t="shared" si="447"/>
        <v>0</v>
      </c>
      <c r="I63" s="44">
        <f t="shared" si="447"/>
        <v>0</v>
      </c>
      <c r="J63" s="44">
        <f t="shared" si="447"/>
        <v>0</v>
      </c>
      <c r="K63" s="44">
        <f t="shared" si="447"/>
        <v>0</v>
      </c>
      <c r="L63" s="44">
        <f t="shared" si="447"/>
        <v>0</v>
      </c>
      <c r="M63" s="44">
        <f t="shared" si="447"/>
        <v>0</v>
      </c>
      <c r="N63" s="44">
        <f t="shared" si="447"/>
        <v>0</v>
      </c>
      <c r="O63" s="44">
        <f t="shared" si="447"/>
        <v>0</v>
      </c>
      <c r="P63" s="38">
        <f t="shared" si="12"/>
        <v>0</v>
      </c>
      <c r="Q63" s="44">
        <f t="shared" ref="Q63:AB63" si="448">SUM(Q15+Q21+Q27+Q33+Q39+Q45+Q51+Q57)</f>
        <v>0</v>
      </c>
      <c r="R63" s="44">
        <f t="shared" si="448"/>
        <v>0</v>
      </c>
      <c r="S63" s="44">
        <f t="shared" si="448"/>
        <v>0</v>
      </c>
      <c r="T63" s="44">
        <f t="shared" si="448"/>
        <v>0</v>
      </c>
      <c r="U63" s="44">
        <f t="shared" si="448"/>
        <v>0</v>
      </c>
      <c r="V63" s="44">
        <f t="shared" si="448"/>
        <v>0</v>
      </c>
      <c r="W63" s="44">
        <f t="shared" si="448"/>
        <v>0</v>
      </c>
      <c r="X63" s="44">
        <f t="shared" si="448"/>
        <v>0</v>
      </c>
      <c r="Y63" s="44">
        <f t="shared" si="448"/>
        <v>0</v>
      </c>
      <c r="Z63" s="44">
        <f t="shared" si="448"/>
        <v>0</v>
      </c>
      <c r="AA63" s="44">
        <f t="shared" si="448"/>
        <v>0</v>
      </c>
      <c r="AB63" s="44">
        <f t="shared" si="448"/>
        <v>0</v>
      </c>
      <c r="AC63" s="38">
        <f t="shared" si="38"/>
        <v>0</v>
      </c>
      <c r="AD63" s="36">
        <f t="shared" si="13"/>
        <v>0</v>
      </c>
      <c r="AE63" s="26"/>
      <c r="AF63" s="48">
        <f t="shared" ref="AF63:AQ63" si="449">SUM(AF15+AF21+AF27+AF33+AF39+AF45+AF51+AF57)</f>
        <v>0</v>
      </c>
      <c r="AG63" s="48">
        <f t="shared" si="449"/>
        <v>0</v>
      </c>
      <c r="AH63" s="48">
        <f t="shared" si="449"/>
        <v>0</v>
      </c>
      <c r="AI63" s="48">
        <f t="shared" si="449"/>
        <v>0</v>
      </c>
      <c r="AJ63" s="48">
        <f t="shared" si="449"/>
        <v>0</v>
      </c>
      <c r="AK63" s="48">
        <f t="shared" si="449"/>
        <v>0</v>
      </c>
      <c r="AL63" s="48">
        <f t="shared" si="449"/>
        <v>0</v>
      </c>
      <c r="AM63" s="48">
        <f t="shared" si="449"/>
        <v>0</v>
      </c>
      <c r="AN63" s="48">
        <f t="shared" si="449"/>
        <v>0</v>
      </c>
      <c r="AO63" s="48">
        <f t="shared" si="449"/>
        <v>0</v>
      </c>
      <c r="AP63" s="48">
        <f t="shared" si="449"/>
        <v>0</v>
      </c>
      <c r="AQ63" s="48">
        <f t="shared" si="449"/>
        <v>0</v>
      </c>
      <c r="AR63" s="38">
        <f t="shared" si="14"/>
        <v>0</v>
      </c>
      <c r="AS63" s="44">
        <f t="shared" ref="AS63:BD63" si="450">SUM(AS15+AS21+AS27+AS33+AS39+AS45+AS51+AS57)</f>
        <v>0</v>
      </c>
      <c r="AT63" s="44">
        <f t="shared" si="450"/>
        <v>0</v>
      </c>
      <c r="AU63" s="44">
        <f t="shared" si="450"/>
        <v>0</v>
      </c>
      <c r="AV63" s="44">
        <f t="shared" si="450"/>
        <v>0</v>
      </c>
      <c r="AW63" s="44">
        <f t="shared" si="450"/>
        <v>0</v>
      </c>
      <c r="AX63" s="44">
        <f t="shared" si="450"/>
        <v>0</v>
      </c>
      <c r="AY63" s="44">
        <f t="shared" si="450"/>
        <v>0</v>
      </c>
      <c r="AZ63" s="44">
        <f t="shared" si="450"/>
        <v>0</v>
      </c>
      <c r="BA63" s="44">
        <f t="shared" si="450"/>
        <v>0</v>
      </c>
      <c r="BB63" s="44">
        <f t="shared" si="450"/>
        <v>0</v>
      </c>
      <c r="BC63" s="44">
        <f t="shared" si="450"/>
        <v>0</v>
      </c>
      <c r="BD63" s="44">
        <f t="shared" si="450"/>
        <v>0</v>
      </c>
      <c r="BE63" s="38">
        <f t="shared" si="15"/>
        <v>0</v>
      </c>
      <c r="BF63" s="36">
        <f t="shared" si="16"/>
        <v>0</v>
      </c>
      <c r="BG63" s="26"/>
      <c r="BH63" s="44">
        <f t="shared" ref="BH63:BS63" si="451">SUM(BH15+BH21+BH27+BH33+BH39+BH45+BH51+BH57)</f>
        <v>0</v>
      </c>
      <c r="BI63" s="44">
        <f t="shared" si="451"/>
        <v>0</v>
      </c>
      <c r="BJ63" s="44">
        <f t="shared" si="451"/>
        <v>0</v>
      </c>
      <c r="BK63" s="44">
        <f t="shared" si="451"/>
        <v>0</v>
      </c>
      <c r="BL63" s="44">
        <f t="shared" si="451"/>
        <v>0</v>
      </c>
      <c r="BM63" s="44">
        <f t="shared" si="451"/>
        <v>0</v>
      </c>
      <c r="BN63" s="44">
        <f t="shared" si="451"/>
        <v>0</v>
      </c>
      <c r="BO63" s="44">
        <f t="shared" si="451"/>
        <v>0</v>
      </c>
      <c r="BP63" s="44">
        <f t="shared" si="451"/>
        <v>0</v>
      </c>
      <c r="BQ63" s="44">
        <f t="shared" si="451"/>
        <v>0</v>
      </c>
      <c r="BR63" s="44">
        <f t="shared" si="451"/>
        <v>0</v>
      </c>
      <c r="BS63" s="44">
        <f t="shared" si="451"/>
        <v>0</v>
      </c>
      <c r="BT63" s="38">
        <f t="shared" si="17"/>
        <v>0</v>
      </c>
      <c r="BU63" s="44">
        <f t="shared" ref="BU63:CF63" si="452">SUM(BU15+BU21+BU27+BU33+BU39+BU45+BU51+BU57)</f>
        <v>0</v>
      </c>
      <c r="BV63" s="44">
        <f t="shared" si="452"/>
        <v>0</v>
      </c>
      <c r="BW63" s="44">
        <f t="shared" si="452"/>
        <v>0</v>
      </c>
      <c r="BX63" s="44">
        <f t="shared" si="452"/>
        <v>0</v>
      </c>
      <c r="BY63" s="44">
        <f t="shared" si="452"/>
        <v>0</v>
      </c>
      <c r="BZ63" s="44">
        <f t="shared" si="452"/>
        <v>0</v>
      </c>
      <c r="CA63" s="44">
        <f t="shared" si="452"/>
        <v>0</v>
      </c>
      <c r="CB63" s="44">
        <f t="shared" si="452"/>
        <v>0</v>
      </c>
      <c r="CC63" s="44">
        <f t="shared" si="452"/>
        <v>0</v>
      </c>
      <c r="CD63" s="44">
        <f t="shared" si="452"/>
        <v>0</v>
      </c>
      <c r="CE63" s="44">
        <f t="shared" si="452"/>
        <v>0</v>
      </c>
      <c r="CF63" s="44">
        <f t="shared" si="452"/>
        <v>0</v>
      </c>
      <c r="CG63" s="38">
        <f t="shared" si="18"/>
        <v>0</v>
      </c>
      <c r="CH63" s="36">
        <f t="shared" si="19"/>
        <v>0</v>
      </c>
      <c r="CI63" s="26"/>
      <c r="CJ63" s="44">
        <f t="shared" ref="CJ63:CU63" si="453">SUM(CJ15+CJ21+CJ27+CJ33+CJ39+CJ45+CJ51+CJ57)</f>
        <v>0</v>
      </c>
      <c r="CK63" s="44">
        <f t="shared" si="453"/>
        <v>0</v>
      </c>
      <c r="CL63" s="44">
        <f t="shared" si="453"/>
        <v>0</v>
      </c>
      <c r="CM63" s="44">
        <f t="shared" si="453"/>
        <v>0</v>
      </c>
      <c r="CN63" s="44">
        <f t="shared" si="453"/>
        <v>0</v>
      </c>
      <c r="CO63" s="44">
        <f t="shared" si="453"/>
        <v>0</v>
      </c>
      <c r="CP63" s="44">
        <f t="shared" si="453"/>
        <v>0</v>
      </c>
      <c r="CQ63" s="44">
        <f t="shared" si="453"/>
        <v>0</v>
      </c>
      <c r="CR63" s="44">
        <f t="shared" si="453"/>
        <v>0</v>
      </c>
      <c r="CS63" s="44">
        <f t="shared" si="453"/>
        <v>0</v>
      </c>
      <c r="CT63" s="44">
        <f t="shared" si="453"/>
        <v>0</v>
      </c>
      <c r="CU63" s="44">
        <f t="shared" si="453"/>
        <v>0</v>
      </c>
      <c r="CV63" s="38">
        <f t="shared" si="20"/>
        <v>0</v>
      </c>
      <c r="CW63" s="44">
        <f t="shared" ref="CW63:DH63" si="454">SUM(CW15+CW21+CW27+CW33+CW39+CW45+CW51+CW57)</f>
        <v>0</v>
      </c>
      <c r="CX63" s="44">
        <f t="shared" si="454"/>
        <v>0</v>
      </c>
      <c r="CY63" s="44">
        <f t="shared" si="454"/>
        <v>0</v>
      </c>
      <c r="CZ63" s="44">
        <f t="shared" si="454"/>
        <v>0</v>
      </c>
      <c r="DA63" s="44">
        <f t="shared" si="454"/>
        <v>0</v>
      </c>
      <c r="DB63" s="44">
        <f t="shared" si="454"/>
        <v>0</v>
      </c>
      <c r="DC63" s="44">
        <f t="shared" si="454"/>
        <v>0</v>
      </c>
      <c r="DD63" s="44">
        <f t="shared" si="454"/>
        <v>0</v>
      </c>
      <c r="DE63" s="44">
        <f t="shared" si="454"/>
        <v>0</v>
      </c>
      <c r="DF63" s="44">
        <f t="shared" si="454"/>
        <v>0</v>
      </c>
      <c r="DG63" s="44">
        <f t="shared" si="454"/>
        <v>0</v>
      </c>
      <c r="DH63" s="44">
        <f t="shared" si="454"/>
        <v>0</v>
      </c>
      <c r="DI63" s="38">
        <f t="shared" si="21"/>
        <v>0</v>
      </c>
      <c r="DJ63" s="36">
        <f t="shared" si="22"/>
        <v>0</v>
      </c>
      <c r="DK63" s="26"/>
      <c r="DL63" s="44">
        <f t="shared" ref="DL63:DW63" si="455">SUM(DL15+DL21+DL27+DL33+DL39+DL45+DL51)</f>
        <v>0</v>
      </c>
      <c r="DM63" s="44">
        <f t="shared" si="455"/>
        <v>0</v>
      </c>
      <c r="DN63" s="44">
        <f t="shared" si="455"/>
        <v>0</v>
      </c>
      <c r="DO63" s="44">
        <f t="shared" si="455"/>
        <v>0</v>
      </c>
      <c r="DP63" s="44">
        <f t="shared" si="455"/>
        <v>0</v>
      </c>
      <c r="DQ63" s="44">
        <f t="shared" si="455"/>
        <v>0</v>
      </c>
      <c r="DR63" s="44">
        <f t="shared" si="455"/>
        <v>0</v>
      </c>
      <c r="DS63" s="44">
        <f t="shared" si="455"/>
        <v>0</v>
      </c>
      <c r="DT63" s="44">
        <f t="shared" si="455"/>
        <v>0</v>
      </c>
      <c r="DU63" s="44">
        <f t="shared" si="455"/>
        <v>0</v>
      </c>
      <c r="DV63" s="44">
        <f t="shared" si="455"/>
        <v>0</v>
      </c>
      <c r="DW63" s="44">
        <f t="shared" si="455"/>
        <v>0</v>
      </c>
      <c r="DX63" s="38">
        <f>SUM(DL63:DW63)</f>
        <v>0</v>
      </c>
      <c r="DY63" s="44">
        <f t="shared" ref="DY63:EJ63" si="456">SUM(DY15+DY21+DY27+DY33+DY39+DY45+DY51+DY57)</f>
        <v>0</v>
      </c>
      <c r="DZ63" s="44">
        <f t="shared" si="456"/>
        <v>0</v>
      </c>
      <c r="EA63" s="44">
        <f t="shared" si="456"/>
        <v>0</v>
      </c>
      <c r="EB63" s="44">
        <f t="shared" si="456"/>
        <v>0</v>
      </c>
      <c r="EC63" s="44">
        <f t="shared" si="456"/>
        <v>0</v>
      </c>
      <c r="ED63" s="44">
        <f t="shared" si="456"/>
        <v>0</v>
      </c>
      <c r="EE63" s="44">
        <f t="shared" si="456"/>
        <v>0</v>
      </c>
      <c r="EF63" s="44">
        <f t="shared" si="456"/>
        <v>0</v>
      </c>
      <c r="EG63" s="44">
        <f t="shared" si="456"/>
        <v>0</v>
      </c>
      <c r="EH63" s="44">
        <f t="shared" si="456"/>
        <v>0</v>
      </c>
      <c r="EI63" s="44">
        <f t="shared" si="456"/>
        <v>0</v>
      </c>
      <c r="EJ63" s="44">
        <f t="shared" si="456"/>
        <v>0</v>
      </c>
      <c r="EK63" s="38">
        <f t="shared" si="23"/>
        <v>0</v>
      </c>
      <c r="EL63" s="36">
        <f t="shared" si="1"/>
        <v>0</v>
      </c>
      <c r="EM63" s="26"/>
      <c r="EN63" s="44">
        <f t="shared" ref="EN63:EY63" si="457">SUM(EN15+EN21+EN27+EN33+EN39+EN45+EN51+EN57)</f>
        <v>0</v>
      </c>
      <c r="EO63" s="44">
        <f t="shared" si="457"/>
        <v>0</v>
      </c>
      <c r="EP63" s="44">
        <f t="shared" si="457"/>
        <v>0</v>
      </c>
      <c r="EQ63" s="44">
        <f t="shared" si="457"/>
        <v>0</v>
      </c>
      <c r="ER63" s="44">
        <f t="shared" si="457"/>
        <v>0</v>
      </c>
      <c r="ES63" s="44">
        <f t="shared" si="457"/>
        <v>0</v>
      </c>
      <c r="ET63" s="44">
        <f t="shared" si="457"/>
        <v>0</v>
      </c>
      <c r="EU63" s="44">
        <f t="shared" si="457"/>
        <v>0</v>
      </c>
      <c r="EV63" s="44">
        <f t="shared" si="457"/>
        <v>0</v>
      </c>
      <c r="EW63" s="44">
        <f t="shared" si="457"/>
        <v>0</v>
      </c>
      <c r="EX63" s="44">
        <f t="shared" si="457"/>
        <v>0</v>
      </c>
      <c r="EY63" s="44">
        <f t="shared" si="457"/>
        <v>0</v>
      </c>
      <c r="EZ63" s="38">
        <f t="shared" si="24"/>
        <v>0</v>
      </c>
      <c r="FA63" s="26"/>
      <c r="FB63" s="44">
        <f t="shared" ref="FB63:FM63" si="458">SUM(FB15+FB21+FB27+FB33+FB39+FB45+FB51+FB57)</f>
        <v>0</v>
      </c>
      <c r="FC63" s="44">
        <f t="shared" si="458"/>
        <v>0</v>
      </c>
      <c r="FD63" s="44">
        <f t="shared" si="458"/>
        <v>0</v>
      </c>
      <c r="FE63" s="44">
        <f t="shared" si="458"/>
        <v>0</v>
      </c>
      <c r="FF63" s="44">
        <f t="shared" si="458"/>
        <v>0</v>
      </c>
      <c r="FG63" s="44">
        <f t="shared" si="458"/>
        <v>0</v>
      </c>
      <c r="FH63" s="44">
        <f t="shared" si="458"/>
        <v>0</v>
      </c>
      <c r="FI63" s="44">
        <f t="shared" si="458"/>
        <v>0</v>
      </c>
      <c r="FJ63" s="44">
        <f t="shared" si="458"/>
        <v>0</v>
      </c>
      <c r="FK63" s="44">
        <f t="shared" si="458"/>
        <v>0</v>
      </c>
      <c r="FL63" s="44">
        <f t="shared" si="458"/>
        <v>0</v>
      </c>
      <c r="FM63" s="44">
        <f t="shared" si="458"/>
        <v>0</v>
      </c>
      <c r="FN63" s="38">
        <f t="shared" si="25"/>
        <v>0</v>
      </c>
      <c r="FO63" s="26"/>
      <c r="FP63" s="44">
        <f t="shared" ref="FP63:GA63" si="459">SUM(FP15+FP21+FP27+FP33+FP39+FP45+FP51+FP57)</f>
        <v>0</v>
      </c>
      <c r="FQ63" s="44">
        <f t="shared" si="459"/>
        <v>0</v>
      </c>
      <c r="FR63" s="44">
        <f t="shared" si="459"/>
        <v>0</v>
      </c>
      <c r="FS63" s="44">
        <f t="shared" si="459"/>
        <v>0</v>
      </c>
      <c r="FT63" s="44">
        <f t="shared" si="459"/>
        <v>0</v>
      </c>
      <c r="FU63" s="44">
        <f t="shared" si="459"/>
        <v>0</v>
      </c>
      <c r="FV63" s="44">
        <f t="shared" si="459"/>
        <v>0</v>
      </c>
      <c r="FW63" s="44">
        <f t="shared" si="459"/>
        <v>0</v>
      </c>
      <c r="FX63" s="44">
        <f t="shared" si="459"/>
        <v>0</v>
      </c>
      <c r="FY63" s="44">
        <f t="shared" si="459"/>
        <v>0</v>
      </c>
      <c r="FZ63" s="44">
        <f t="shared" si="459"/>
        <v>0</v>
      </c>
      <c r="GA63" s="44">
        <f t="shared" si="459"/>
        <v>0</v>
      </c>
      <c r="GB63" s="38">
        <f t="shared" si="26"/>
        <v>0</v>
      </c>
      <c r="GC63" s="26"/>
      <c r="GD63" s="44">
        <f t="shared" ref="GD63:GO63" si="460">SUM(GD15+GD21+GD27+GD33+GD39+GD45+GD51+GD57)</f>
        <v>0</v>
      </c>
      <c r="GE63" s="44">
        <f t="shared" si="460"/>
        <v>0</v>
      </c>
      <c r="GF63" s="44">
        <f t="shared" si="460"/>
        <v>0</v>
      </c>
      <c r="GG63" s="44">
        <f t="shared" si="460"/>
        <v>0</v>
      </c>
      <c r="GH63" s="44">
        <f t="shared" si="460"/>
        <v>0</v>
      </c>
      <c r="GI63" s="44">
        <f t="shared" si="460"/>
        <v>0</v>
      </c>
      <c r="GJ63" s="44">
        <f t="shared" si="460"/>
        <v>0</v>
      </c>
      <c r="GK63" s="44">
        <f t="shared" si="460"/>
        <v>0</v>
      </c>
      <c r="GL63" s="44">
        <f t="shared" si="460"/>
        <v>0</v>
      </c>
      <c r="GM63" s="44">
        <f t="shared" si="460"/>
        <v>0</v>
      </c>
      <c r="GN63" s="44">
        <f t="shared" si="460"/>
        <v>0</v>
      </c>
      <c r="GO63" s="44">
        <f t="shared" si="460"/>
        <v>0</v>
      </c>
      <c r="GP63" s="38">
        <f t="shared" si="27"/>
        <v>0</v>
      </c>
      <c r="GQ63" s="26"/>
      <c r="GR63" s="44">
        <f t="shared" ref="GR63:HC63" si="461">SUM(GR15+GR21+GR27+GR33+GR39+GR45+GR51+GR57)</f>
        <v>0</v>
      </c>
      <c r="GS63" s="44">
        <f t="shared" si="461"/>
        <v>0</v>
      </c>
      <c r="GT63" s="44">
        <f t="shared" si="461"/>
        <v>0</v>
      </c>
      <c r="GU63" s="44">
        <f t="shared" si="461"/>
        <v>0</v>
      </c>
      <c r="GV63" s="44">
        <f t="shared" si="461"/>
        <v>0</v>
      </c>
      <c r="GW63" s="44">
        <f t="shared" si="461"/>
        <v>0</v>
      </c>
      <c r="GX63" s="44">
        <f t="shared" si="461"/>
        <v>0</v>
      </c>
      <c r="GY63" s="44">
        <f t="shared" si="461"/>
        <v>0</v>
      </c>
      <c r="GZ63" s="44">
        <f t="shared" si="461"/>
        <v>0</v>
      </c>
      <c r="HA63" s="44">
        <f t="shared" si="461"/>
        <v>0</v>
      </c>
      <c r="HB63" s="44">
        <f t="shared" si="461"/>
        <v>0</v>
      </c>
      <c r="HC63" s="44">
        <f t="shared" si="461"/>
        <v>0</v>
      </c>
      <c r="HD63" s="38">
        <f t="shared" si="28"/>
        <v>0</v>
      </c>
      <c r="HE63" s="26"/>
      <c r="HF63" s="44">
        <f t="shared" ref="HF63:HQ63" si="462">SUM(HF15+HF21+HF27+HF33+HF39+HF45+HF51+HF57)</f>
        <v>0</v>
      </c>
      <c r="HG63" s="44">
        <f t="shared" si="462"/>
        <v>0</v>
      </c>
      <c r="HH63" s="44">
        <f t="shared" si="462"/>
        <v>0</v>
      </c>
      <c r="HI63" s="44">
        <f t="shared" si="462"/>
        <v>0</v>
      </c>
      <c r="HJ63" s="44">
        <f t="shared" si="462"/>
        <v>0</v>
      </c>
      <c r="HK63" s="44">
        <f t="shared" si="462"/>
        <v>0</v>
      </c>
      <c r="HL63" s="44">
        <f t="shared" si="462"/>
        <v>0</v>
      </c>
      <c r="HM63" s="44">
        <f t="shared" si="462"/>
        <v>0</v>
      </c>
      <c r="HN63" s="44">
        <f t="shared" si="462"/>
        <v>0</v>
      </c>
      <c r="HO63" s="44">
        <f t="shared" si="462"/>
        <v>0</v>
      </c>
      <c r="HP63" s="44">
        <f t="shared" si="462"/>
        <v>0</v>
      </c>
      <c r="HQ63" s="44">
        <f t="shared" si="462"/>
        <v>0</v>
      </c>
      <c r="HR63" s="38">
        <f t="shared" si="29"/>
        <v>0</v>
      </c>
      <c r="HS63" s="26"/>
      <c r="HT63" s="44">
        <f t="shared" ref="HT63:IE63" si="463">SUM(HT15+HT21+HT27+HT33+HT39+HT45+HT51+HT57)</f>
        <v>0</v>
      </c>
      <c r="HU63" s="44">
        <f t="shared" si="463"/>
        <v>0</v>
      </c>
      <c r="HV63" s="44">
        <f t="shared" si="463"/>
        <v>0</v>
      </c>
      <c r="HW63" s="44">
        <f t="shared" si="463"/>
        <v>0</v>
      </c>
      <c r="HX63" s="44">
        <f t="shared" si="463"/>
        <v>0</v>
      </c>
      <c r="HY63" s="44">
        <f t="shared" si="463"/>
        <v>0</v>
      </c>
      <c r="HZ63" s="44">
        <f t="shared" si="463"/>
        <v>0</v>
      </c>
      <c r="IA63" s="44">
        <f t="shared" si="463"/>
        <v>0</v>
      </c>
      <c r="IB63" s="44">
        <f t="shared" si="463"/>
        <v>0</v>
      </c>
      <c r="IC63" s="44">
        <f t="shared" si="463"/>
        <v>0</v>
      </c>
      <c r="ID63" s="44">
        <f t="shared" si="463"/>
        <v>0</v>
      </c>
      <c r="IE63" s="44">
        <f t="shared" si="463"/>
        <v>0</v>
      </c>
      <c r="IF63" s="38">
        <f t="shared" si="347"/>
        <v>0</v>
      </c>
      <c r="IG63" s="44">
        <f t="shared" ref="IG63:IR63" si="464">SUM(IG15+IG21+IG27+IG33+IG39+IG45+IG51+IG57)</f>
        <v>0</v>
      </c>
      <c r="IH63" s="44">
        <f t="shared" si="464"/>
        <v>0</v>
      </c>
      <c r="II63" s="44">
        <f t="shared" si="464"/>
        <v>0</v>
      </c>
      <c r="IJ63" s="44">
        <f t="shared" si="464"/>
        <v>0</v>
      </c>
      <c r="IK63" s="44">
        <f t="shared" si="464"/>
        <v>0</v>
      </c>
      <c r="IL63" s="44">
        <f t="shared" si="464"/>
        <v>0</v>
      </c>
      <c r="IM63" s="44">
        <f t="shared" si="464"/>
        <v>0</v>
      </c>
      <c r="IN63" s="44">
        <f t="shared" si="464"/>
        <v>0</v>
      </c>
      <c r="IO63" s="44">
        <f t="shared" si="464"/>
        <v>0</v>
      </c>
      <c r="IP63" s="44">
        <f t="shared" si="464"/>
        <v>0</v>
      </c>
      <c r="IQ63" s="44">
        <f t="shared" si="464"/>
        <v>0</v>
      </c>
      <c r="IR63" s="44">
        <f t="shared" si="464"/>
        <v>0</v>
      </c>
      <c r="IS63" s="38">
        <f t="shared" si="349"/>
        <v>0</v>
      </c>
      <c r="IT63" s="36">
        <f t="shared" si="39"/>
        <v>0</v>
      </c>
      <c r="IU63" s="26"/>
      <c r="IV63" s="44">
        <f t="shared" ref="IV63:JG63" si="465">SUM(IV15+IV21+IV27+IV33+IV39+IV45+IV51+IV57)</f>
        <v>0</v>
      </c>
      <c r="IW63" s="44">
        <f t="shared" si="465"/>
        <v>0</v>
      </c>
      <c r="IX63" s="44">
        <f t="shared" si="465"/>
        <v>0</v>
      </c>
      <c r="IY63" s="44">
        <f t="shared" si="465"/>
        <v>0</v>
      </c>
      <c r="IZ63" s="44">
        <f t="shared" si="465"/>
        <v>0</v>
      </c>
      <c r="JA63" s="44">
        <f t="shared" si="465"/>
        <v>0</v>
      </c>
      <c r="JB63" s="44">
        <f t="shared" si="465"/>
        <v>0</v>
      </c>
      <c r="JC63" s="44">
        <f t="shared" si="465"/>
        <v>0</v>
      </c>
      <c r="JD63" s="44">
        <f t="shared" si="465"/>
        <v>0</v>
      </c>
      <c r="JE63" s="44">
        <f t="shared" si="465"/>
        <v>0</v>
      </c>
      <c r="JF63" s="44">
        <f t="shared" si="465"/>
        <v>0</v>
      </c>
      <c r="JG63" s="44">
        <f t="shared" si="465"/>
        <v>0</v>
      </c>
      <c r="JH63" s="38">
        <f t="shared" si="351"/>
        <v>0</v>
      </c>
      <c r="JI63" s="111">
        <f t="shared" ref="JI63:JT63" si="466">SUM(JI15+JI21+JI27+JI33+JI39+JI45+JI51+JI57)</f>
        <v>0</v>
      </c>
      <c r="JJ63" s="7">
        <f t="shared" si="466"/>
        <v>0</v>
      </c>
      <c r="JK63" s="7">
        <f t="shared" si="466"/>
        <v>0</v>
      </c>
      <c r="JL63" s="7">
        <f t="shared" si="466"/>
        <v>0</v>
      </c>
      <c r="JM63" s="7">
        <f t="shared" si="466"/>
        <v>0</v>
      </c>
      <c r="JN63" s="7">
        <f t="shared" si="466"/>
        <v>0</v>
      </c>
      <c r="JO63" s="7">
        <f t="shared" si="466"/>
        <v>0</v>
      </c>
      <c r="JP63" s="7">
        <f t="shared" si="466"/>
        <v>0</v>
      </c>
      <c r="JQ63" s="7">
        <f t="shared" si="466"/>
        <v>0</v>
      </c>
      <c r="JR63" s="7">
        <f t="shared" si="466"/>
        <v>0</v>
      </c>
      <c r="JS63" s="7">
        <f t="shared" si="466"/>
        <v>0</v>
      </c>
      <c r="JT63" s="7">
        <f t="shared" si="466"/>
        <v>0</v>
      </c>
      <c r="JU63" s="90">
        <f>SUM(JI63:JT63)</f>
        <v>0</v>
      </c>
      <c r="JV63" s="40">
        <f t="shared" si="30"/>
        <v>0</v>
      </c>
      <c r="JW63" s="26"/>
      <c r="JX63" s="44">
        <f t="shared" ref="JX63:KI63" si="467">SUM(JX15+JX21+JX27+JX33+JX39+JX45+JX51+JX57)</f>
        <v>0</v>
      </c>
      <c r="JY63" s="44">
        <f t="shared" si="467"/>
        <v>0</v>
      </c>
      <c r="JZ63" s="44">
        <f t="shared" si="467"/>
        <v>0</v>
      </c>
      <c r="KA63" s="44">
        <f t="shared" si="467"/>
        <v>0</v>
      </c>
      <c r="KB63" s="44">
        <f t="shared" si="467"/>
        <v>0</v>
      </c>
      <c r="KC63" s="44">
        <f t="shared" si="467"/>
        <v>0</v>
      </c>
      <c r="KD63" s="44">
        <f t="shared" si="467"/>
        <v>0</v>
      </c>
      <c r="KE63" s="44">
        <f t="shared" si="467"/>
        <v>0</v>
      </c>
      <c r="KF63" s="44">
        <f t="shared" si="467"/>
        <v>0</v>
      </c>
      <c r="KG63" s="44">
        <f t="shared" si="467"/>
        <v>0</v>
      </c>
      <c r="KH63" s="44">
        <f t="shared" si="467"/>
        <v>0</v>
      </c>
      <c r="KI63" s="44">
        <f t="shared" si="467"/>
        <v>0</v>
      </c>
      <c r="KJ63" s="38">
        <f t="shared" si="354"/>
        <v>0</v>
      </c>
      <c r="KK63" s="44">
        <f t="shared" ref="KK63:KV63" si="468">SUM(KK15+KK21+KK27+KK33+KK39+KK45+KK51+KK57)</f>
        <v>0</v>
      </c>
      <c r="KL63" s="44">
        <f t="shared" si="468"/>
        <v>0</v>
      </c>
      <c r="KM63" s="44">
        <f t="shared" si="468"/>
        <v>0</v>
      </c>
      <c r="KN63" s="44">
        <f t="shared" si="468"/>
        <v>0</v>
      </c>
      <c r="KO63" s="44">
        <f t="shared" si="468"/>
        <v>0</v>
      </c>
      <c r="KP63" s="44">
        <f t="shared" si="468"/>
        <v>0</v>
      </c>
      <c r="KQ63" s="44">
        <f t="shared" si="468"/>
        <v>0</v>
      </c>
      <c r="KR63" s="44">
        <f t="shared" si="468"/>
        <v>0</v>
      </c>
      <c r="KS63" s="44">
        <f t="shared" si="468"/>
        <v>0</v>
      </c>
      <c r="KT63" s="44">
        <f t="shared" si="468"/>
        <v>0</v>
      </c>
      <c r="KU63" s="44">
        <f t="shared" si="468"/>
        <v>0</v>
      </c>
      <c r="KV63" s="44">
        <f t="shared" si="468"/>
        <v>0</v>
      </c>
      <c r="KW63" s="38">
        <f t="shared" si="356"/>
        <v>0</v>
      </c>
      <c r="KX63" s="36">
        <f t="shared" si="31"/>
        <v>0</v>
      </c>
      <c r="KY63" s="26"/>
      <c r="KZ63" s="44">
        <f t="shared" ref="KZ63:LK63" si="469">SUM(KZ15+KZ21+KZ27+KZ33+KZ39+KZ45+KZ51+KZ57)</f>
        <v>0</v>
      </c>
      <c r="LA63" s="44">
        <f t="shared" si="469"/>
        <v>0</v>
      </c>
      <c r="LB63" s="44">
        <f t="shared" si="469"/>
        <v>0</v>
      </c>
      <c r="LC63" s="44">
        <f t="shared" si="469"/>
        <v>0</v>
      </c>
      <c r="LD63" s="44">
        <f t="shared" si="469"/>
        <v>0</v>
      </c>
      <c r="LE63" s="44">
        <f t="shared" si="469"/>
        <v>0</v>
      </c>
      <c r="LF63" s="44">
        <f t="shared" si="469"/>
        <v>0</v>
      </c>
      <c r="LG63" s="44">
        <f t="shared" si="469"/>
        <v>0</v>
      </c>
      <c r="LH63" s="44">
        <f t="shared" si="469"/>
        <v>0</v>
      </c>
      <c r="LI63" s="44">
        <f t="shared" si="469"/>
        <v>0</v>
      </c>
      <c r="LJ63" s="44">
        <f t="shared" si="469"/>
        <v>0</v>
      </c>
      <c r="LK63" s="44">
        <f t="shared" si="469"/>
        <v>0</v>
      </c>
      <c r="LL63" s="38">
        <f t="shared" si="32"/>
        <v>0</v>
      </c>
      <c r="LM63" s="26"/>
      <c r="LN63" s="44">
        <f t="shared" ref="LN63:LY63" si="470">SUM(LN15+LN21+LN27+LN33+LN39+LN45+LN51+LN57)</f>
        <v>0</v>
      </c>
      <c r="LO63" s="44">
        <f t="shared" si="470"/>
        <v>0</v>
      </c>
      <c r="LP63" s="44">
        <f t="shared" si="470"/>
        <v>0</v>
      </c>
      <c r="LQ63" s="44">
        <f t="shared" si="470"/>
        <v>0</v>
      </c>
      <c r="LR63" s="44">
        <f t="shared" si="470"/>
        <v>0</v>
      </c>
      <c r="LS63" s="44">
        <f t="shared" si="470"/>
        <v>0</v>
      </c>
      <c r="LT63" s="44">
        <f t="shared" si="470"/>
        <v>0</v>
      </c>
      <c r="LU63" s="44">
        <f t="shared" si="470"/>
        <v>0</v>
      </c>
      <c r="LV63" s="44">
        <f t="shared" si="470"/>
        <v>0</v>
      </c>
      <c r="LW63" s="44">
        <f t="shared" si="470"/>
        <v>0</v>
      </c>
      <c r="LX63" s="44">
        <f t="shared" si="470"/>
        <v>0</v>
      </c>
      <c r="LY63" s="44">
        <f t="shared" si="470"/>
        <v>0</v>
      </c>
      <c r="LZ63" s="38">
        <f t="shared" si="359"/>
        <v>0</v>
      </c>
      <c r="MA63" s="26"/>
      <c r="MB63" s="44">
        <f t="shared" ref="MB63:MM63" si="471">SUM(MB15+MB21+MB27+MB33+MB39+MB45+MB51+MB57)</f>
        <v>0</v>
      </c>
      <c r="MC63" s="44">
        <f t="shared" si="471"/>
        <v>0</v>
      </c>
      <c r="MD63" s="44">
        <f t="shared" si="471"/>
        <v>0</v>
      </c>
      <c r="ME63" s="44">
        <f t="shared" si="471"/>
        <v>0</v>
      </c>
      <c r="MF63" s="44">
        <f t="shared" si="471"/>
        <v>0</v>
      </c>
      <c r="MG63" s="44">
        <f t="shared" si="471"/>
        <v>0</v>
      </c>
      <c r="MH63" s="44">
        <f t="shared" si="471"/>
        <v>0</v>
      </c>
      <c r="MI63" s="44">
        <f t="shared" si="471"/>
        <v>0</v>
      </c>
      <c r="MJ63" s="44">
        <f t="shared" si="471"/>
        <v>0</v>
      </c>
      <c r="MK63" s="44">
        <f t="shared" si="471"/>
        <v>0</v>
      </c>
      <c r="ML63" s="44">
        <f t="shared" si="471"/>
        <v>0</v>
      </c>
      <c r="MM63" s="44">
        <f t="shared" si="471"/>
        <v>0</v>
      </c>
      <c r="MN63" s="38">
        <f t="shared" si="361"/>
        <v>0</v>
      </c>
      <c r="MO63" s="44">
        <f t="shared" ref="MO63:MZ63" si="472">SUM(MO15+MO21+MO27+MO33+MO39+MO45+MO51+MO57)</f>
        <v>0</v>
      </c>
      <c r="MP63" s="44">
        <f t="shared" si="472"/>
        <v>0</v>
      </c>
      <c r="MQ63" s="44">
        <f t="shared" si="472"/>
        <v>0</v>
      </c>
      <c r="MR63" s="44">
        <f t="shared" si="472"/>
        <v>0</v>
      </c>
      <c r="MS63" s="44">
        <f t="shared" si="472"/>
        <v>0</v>
      </c>
      <c r="MT63" s="44">
        <f t="shared" si="472"/>
        <v>0</v>
      </c>
      <c r="MU63" s="44">
        <f t="shared" si="472"/>
        <v>0</v>
      </c>
      <c r="MV63" s="44">
        <f t="shared" si="472"/>
        <v>0</v>
      </c>
      <c r="MW63" s="44">
        <f t="shared" si="472"/>
        <v>0</v>
      </c>
      <c r="MX63" s="44">
        <f t="shared" si="472"/>
        <v>0</v>
      </c>
      <c r="MY63" s="44">
        <f t="shared" si="472"/>
        <v>0</v>
      </c>
      <c r="MZ63" s="44">
        <f t="shared" si="472"/>
        <v>0</v>
      </c>
      <c r="NA63" s="38">
        <f t="shared" si="363"/>
        <v>0</v>
      </c>
      <c r="NB63" s="36">
        <f t="shared" si="33"/>
        <v>0</v>
      </c>
      <c r="NC63" s="26"/>
      <c r="ND63" s="44">
        <f t="shared" ref="ND63:NO63" si="473">SUM(ND15+ND21+ND27+ND33+ND39+ND45+ND51+ND57)</f>
        <v>0</v>
      </c>
      <c r="NE63" s="44">
        <f t="shared" si="473"/>
        <v>0</v>
      </c>
      <c r="NF63" s="44">
        <f t="shared" si="473"/>
        <v>0</v>
      </c>
      <c r="NG63" s="44">
        <f t="shared" si="473"/>
        <v>0</v>
      </c>
      <c r="NH63" s="44">
        <f t="shared" si="473"/>
        <v>0</v>
      </c>
      <c r="NI63" s="44">
        <f t="shared" si="473"/>
        <v>0</v>
      </c>
      <c r="NJ63" s="44">
        <f t="shared" si="473"/>
        <v>0</v>
      </c>
      <c r="NK63" s="44">
        <f t="shared" si="473"/>
        <v>0</v>
      </c>
      <c r="NL63" s="44">
        <f t="shared" si="473"/>
        <v>0</v>
      </c>
      <c r="NM63" s="44">
        <f t="shared" si="473"/>
        <v>0</v>
      </c>
      <c r="NN63" s="44">
        <f t="shared" si="473"/>
        <v>0</v>
      </c>
      <c r="NO63" s="44">
        <f t="shared" si="473"/>
        <v>0</v>
      </c>
      <c r="NP63" s="118">
        <f t="shared" si="365"/>
        <v>0</v>
      </c>
      <c r="NQ63" s="36">
        <f t="shared" si="34"/>
        <v>0</v>
      </c>
      <c r="NR63" s="36">
        <f t="shared" si="35"/>
        <v>0</v>
      </c>
      <c r="NS63" s="36">
        <f t="shared" si="36"/>
        <v>0</v>
      </c>
      <c r="NT63" s="36">
        <f t="shared" si="37"/>
        <v>0</v>
      </c>
      <c r="NU63" s="21"/>
      <c r="NV63" s="21"/>
      <c r="NW63" s="21"/>
      <c r="NX63" s="21"/>
      <c r="NY63" s="21"/>
      <c r="NZ63" s="21"/>
      <c r="OA63" s="21"/>
      <c r="OB63" s="21"/>
      <c r="OC63" s="21"/>
      <c r="OD63" s="21"/>
      <c r="OE63" s="21"/>
      <c r="OF63" s="21"/>
      <c r="OG63" s="21"/>
      <c r="OH63" s="21"/>
      <c r="OI63" s="21"/>
      <c r="OJ63" s="21"/>
      <c r="OK63" s="21"/>
      <c r="OL63" s="21"/>
      <c r="OM63" s="21"/>
      <c r="ON63" s="21"/>
      <c r="OO63" s="21"/>
      <c r="OP63" s="22"/>
      <c r="OQ63" s="21"/>
      <c r="OR63" s="21"/>
      <c r="OS63" s="21"/>
      <c r="OT63" s="21"/>
      <c r="OU63" s="21"/>
      <c r="OV63" s="21"/>
      <c r="OW63" s="21"/>
      <c r="OX63" s="21"/>
      <c r="OY63" s="21"/>
      <c r="OZ63" s="21"/>
      <c r="PA63" s="21"/>
      <c r="PB63" s="21"/>
      <c r="PC63" s="21"/>
      <c r="PD63" s="21"/>
      <c r="PE63" s="21"/>
      <c r="PF63" s="21"/>
      <c r="PG63" s="21"/>
      <c r="PH63" s="21"/>
      <c r="PI63" s="21"/>
      <c r="PJ63" s="21"/>
      <c r="PK63" s="21"/>
      <c r="PL63" s="21"/>
      <c r="PM63" s="21"/>
      <c r="PN63" s="21"/>
      <c r="PO63" s="21"/>
      <c r="PP63" s="22"/>
      <c r="PQ63" s="21"/>
      <c r="PR63" s="21"/>
      <c r="PS63" s="21"/>
      <c r="PT63" s="21"/>
      <c r="PU63" s="21"/>
      <c r="PV63" s="21"/>
      <c r="PW63" s="21"/>
      <c r="PX63" s="21"/>
      <c r="PY63" s="21"/>
      <c r="PZ63" s="21"/>
      <c r="QA63" s="21"/>
      <c r="QB63" s="21"/>
      <c r="QC63" s="21"/>
      <c r="QD63" s="21"/>
      <c r="QE63" s="21"/>
      <c r="QF63" s="21"/>
      <c r="QG63" s="21"/>
      <c r="QH63" s="21"/>
      <c r="QI63" s="21"/>
      <c r="QJ63" s="21"/>
      <c r="QK63" s="21"/>
      <c r="QL63" s="21"/>
      <c r="QM63" s="21"/>
      <c r="QN63" s="21"/>
      <c r="QO63" s="21"/>
      <c r="QP63" s="22"/>
    </row>
    <row r="65" spans="4:367" x14ac:dyDescent="0.25">
      <c r="AD65" s="9"/>
      <c r="AE65" s="9"/>
      <c r="BG65" s="9"/>
      <c r="CI65" s="9"/>
      <c r="DK65" s="9"/>
      <c r="EM65" s="9"/>
      <c r="FA65" s="9"/>
      <c r="FO65" s="9"/>
      <c r="GC65" s="9"/>
      <c r="GQ65" s="9"/>
      <c r="HE65" s="9"/>
      <c r="HS65" s="9"/>
      <c r="IU65" s="9"/>
      <c r="JW65" s="9"/>
      <c r="KY65" s="9"/>
      <c r="LM65" s="9"/>
      <c r="MA65" s="9"/>
      <c r="NC65" s="9"/>
    </row>
    <row r="66" spans="4:367" x14ac:dyDescent="0.25">
      <c r="Q66" s="9"/>
      <c r="AD66" s="9"/>
      <c r="AE66" s="9"/>
      <c r="BG66" s="9"/>
      <c r="CI66" s="9"/>
      <c r="DK66" s="9"/>
      <c r="EM66" s="9"/>
      <c r="FA66" s="9"/>
      <c r="FO66" s="9"/>
      <c r="GC66" s="9"/>
      <c r="GQ66" s="9"/>
      <c r="HE66" s="9"/>
      <c r="HS66" s="9"/>
      <c r="IU66" s="9"/>
      <c r="JW66" s="9"/>
      <c r="KY66" s="9"/>
      <c r="LM66" s="9"/>
      <c r="MA66" s="9"/>
      <c r="NC66" s="9"/>
    </row>
    <row r="67" spans="4:367" x14ac:dyDescent="0.25">
      <c r="D67" s="9"/>
      <c r="E67" s="9"/>
      <c r="F67" s="9"/>
      <c r="Q67" s="9"/>
      <c r="AD67" s="9"/>
      <c r="AE67" s="9"/>
      <c r="BG67" s="9"/>
      <c r="CI67" s="9"/>
      <c r="DK67" s="9"/>
      <c r="EM67" s="9"/>
      <c r="FA67" s="9"/>
      <c r="FO67" s="9"/>
      <c r="GC67" s="9"/>
      <c r="GQ67" s="9"/>
      <c r="HE67" s="9"/>
      <c r="HS67" s="9"/>
      <c r="IU67" s="9"/>
      <c r="JW67" s="9"/>
      <c r="KY67" s="9"/>
      <c r="LM67" s="9"/>
      <c r="MA67" s="9"/>
      <c r="NC67" s="9"/>
    </row>
    <row r="68" spans="4:367" x14ac:dyDescent="0.25">
      <c r="D68" s="9"/>
      <c r="Q68" s="9"/>
      <c r="AD68" s="9"/>
      <c r="AE68" s="9"/>
      <c r="BG68" s="9"/>
      <c r="CI68" s="9"/>
      <c r="DK68" s="9"/>
      <c r="EM68" s="9"/>
      <c r="FA68" s="9"/>
      <c r="FO68" s="9"/>
      <c r="GC68" s="9"/>
      <c r="GQ68" s="9"/>
      <c r="HE68" s="9"/>
      <c r="HS68" s="9"/>
      <c r="IU68" s="9"/>
      <c r="JW68" s="9"/>
      <c r="KY68" s="9"/>
      <c r="LM68" s="9"/>
      <c r="MA68" s="9"/>
      <c r="NC68" s="9"/>
    </row>
    <row r="69" spans="4:367" x14ac:dyDescent="0.25">
      <c r="D69" s="9"/>
      <c r="Q69" s="9"/>
      <c r="AD69" s="9"/>
      <c r="AE69" s="9"/>
      <c r="BG69" s="9"/>
      <c r="CI69" s="9"/>
      <c r="DK69" s="9"/>
      <c r="EM69" s="9"/>
      <c r="FA69" s="9"/>
      <c r="FO69" s="9"/>
      <c r="GC69" s="9"/>
      <c r="GQ69" s="9"/>
      <c r="HE69" s="9"/>
      <c r="HS69" s="9"/>
      <c r="IU69" s="9"/>
      <c r="JW69" s="9"/>
      <c r="KY69" s="9"/>
      <c r="LM69" s="9"/>
      <c r="MA69" s="9"/>
      <c r="NC69" s="9"/>
    </row>
    <row r="70" spans="4:367" x14ac:dyDescent="0.25">
      <c r="D70" s="9"/>
      <c r="Q70" s="9"/>
    </row>
    <row r="71" spans="4:367" x14ac:dyDescent="0.25">
      <c r="D71" s="9"/>
      <c r="Q71" s="9"/>
    </row>
    <row r="72" spans="4:367" x14ac:dyDescent="0.25">
      <c r="D72" s="9"/>
      <c r="Q72" s="9"/>
    </row>
    <row r="73" spans="4:367" x14ac:dyDescent="0.25">
      <c r="Q73" s="9"/>
    </row>
  </sheetData>
  <mergeCells count="70">
    <mergeCell ref="NR7:NR9"/>
    <mergeCell ref="NS7:NS9"/>
    <mergeCell ref="NT7:NT9"/>
    <mergeCell ref="A5:NC5"/>
    <mergeCell ref="A6:NC6"/>
    <mergeCell ref="HT7:IT7"/>
    <mergeCell ref="KZ7:LL7"/>
    <mergeCell ref="LN7:LZ7"/>
    <mergeCell ref="HF7:HR7"/>
    <mergeCell ref="EN7:EZ7"/>
    <mergeCell ref="CJ7:DJ7"/>
    <mergeCell ref="D7:AD7"/>
    <mergeCell ref="DL7:EL7"/>
    <mergeCell ref="GD8:GP8"/>
    <mergeCell ref="GR8:HD8"/>
    <mergeCell ref="JI8:JU8"/>
    <mergeCell ref="IV7:JV7"/>
    <mergeCell ref="ND7:NP7"/>
    <mergeCell ref="JX7:KX7"/>
    <mergeCell ref="MB7:NB7"/>
    <mergeCell ref="MO8:NA8"/>
    <mergeCell ref="ND8:NP8"/>
    <mergeCell ref="OQ7:PP7"/>
    <mergeCell ref="OQ8:PC8"/>
    <mergeCell ref="PD8:PP8"/>
    <mergeCell ref="PQ7:QP7"/>
    <mergeCell ref="PQ8:QC8"/>
    <mergeCell ref="QD8:QP8"/>
    <mergeCell ref="DL8:DX8"/>
    <mergeCell ref="DY8:EK8"/>
    <mergeCell ref="EN8:EZ8"/>
    <mergeCell ref="NQ7:NQ9"/>
    <mergeCell ref="IV8:JH8"/>
    <mergeCell ref="JX8:KJ8"/>
    <mergeCell ref="KK8:KW8"/>
    <mergeCell ref="KZ8:LL8"/>
    <mergeCell ref="LN8:LZ8"/>
    <mergeCell ref="MB8:MN8"/>
    <mergeCell ref="FB8:FN8"/>
    <mergeCell ref="FB7:FN7"/>
    <mergeCell ref="FP7:GB7"/>
    <mergeCell ref="GD7:GP7"/>
    <mergeCell ref="GR7:HD7"/>
    <mergeCell ref="FP8:GB8"/>
    <mergeCell ref="A58:A63"/>
    <mergeCell ref="D8:P8"/>
    <mergeCell ref="Q8:AC8"/>
    <mergeCell ref="A52:A57"/>
    <mergeCell ref="A10:A15"/>
    <mergeCell ref="A16:A21"/>
    <mergeCell ref="A22:A27"/>
    <mergeCell ref="A28:A33"/>
    <mergeCell ref="A34:A39"/>
    <mergeCell ref="A40:A45"/>
    <mergeCell ref="A1:NC1"/>
    <mergeCell ref="A2:NC2"/>
    <mergeCell ref="A3:NC3"/>
    <mergeCell ref="A4:NC4"/>
    <mergeCell ref="A46:A51"/>
    <mergeCell ref="AF8:AR8"/>
    <mergeCell ref="AS8:BE8"/>
    <mergeCell ref="BH8:BT8"/>
    <mergeCell ref="BU8:CG8"/>
    <mergeCell ref="AF7:BF7"/>
    <mergeCell ref="BH7:CH7"/>
    <mergeCell ref="HF8:HR8"/>
    <mergeCell ref="HT8:IF8"/>
    <mergeCell ref="IG8:IS8"/>
    <mergeCell ref="CJ8:CV8"/>
    <mergeCell ref="CW8:DI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8424-B136-D946-A78E-39294B8AEB6B}">
  <sheetPr>
    <tabColor rgb="FF00B0F0"/>
  </sheetPr>
  <dimension ref="A1:QP73"/>
  <sheetViews>
    <sheetView showGridLines="0" tabSelected="1" zoomScale="60" zoomScaleNormal="60" workbookViewId="0">
      <pane xSplit="2" ySplit="9" topLeftCell="C10" activePane="bottomRight" state="frozen"/>
      <selection pane="topRight" activeCell="C1" sqref="C1"/>
      <selection pane="bottomLeft" activeCell="A6" sqref="A6"/>
      <selection pane="bottomRight" activeCell="B8" sqref="B8"/>
    </sheetView>
  </sheetViews>
  <sheetFormatPr baseColWidth="10" defaultColWidth="10.69921875" defaultRowHeight="15" outlineLevelCol="2" x14ac:dyDescent="0.25"/>
  <cols>
    <col min="1" max="1" width="25.59765625" customWidth="1"/>
    <col min="2" max="2" width="20.59765625" customWidth="1"/>
    <col min="3" max="3" width="10.59765625" customWidth="1"/>
    <col min="4" max="29" width="9.796875" customWidth="1" outlineLevel="1"/>
    <col min="30" max="30" width="9.796875" customWidth="1" outlineLevel="1" collapsed="1"/>
    <col min="31" max="31" width="9.796875" customWidth="1"/>
    <col min="32" max="58" width="9.796875" customWidth="1" outlineLevel="2"/>
    <col min="59" max="59" width="9.796875" customWidth="1"/>
    <col min="60" max="86" width="9.796875" customWidth="1" outlineLevel="2"/>
    <col min="87" max="87" width="9.796875" customWidth="1"/>
    <col min="88" max="114" width="9.796875" customWidth="1" outlineLevel="2"/>
    <col min="115" max="115" width="9.796875" customWidth="1"/>
    <col min="116" max="142" width="9.796875" customWidth="1" outlineLevel="1"/>
    <col min="143" max="143" width="9.796875" customWidth="1"/>
    <col min="144" max="156" width="9.796875" customWidth="1" outlineLevel="1"/>
    <col min="157" max="157" width="9.796875" customWidth="1"/>
    <col min="158" max="170" width="9.796875" customWidth="1" outlineLevel="1"/>
    <col min="171" max="171" width="9.796875" customWidth="1"/>
    <col min="172" max="184" width="9.796875" customWidth="1" outlineLevel="1"/>
    <col min="185" max="185" width="9.796875" customWidth="1"/>
    <col min="186" max="198" width="9.796875" customWidth="1" outlineLevel="1"/>
    <col min="199" max="199" width="9.796875" customWidth="1"/>
    <col min="200" max="212" width="9.796875" customWidth="1" outlineLevel="1"/>
    <col min="213" max="213" width="9.796875" customWidth="1"/>
    <col min="214" max="226" width="9.796875" customWidth="1" outlineLevel="1"/>
    <col min="227" max="227" width="9.796875" customWidth="1"/>
    <col min="228" max="254" width="9.796875" customWidth="1" outlineLevel="1"/>
    <col min="255" max="255" width="9.796875" customWidth="1"/>
    <col min="256" max="282" width="9.796875" customWidth="1" outlineLevel="1"/>
    <col min="283" max="283" width="9.796875" customWidth="1"/>
    <col min="284" max="310" width="9.796875" customWidth="1" outlineLevel="2"/>
    <col min="311" max="311" width="9.796875" customWidth="1"/>
    <col min="312" max="324" width="9.796875" customWidth="1" outlineLevel="1"/>
    <col min="325" max="325" width="9.796875" customWidth="1"/>
    <col min="326" max="338" width="9.796875" customWidth="1" outlineLevel="2"/>
    <col min="339" max="339" width="9.796875" customWidth="1"/>
    <col min="340" max="366" width="9.796875" customWidth="1" outlineLevel="1"/>
    <col min="367" max="367" width="9.796875" customWidth="1"/>
    <col min="368" max="380" width="10.69921875" customWidth="1" outlineLevel="1"/>
    <col min="381" max="384" width="19.69921875" customWidth="1"/>
  </cols>
  <sheetData>
    <row r="1" spans="1:458" ht="20.100000000000001" customHeight="1" x14ac:dyDescent="0.25">
      <c r="A1" s="119" t="s">
        <v>38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119"/>
      <c r="DV1" s="119"/>
      <c r="DW1" s="119"/>
      <c r="DX1" s="119"/>
      <c r="DY1" s="119"/>
      <c r="DZ1" s="119"/>
      <c r="EA1" s="119"/>
      <c r="EB1" s="119"/>
      <c r="EC1" s="119"/>
      <c r="ED1" s="119"/>
      <c r="EE1" s="119"/>
      <c r="EF1" s="119"/>
      <c r="EG1" s="119"/>
      <c r="EH1" s="119"/>
      <c r="EI1" s="119"/>
      <c r="EJ1" s="119"/>
      <c r="EK1" s="119"/>
      <c r="EL1" s="119"/>
      <c r="EM1" s="119"/>
      <c r="EN1" s="119"/>
      <c r="EO1" s="119"/>
      <c r="EP1" s="119"/>
      <c r="EQ1" s="119"/>
      <c r="ER1" s="119"/>
      <c r="ES1" s="119"/>
      <c r="ET1" s="119"/>
      <c r="EU1" s="119"/>
      <c r="EV1" s="119"/>
      <c r="EW1" s="119"/>
      <c r="EX1" s="119"/>
      <c r="EY1" s="119"/>
      <c r="EZ1" s="119"/>
      <c r="FA1" s="119"/>
      <c r="FB1" s="119"/>
      <c r="FC1" s="119"/>
      <c r="FD1" s="119"/>
      <c r="FE1" s="119"/>
      <c r="FF1" s="119"/>
      <c r="FG1" s="119"/>
      <c r="FH1" s="119"/>
      <c r="FI1" s="119"/>
      <c r="FJ1" s="119"/>
      <c r="FK1" s="119"/>
      <c r="FL1" s="119"/>
      <c r="FM1" s="119"/>
      <c r="FN1" s="119"/>
      <c r="FO1" s="119"/>
      <c r="FP1" s="119"/>
      <c r="FQ1" s="119"/>
      <c r="FR1" s="119"/>
      <c r="FS1" s="119"/>
      <c r="FT1" s="119"/>
      <c r="FU1" s="119"/>
      <c r="FV1" s="119"/>
      <c r="FW1" s="119"/>
      <c r="FX1" s="119"/>
      <c r="FY1" s="119"/>
      <c r="FZ1" s="119"/>
      <c r="GA1" s="119"/>
      <c r="GB1" s="119"/>
      <c r="GC1" s="119"/>
      <c r="GD1" s="119"/>
      <c r="GE1" s="119"/>
      <c r="GF1" s="119"/>
      <c r="GG1" s="119"/>
      <c r="GH1" s="119"/>
      <c r="GI1" s="119"/>
      <c r="GJ1" s="119"/>
      <c r="GK1" s="119"/>
      <c r="GL1" s="119"/>
      <c r="GM1" s="119"/>
      <c r="GN1" s="119"/>
      <c r="GO1" s="119"/>
      <c r="GP1" s="119"/>
      <c r="GQ1" s="119"/>
      <c r="GR1" s="119"/>
      <c r="GS1" s="119"/>
      <c r="GT1" s="119"/>
      <c r="GU1" s="119"/>
      <c r="GV1" s="119"/>
      <c r="GW1" s="119"/>
      <c r="GX1" s="119"/>
      <c r="GY1" s="119"/>
      <c r="GZ1" s="119"/>
      <c r="HA1" s="119"/>
      <c r="HB1" s="119"/>
      <c r="HC1" s="119"/>
      <c r="HD1" s="119"/>
      <c r="HE1" s="119"/>
      <c r="HF1" s="119"/>
      <c r="HG1" s="119"/>
      <c r="HH1" s="119"/>
      <c r="HI1" s="119"/>
      <c r="HJ1" s="119"/>
      <c r="HK1" s="119"/>
      <c r="HL1" s="119"/>
      <c r="HM1" s="119"/>
      <c r="HN1" s="119"/>
      <c r="HO1" s="119"/>
      <c r="HP1" s="119"/>
      <c r="HQ1" s="119"/>
      <c r="HR1" s="119"/>
      <c r="HS1" s="119"/>
      <c r="HT1" s="119"/>
      <c r="HU1" s="119"/>
      <c r="HV1" s="119"/>
      <c r="HW1" s="119"/>
      <c r="HX1" s="119"/>
      <c r="HY1" s="119"/>
      <c r="HZ1" s="119"/>
      <c r="IA1" s="119"/>
      <c r="IB1" s="119"/>
      <c r="IC1" s="119"/>
      <c r="ID1" s="119"/>
      <c r="IE1" s="119"/>
      <c r="IF1" s="119"/>
      <c r="IG1" s="119"/>
      <c r="IH1" s="119"/>
      <c r="II1" s="119"/>
      <c r="IJ1" s="119"/>
      <c r="IK1" s="119"/>
      <c r="IL1" s="119"/>
      <c r="IM1" s="119"/>
      <c r="IN1" s="119"/>
      <c r="IO1" s="119"/>
      <c r="IP1" s="119"/>
      <c r="IQ1" s="119"/>
      <c r="IR1" s="119"/>
      <c r="IS1" s="119"/>
      <c r="IT1" s="119"/>
      <c r="IU1" s="119"/>
      <c r="IV1" s="119"/>
      <c r="IW1" s="119"/>
      <c r="IX1" s="119"/>
      <c r="IY1" s="119"/>
      <c r="IZ1" s="119"/>
      <c r="JA1" s="119"/>
      <c r="JB1" s="119"/>
      <c r="JC1" s="119"/>
      <c r="JD1" s="119"/>
      <c r="JE1" s="119"/>
      <c r="JF1" s="119"/>
      <c r="JG1" s="119"/>
      <c r="JH1" s="119"/>
      <c r="JI1" s="119"/>
      <c r="JJ1" s="119"/>
      <c r="JK1" s="119"/>
      <c r="JL1" s="119"/>
      <c r="JM1" s="119"/>
      <c r="JN1" s="119"/>
      <c r="JO1" s="119"/>
      <c r="JP1" s="119"/>
      <c r="JQ1" s="119"/>
      <c r="JR1" s="119"/>
      <c r="JS1" s="119"/>
      <c r="JT1" s="119"/>
      <c r="JU1" s="119"/>
      <c r="JV1" s="119"/>
      <c r="JW1" s="119"/>
      <c r="JX1" s="119"/>
      <c r="JY1" s="119"/>
      <c r="JZ1" s="119"/>
      <c r="KA1" s="119"/>
      <c r="KB1" s="119"/>
      <c r="KC1" s="119"/>
      <c r="KD1" s="119"/>
      <c r="KE1" s="119"/>
      <c r="KF1" s="119"/>
      <c r="KG1" s="119"/>
      <c r="KH1" s="119"/>
      <c r="KI1" s="119"/>
      <c r="KJ1" s="119"/>
      <c r="KK1" s="119"/>
      <c r="KL1" s="119"/>
      <c r="KM1" s="119"/>
      <c r="KN1" s="119"/>
      <c r="KO1" s="119"/>
      <c r="KP1" s="119"/>
      <c r="KQ1" s="119"/>
      <c r="KR1" s="119"/>
      <c r="KS1" s="119"/>
      <c r="KT1" s="119"/>
      <c r="KU1" s="119"/>
      <c r="KV1" s="119"/>
      <c r="KW1" s="119"/>
      <c r="KX1" s="119"/>
      <c r="KY1" s="119"/>
      <c r="KZ1" s="119"/>
      <c r="LA1" s="119"/>
      <c r="LB1" s="119"/>
      <c r="LC1" s="119"/>
      <c r="LD1" s="119"/>
      <c r="LE1" s="119"/>
      <c r="LF1" s="119"/>
      <c r="LG1" s="119"/>
      <c r="LH1" s="119"/>
      <c r="LI1" s="119"/>
      <c r="LJ1" s="119"/>
      <c r="LK1" s="119"/>
      <c r="LL1" s="119"/>
      <c r="LM1" s="119"/>
      <c r="LN1" s="119"/>
      <c r="LO1" s="119"/>
      <c r="LP1" s="119"/>
      <c r="LQ1" s="119"/>
      <c r="LR1" s="119"/>
      <c r="LS1" s="119"/>
      <c r="LT1" s="119"/>
      <c r="LU1" s="119"/>
      <c r="LV1" s="119"/>
      <c r="LW1" s="119"/>
      <c r="LX1" s="119"/>
      <c r="LY1" s="119"/>
      <c r="LZ1" s="119"/>
      <c r="MA1" s="119"/>
      <c r="MB1" s="119"/>
      <c r="MC1" s="119"/>
      <c r="MD1" s="119"/>
      <c r="ME1" s="119"/>
      <c r="MF1" s="119"/>
      <c r="MG1" s="119"/>
      <c r="MH1" s="119"/>
      <c r="MI1" s="119"/>
      <c r="MJ1" s="119"/>
      <c r="MK1" s="119"/>
      <c r="ML1" s="119"/>
      <c r="MM1" s="119"/>
      <c r="MN1" s="119"/>
      <c r="MO1" s="119"/>
      <c r="MP1" s="119"/>
      <c r="MQ1" s="119"/>
      <c r="MR1" s="119"/>
      <c r="MS1" s="119"/>
      <c r="MT1" s="119"/>
      <c r="MU1" s="119"/>
      <c r="MV1" s="119"/>
      <c r="MW1" s="119"/>
      <c r="MX1" s="119"/>
      <c r="MY1" s="119"/>
      <c r="MZ1" s="119"/>
      <c r="NA1" s="119"/>
      <c r="NB1" s="119"/>
      <c r="NC1" s="119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</row>
    <row r="2" spans="1:458" ht="20.100000000000001" customHeight="1" x14ac:dyDescent="0.25">
      <c r="A2" s="119" t="s">
        <v>39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19"/>
      <c r="FW2" s="119"/>
      <c r="FX2" s="119"/>
      <c r="FY2" s="119"/>
      <c r="FZ2" s="119"/>
      <c r="GA2" s="119"/>
      <c r="GB2" s="119"/>
      <c r="GC2" s="119"/>
      <c r="GD2" s="119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  <c r="GV2" s="119"/>
      <c r="GW2" s="119"/>
      <c r="GX2" s="119"/>
      <c r="GY2" s="119"/>
      <c r="GZ2" s="119"/>
      <c r="HA2" s="119"/>
      <c r="HB2" s="119"/>
      <c r="HC2" s="119"/>
      <c r="HD2" s="119"/>
      <c r="HE2" s="119"/>
      <c r="HF2" s="119"/>
      <c r="HG2" s="119"/>
      <c r="HH2" s="119"/>
      <c r="HI2" s="119"/>
      <c r="HJ2" s="119"/>
      <c r="HK2" s="119"/>
      <c r="HL2" s="119"/>
      <c r="HM2" s="119"/>
      <c r="HN2" s="119"/>
      <c r="HO2" s="119"/>
      <c r="HP2" s="119"/>
      <c r="HQ2" s="119"/>
      <c r="HR2" s="119"/>
      <c r="HS2" s="119"/>
      <c r="HT2" s="119"/>
      <c r="HU2" s="119"/>
      <c r="HV2" s="119"/>
      <c r="HW2" s="119"/>
      <c r="HX2" s="119"/>
      <c r="HY2" s="119"/>
      <c r="HZ2" s="119"/>
      <c r="IA2" s="119"/>
      <c r="IB2" s="119"/>
      <c r="IC2" s="119"/>
      <c r="ID2" s="119"/>
      <c r="IE2" s="119"/>
      <c r="IF2" s="119"/>
      <c r="IG2" s="119"/>
      <c r="IH2" s="119"/>
      <c r="II2" s="119"/>
      <c r="IJ2" s="119"/>
      <c r="IK2" s="119"/>
      <c r="IL2" s="119"/>
      <c r="IM2" s="119"/>
      <c r="IN2" s="119"/>
      <c r="IO2" s="119"/>
      <c r="IP2" s="119"/>
      <c r="IQ2" s="119"/>
      <c r="IR2" s="119"/>
      <c r="IS2" s="119"/>
      <c r="IT2" s="119"/>
      <c r="IU2" s="119"/>
      <c r="IV2" s="119"/>
      <c r="IW2" s="119"/>
      <c r="IX2" s="119"/>
      <c r="IY2" s="119"/>
      <c r="IZ2" s="119"/>
      <c r="JA2" s="119"/>
      <c r="JB2" s="119"/>
      <c r="JC2" s="119"/>
      <c r="JD2" s="119"/>
      <c r="JE2" s="119"/>
      <c r="JF2" s="119"/>
      <c r="JG2" s="119"/>
      <c r="JH2" s="119"/>
      <c r="JI2" s="119"/>
      <c r="JJ2" s="119"/>
      <c r="JK2" s="119"/>
      <c r="JL2" s="119"/>
      <c r="JM2" s="119"/>
      <c r="JN2" s="119"/>
      <c r="JO2" s="119"/>
      <c r="JP2" s="119"/>
      <c r="JQ2" s="119"/>
      <c r="JR2" s="119"/>
      <c r="JS2" s="119"/>
      <c r="JT2" s="119"/>
      <c r="JU2" s="119"/>
      <c r="JV2" s="119"/>
      <c r="JW2" s="119"/>
      <c r="JX2" s="119"/>
      <c r="JY2" s="119"/>
      <c r="JZ2" s="119"/>
      <c r="KA2" s="119"/>
      <c r="KB2" s="119"/>
      <c r="KC2" s="119"/>
      <c r="KD2" s="119"/>
      <c r="KE2" s="119"/>
      <c r="KF2" s="119"/>
      <c r="KG2" s="119"/>
      <c r="KH2" s="119"/>
      <c r="KI2" s="119"/>
      <c r="KJ2" s="119"/>
      <c r="KK2" s="119"/>
      <c r="KL2" s="119"/>
      <c r="KM2" s="119"/>
      <c r="KN2" s="119"/>
      <c r="KO2" s="119"/>
      <c r="KP2" s="119"/>
      <c r="KQ2" s="119"/>
      <c r="KR2" s="119"/>
      <c r="KS2" s="119"/>
      <c r="KT2" s="119"/>
      <c r="KU2" s="119"/>
      <c r="KV2" s="119"/>
      <c r="KW2" s="119"/>
      <c r="KX2" s="119"/>
      <c r="KY2" s="119"/>
      <c r="KZ2" s="119"/>
      <c r="LA2" s="119"/>
      <c r="LB2" s="119"/>
      <c r="LC2" s="119"/>
      <c r="LD2" s="119"/>
      <c r="LE2" s="119"/>
      <c r="LF2" s="119"/>
      <c r="LG2" s="119"/>
      <c r="LH2" s="119"/>
      <c r="LI2" s="119"/>
      <c r="LJ2" s="119"/>
      <c r="LK2" s="119"/>
      <c r="LL2" s="119"/>
      <c r="LM2" s="119"/>
      <c r="LN2" s="119"/>
      <c r="LO2" s="119"/>
      <c r="LP2" s="119"/>
      <c r="LQ2" s="119"/>
      <c r="LR2" s="119"/>
      <c r="LS2" s="119"/>
      <c r="LT2" s="119"/>
      <c r="LU2" s="119"/>
      <c r="LV2" s="119"/>
      <c r="LW2" s="119"/>
      <c r="LX2" s="119"/>
      <c r="LY2" s="119"/>
      <c r="LZ2" s="119"/>
      <c r="MA2" s="119"/>
      <c r="MB2" s="119"/>
      <c r="MC2" s="119"/>
      <c r="MD2" s="119"/>
      <c r="ME2" s="119"/>
      <c r="MF2" s="119"/>
      <c r="MG2" s="119"/>
      <c r="MH2" s="119"/>
      <c r="MI2" s="119"/>
      <c r="MJ2" s="119"/>
      <c r="MK2" s="119"/>
      <c r="ML2" s="119"/>
      <c r="MM2" s="119"/>
      <c r="MN2" s="119"/>
      <c r="MO2" s="119"/>
      <c r="MP2" s="119"/>
      <c r="MQ2" s="119"/>
      <c r="MR2" s="119"/>
      <c r="MS2" s="119"/>
      <c r="MT2" s="119"/>
      <c r="MU2" s="119"/>
      <c r="MV2" s="119"/>
      <c r="MW2" s="119"/>
      <c r="MX2" s="119"/>
      <c r="MY2" s="119"/>
      <c r="MZ2" s="119"/>
      <c r="NA2" s="119"/>
      <c r="NB2" s="119"/>
      <c r="NC2" s="119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</row>
    <row r="3" spans="1:458" ht="20.100000000000001" customHeight="1" x14ac:dyDescent="0.25">
      <c r="A3" s="119" t="s">
        <v>40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  <c r="EU3" s="119"/>
      <c r="EV3" s="119"/>
      <c r="EW3" s="119"/>
      <c r="EX3" s="119"/>
      <c r="EY3" s="119"/>
      <c r="EZ3" s="119"/>
      <c r="FA3" s="119"/>
      <c r="FB3" s="119"/>
      <c r="FC3" s="119"/>
      <c r="FD3" s="119"/>
      <c r="FE3" s="119"/>
      <c r="FF3" s="119"/>
      <c r="FG3" s="119"/>
      <c r="FH3" s="119"/>
      <c r="FI3" s="119"/>
      <c r="FJ3" s="119"/>
      <c r="FK3" s="119"/>
      <c r="FL3" s="119"/>
      <c r="FM3" s="119"/>
      <c r="FN3" s="119"/>
      <c r="FO3" s="119"/>
      <c r="FP3" s="119"/>
      <c r="FQ3" s="119"/>
      <c r="FR3" s="119"/>
      <c r="FS3" s="119"/>
      <c r="FT3" s="119"/>
      <c r="FU3" s="119"/>
      <c r="FV3" s="119"/>
      <c r="FW3" s="119"/>
      <c r="FX3" s="119"/>
      <c r="FY3" s="119"/>
      <c r="FZ3" s="119"/>
      <c r="GA3" s="119"/>
      <c r="GB3" s="119"/>
      <c r="GC3" s="119"/>
      <c r="GD3" s="119"/>
      <c r="GE3" s="119"/>
      <c r="GF3" s="119"/>
      <c r="GG3" s="119"/>
      <c r="GH3" s="119"/>
      <c r="GI3" s="119"/>
      <c r="GJ3" s="119"/>
      <c r="GK3" s="119"/>
      <c r="GL3" s="119"/>
      <c r="GM3" s="119"/>
      <c r="GN3" s="119"/>
      <c r="GO3" s="119"/>
      <c r="GP3" s="119"/>
      <c r="GQ3" s="119"/>
      <c r="GR3" s="119"/>
      <c r="GS3" s="119"/>
      <c r="GT3" s="119"/>
      <c r="GU3" s="119"/>
      <c r="GV3" s="119"/>
      <c r="GW3" s="119"/>
      <c r="GX3" s="119"/>
      <c r="GY3" s="119"/>
      <c r="GZ3" s="119"/>
      <c r="HA3" s="119"/>
      <c r="HB3" s="119"/>
      <c r="HC3" s="119"/>
      <c r="HD3" s="119"/>
      <c r="HE3" s="119"/>
      <c r="HF3" s="119"/>
      <c r="HG3" s="119"/>
      <c r="HH3" s="119"/>
      <c r="HI3" s="119"/>
      <c r="HJ3" s="119"/>
      <c r="HK3" s="119"/>
      <c r="HL3" s="119"/>
      <c r="HM3" s="119"/>
      <c r="HN3" s="119"/>
      <c r="HO3" s="119"/>
      <c r="HP3" s="119"/>
      <c r="HQ3" s="119"/>
      <c r="HR3" s="119"/>
      <c r="HS3" s="119"/>
      <c r="HT3" s="119"/>
      <c r="HU3" s="119"/>
      <c r="HV3" s="119"/>
      <c r="HW3" s="119"/>
      <c r="HX3" s="119"/>
      <c r="HY3" s="119"/>
      <c r="HZ3" s="119"/>
      <c r="IA3" s="119"/>
      <c r="IB3" s="119"/>
      <c r="IC3" s="119"/>
      <c r="ID3" s="119"/>
      <c r="IE3" s="119"/>
      <c r="IF3" s="119"/>
      <c r="IG3" s="119"/>
      <c r="IH3" s="119"/>
      <c r="II3" s="119"/>
      <c r="IJ3" s="119"/>
      <c r="IK3" s="119"/>
      <c r="IL3" s="119"/>
      <c r="IM3" s="119"/>
      <c r="IN3" s="119"/>
      <c r="IO3" s="119"/>
      <c r="IP3" s="119"/>
      <c r="IQ3" s="119"/>
      <c r="IR3" s="119"/>
      <c r="IS3" s="119"/>
      <c r="IT3" s="119"/>
      <c r="IU3" s="119"/>
      <c r="IV3" s="119"/>
      <c r="IW3" s="119"/>
      <c r="IX3" s="119"/>
      <c r="IY3" s="119"/>
      <c r="IZ3" s="119"/>
      <c r="JA3" s="119"/>
      <c r="JB3" s="119"/>
      <c r="JC3" s="119"/>
      <c r="JD3" s="119"/>
      <c r="JE3" s="119"/>
      <c r="JF3" s="119"/>
      <c r="JG3" s="119"/>
      <c r="JH3" s="119"/>
      <c r="JI3" s="119"/>
      <c r="JJ3" s="119"/>
      <c r="JK3" s="119"/>
      <c r="JL3" s="119"/>
      <c r="JM3" s="119"/>
      <c r="JN3" s="119"/>
      <c r="JO3" s="119"/>
      <c r="JP3" s="119"/>
      <c r="JQ3" s="119"/>
      <c r="JR3" s="119"/>
      <c r="JS3" s="119"/>
      <c r="JT3" s="119"/>
      <c r="JU3" s="119"/>
      <c r="JV3" s="119"/>
      <c r="JW3" s="119"/>
      <c r="JX3" s="119"/>
      <c r="JY3" s="119"/>
      <c r="JZ3" s="119"/>
      <c r="KA3" s="119"/>
      <c r="KB3" s="119"/>
      <c r="KC3" s="119"/>
      <c r="KD3" s="119"/>
      <c r="KE3" s="119"/>
      <c r="KF3" s="119"/>
      <c r="KG3" s="119"/>
      <c r="KH3" s="119"/>
      <c r="KI3" s="119"/>
      <c r="KJ3" s="119"/>
      <c r="KK3" s="119"/>
      <c r="KL3" s="119"/>
      <c r="KM3" s="119"/>
      <c r="KN3" s="119"/>
      <c r="KO3" s="119"/>
      <c r="KP3" s="119"/>
      <c r="KQ3" s="119"/>
      <c r="KR3" s="119"/>
      <c r="KS3" s="119"/>
      <c r="KT3" s="119"/>
      <c r="KU3" s="119"/>
      <c r="KV3" s="119"/>
      <c r="KW3" s="119"/>
      <c r="KX3" s="119"/>
      <c r="KY3" s="119"/>
      <c r="KZ3" s="119"/>
      <c r="LA3" s="119"/>
      <c r="LB3" s="119"/>
      <c r="LC3" s="119"/>
      <c r="LD3" s="119"/>
      <c r="LE3" s="119"/>
      <c r="LF3" s="119"/>
      <c r="LG3" s="119"/>
      <c r="LH3" s="119"/>
      <c r="LI3" s="119"/>
      <c r="LJ3" s="119"/>
      <c r="LK3" s="119"/>
      <c r="LL3" s="119"/>
      <c r="LM3" s="119"/>
      <c r="LN3" s="119"/>
      <c r="LO3" s="119"/>
      <c r="LP3" s="119"/>
      <c r="LQ3" s="119"/>
      <c r="LR3" s="119"/>
      <c r="LS3" s="119"/>
      <c r="LT3" s="119"/>
      <c r="LU3" s="119"/>
      <c r="LV3" s="119"/>
      <c r="LW3" s="119"/>
      <c r="LX3" s="119"/>
      <c r="LY3" s="119"/>
      <c r="LZ3" s="119"/>
      <c r="MA3" s="119"/>
      <c r="MB3" s="119"/>
      <c r="MC3" s="119"/>
      <c r="MD3" s="119"/>
      <c r="ME3" s="119"/>
      <c r="MF3" s="119"/>
      <c r="MG3" s="119"/>
      <c r="MH3" s="119"/>
      <c r="MI3" s="119"/>
      <c r="MJ3" s="119"/>
      <c r="MK3" s="119"/>
      <c r="ML3" s="119"/>
      <c r="MM3" s="119"/>
      <c r="MN3" s="119"/>
      <c r="MO3" s="119"/>
      <c r="MP3" s="119"/>
      <c r="MQ3" s="119"/>
      <c r="MR3" s="119"/>
      <c r="MS3" s="119"/>
      <c r="MT3" s="119"/>
      <c r="MU3" s="119"/>
      <c r="MV3" s="119"/>
      <c r="MW3" s="119"/>
      <c r="MX3" s="119"/>
      <c r="MY3" s="119"/>
      <c r="MZ3" s="119"/>
      <c r="NA3" s="119"/>
      <c r="NB3" s="119"/>
      <c r="NC3" s="119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</row>
    <row r="4" spans="1:458" ht="20.100000000000001" customHeight="1" x14ac:dyDescent="0.25">
      <c r="A4" s="119" t="s">
        <v>41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  <c r="EU4" s="119"/>
      <c r="EV4" s="119"/>
      <c r="EW4" s="119"/>
      <c r="EX4" s="119"/>
      <c r="EY4" s="119"/>
      <c r="EZ4" s="119"/>
      <c r="FA4" s="119"/>
      <c r="FB4" s="119"/>
      <c r="FC4" s="119"/>
      <c r="FD4" s="119"/>
      <c r="FE4" s="119"/>
      <c r="FF4" s="119"/>
      <c r="FG4" s="119"/>
      <c r="FH4" s="119"/>
      <c r="FI4" s="119"/>
      <c r="FJ4" s="119"/>
      <c r="FK4" s="119"/>
      <c r="FL4" s="119"/>
      <c r="FM4" s="119"/>
      <c r="FN4" s="119"/>
      <c r="FO4" s="119"/>
      <c r="FP4" s="119"/>
      <c r="FQ4" s="119"/>
      <c r="FR4" s="119"/>
      <c r="FS4" s="119"/>
      <c r="FT4" s="119"/>
      <c r="FU4" s="119"/>
      <c r="FV4" s="119"/>
      <c r="FW4" s="119"/>
      <c r="FX4" s="119"/>
      <c r="FY4" s="119"/>
      <c r="FZ4" s="119"/>
      <c r="GA4" s="119"/>
      <c r="GB4" s="119"/>
      <c r="GC4" s="119"/>
      <c r="GD4" s="119"/>
      <c r="GE4" s="119"/>
      <c r="GF4" s="119"/>
      <c r="GG4" s="119"/>
      <c r="GH4" s="119"/>
      <c r="GI4" s="119"/>
      <c r="GJ4" s="119"/>
      <c r="GK4" s="119"/>
      <c r="GL4" s="119"/>
      <c r="GM4" s="119"/>
      <c r="GN4" s="119"/>
      <c r="GO4" s="119"/>
      <c r="GP4" s="119"/>
      <c r="GQ4" s="119"/>
      <c r="GR4" s="119"/>
      <c r="GS4" s="119"/>
      <c r="GT4" s="119"/>
      <c r="GU4" s="119"/>
      <c r="GV4" s="119"/>
      <c r="GW4" s="119"/>
      <c r="GX4" s="119"/>
      <c r="GY4" s="119"/>
      <c r="GZ4" s="119"/>
      <c r="HA4" s="119"/>
      <c r="HB4" s="119"/>
      <c r="HC4" s="119"/>
      <c r="HD4" s="119"/>
      <c r="HE4" s="119"/>
      <c r="HF4" s="119"/>
      <c r="HG4" s="119"/>
      <c r="HH4" s="119"/>
      <c r="HI4" s="119"/>
      <c r="HJ4" s="119"/>
      <c r="HK4" s="119"/>
      <c r="HL4" s="119"/>
      <c r="HM4" s="119"/>
      <c r="HN4" s="119"/>
      <c r="HO4" s="119"/>
      <c r="HP4" s="119"/>
      <c r="HQ4" s="119"/>
      <c r="HR4" s="119"/>
      <c r="HS4" s="119"/>
      <c r="HT4" s="119"/>
      <c r="HU4" s="119"/>
      <c r="HV4" s="119"/>
      <c r="HW4" s="119"/>
      <c r="HX4" s="119"/>
      <c r="HY4" s="119"/>
      <c r="HZ4" s="119"/>
      <c r="IA4" s="119"/>
      <c r="IB4" s="119"/>
      <c r="IC4" s="119"/>
      <c r="ID4" s="119"/>
      <c r="IE4" s="119"/>
      <c r="IF4" s="119"/>
      <c r="IG4" s="119"/>
      <c r="IH4" s="119"/>
      <c r="II4" s="119"/>
      <c r="IJ4" s="119"/>
      <c r="IK4" s="119"/>
      <c r="IL4" s="119"/>
      <c r="IM4" s="119"/>
      <c r="IN4" s="119"/>
      <c r="IO4" s="119"/>
      <c r="IP4" s="119"/>
      <c r="IQ4" s="119"/>
      <c r="IR4" s="119"/>
      <c r="IS4" s="119"/>
      <c r="IT4" s="119"/>
      <c r="IU4" s="119"/>
      <c r="IV4" s="119"/>
      <c r="IW4" s="119"/>
      <c r="IX4" s="119"/>
      <c r="IY4" s="119"/>
      <c r="IZ4" s="119"/>
      <c r="JA4" s="119"/>
      <c r="JB4" s="119"/>
      <c r="JC4" s="119"/>
      <c r="JD4" s="119"/>
      <c r="JE4" s="119"/>
      <c r="JF4" s="119"/>
      <c r="JG4" s="119"/>
      <c r="JH4" s="119"/>
      <c r="JI4" s="119"/>
      <c r="JJ4" s="119"/>
      <c r="JK4" s="119"/>
      <c r="JL4" s="119"/>
      <c r="JM4" s="119"/>
      <c r="JN4" s="119"/>
      <c r="JO4" s="119"/>
      <c r="JP4" s="119"/>
      <c r="JQ4" s="119"/>
      <c r="JR4" s="119"/>
      <c r="JS4" s="119"/>
      <c r="JT4" s="119"/>
      <c r="JU4" s="119"/>
      <c r="JV4" s="119"/>
      <c r="JW4" s="119"/>
      <c r="JX4" s="119"/>
      <c r="JY4" s="119"/>
      <c r="JZ4" s="119"/>
      <c r="KA4" s="119"/>
      <c r="KB4" s="119"/>
      <c r="KC4" s="119"/>
      <c r="KD4" s="119"/>
      <c r="KE4" s="119"/>
      <c r="KF4" s="119"/>
      <c r="KG4" s="119"/>
      <c r="KH4" s="119"/>
      <c r="KI4" s="119"/>
      <c r="KJ4" s="119"/>
      <c r="KK4" s="119"/>
      <c r="KL4" s="119"/>
      <c r="KM4" s="119"/>
      <c r="KN4" s="119"/>
      <c r="KO4" s="119"/>
      <c r="KP4" s="119"/>
      <c r="KQ4" s="119"/>
      <c r="KR4" s="119"/>
      <c r="KS4" s="119"/>
      <c r="KT4" s="119"/>
      <c r="KU4" s="119"/>
      <c r="KV4" s="119"/>
      <c r="KW4" s="119"/>
      <c r="KX4" s="119"/>
      <c r="KY4" s="119"/>
      <c r="KZ4" s="119"/>
      <c r="LA4" s="119"/>
      <c r="LB4" s="119"/>
      <c r="LC4" s="119"/>
      <c r="LD4" s="119"/>
      <c r="LE4" s="119"/>
      <c r="LF4" s="119"/>
      <c r="LG4" s="119"/>
      <c r="LH4" s="119"/>
      <c r="LI4" s="119"/>
      <c r="LJ4" s="119"/>
      <c r="LK4" s="119"/>
      <c r="LL4" s="119"/>
      <c r="LM4" s="119"/>
      <c r="LN4" s="119"/>
      <c r="LO4" s="119"/>
      <c r="LP4" s="119"/>
      <c r="LQ4" s="119"/>
      <c r="LR4" s="119"/>
      <c r="LS4" s="119"/>
      <c r="LT4" s="119"/>
      <c r="LU4" s="119"/>
      <c r="LV4" s="119"/>
      <c r="LW4" s="119"/>
      <c r="LX4" s="119"/>
      <c r="LY4" s="119"/>
      <c r="LZ4" s="119"/>
      <c r="MA4" s="119"/>
      <c r="MB4" s="119"/>
      <c r="MC4" s="119"/>
      <c r="MD4" s="119"/>
      <c r="ME4" s="119"/>
      <c r="MF4" s="119"/>
      <c r="MG4" s="119"/>
      <c r="MH4" s="119"/>
      <c r="MI4" s="119"/>
      <c r="MJ4" s="119"/>
      <c r="MK4" s="119"/>
      <c r="ML4" s="119"/>
      <c r="MM4" s="119"/>
      <c r="MN4" s="119"/>
      <c r="MO4" s="119"/>
      <c r="MP4" s="119"/>
      <c r="MQ4" s="119"/>
      <c r="MR4" s="119"/>
      <c r="MS4" s="119"/>
      <c r="MT4" s="119"/>
      <c r="MU4" s="119"/>
      <c r="MV4" s="119"/>
      <c r="MW4" s="119"/>
      <c r="MX4" s="119"/>
      <c r="MY4" s="119"/>
      <c r="MZ4" s="119"/>
      <c r="NA4" s="119"/>
      <c r="NB4" s="119"/>
      <c r="NC4" s="119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</row>
    <row r="5" spans="1:458" ht="20.100000000000001" customHeight="1" x14ac:dyDescent="0.25">
      <c r="A5" s="119" t="s">
        <v>42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9"/>
      <c r="DN5" s="119"/>
      <c r="DO5" s="119"/>
      <c r="DP5" s="119"/>
      <c r="DQ5" s="119"/>
      <c r="DR5" s="119"/>
      <c r="DS5" s="119"/>
      <c r="DT5" s="119"/>
      <c r="DU5" s="119"/>
      <c r="DV5" s="119"/>
      <c r="DW5" s="119"/>
      <c r="DX5" s="119"/>
      <c r="DY5" s="119"/>
      <c r="DZ5" s="119"/>
      <c r="EA5" s="119"/>
      <c r="EB5" s="119"/>
      <c r="EC5" s="119"/>
      <c r="ED5" s="119"/>
      <c r="EE5" s="119"/>
      <c r="EF5" s="119"/>
      <c r="EG5" s="119"/>
      <c r="EH5" s="119"/>
      <c r="EI5" s="119"/>
      <c r="EJ5" s="119"/>
      <c r="EK5" s="119"/>
      <c r="EL5" s="119"/>
      <c r="EM5" s="119"/>
      <c r="EN5" s="119"/>
      <c r="EO5" s="119"/>
      <c r="EP5" s="119"/>
      <c r="EQ5" s="119"/>
      <c r="ER5" s="119"/>
      <c r="ES5" s="119"/>
      <c r="ET5" s="119"/>
      <c r="EU5" s="119"/>
      <c r="EV5" s="119"/>
      <c r="EW5" s="119"/>
      <c r="EX5" s="119"/>
      <c r="EY5" s="119"/>
      <c r="EZ5" s="119"/>
      <c r="FA5" s="119"/>
      <c r="FB5" s="119"/>
      <c r="FC5" s="119"/>
      <c r="FD5" s="119"/>
      <c r="FE5" s="119"/>
      <c r="FF5" s="119"/>
      <c r="FG5" s="119"/>
      <c r="FH5" s="119"/>
      <c r="FI5" s="119"/>
      <c r="FJ5" s="119"/>
      <c r="FK5" s="119"/>
      <c r="FL5" s="119"/>
      <c r="FM5" s="119"/>
      <c r="FN5" s="119"/>
      <c r="FO5" s="119"/>
      <c r="FP5" s="119"/>
      <c r="FQ5" s="119"/>
      <c r="FR5" s="119"/>
      <c r="FS5" s="119"/>
      <c r="FT5" s="119"/>
      <c r="FU5" s="119"/>
      <c r="FV5" s="119"/>
      <c r="FW5" s="119"/>
      <c r="FX5" s="119"/>
      <c r="FY5" s="119"/>
      <c r="FZ5" s="119"/>
      <c r="GA5" s="119"/>
      <c r="GB5" s="119"/>
      <c r="GC5" s="119"/>
      <c r="GD5" s="119"/>
      <c r="GE5" s="119"/>
      <c r="GF5" s="119"/>
      <c r="GG5" s="119"/>
      <c r="GH5" s="119"/>
      <c r="GI5" s="119"/>
      <c r="GJ5" s="119"/>
      <c r="GK5" s="119"/>
      <c r="GL5" s="119"/>
      <c r="GM5" s="119"/>
      <c r="GN5" s="119"/>
      <c r="GO5" s="119"/>
      <c r="GP5" s="119"/>
      <c r="GQ5" s="119"/>
      <c r="GR5" s="119"/>
      <c r="GS5" s="119"/>
      <c r="GT5" s="119"/>
      <c r="GU5" s="119"/>
      <c r="GV5" s="119"/>
      <c r="GW5" s="119"/>
      <c r="GX5" s="119"/>
      <c r="GY5" s="119"/>
      <c r="GZ5" s="119"/>
      <c r="HA5" s="119"/>
      <c r="HB5" s="119"/>
      <c r="HC5" s="119"/>
      <c r="HD5" s="119"/>
      <c r="HE5" s="119"/>
      <c r="HF5" s="119"/>
      <c r="HG5" s="119"/>
      <c r="HH5" s="119"/>
      <c r="HI5" s="119"/>
      <c r="HJ5" s="119"/>
      <c r="HK5" s="119"/>
      <c r="HL5" s="119"/>
      <c r="HM5" s="119"/>
      <c r="HN5" s="119"/>
      <c r="HO5" s="119"/>
      <c r="HP5" s="119"/>
      <c r="HQ5" s="119"/>
      <c r="HR5" s="119"/>
      <c r="HS5" s="119"/>
      <c r="HT5" s="119"/>
      <c r="HU5" s="119"/>
      <c r="HV5" s="119"/>
      <c r="HW5" s="119"/>
      <c r="HX5" s="119"/>
      <c r="HY5" s="119"/>
      <c r="HZ5" s="119"/>
      <c r="IA5" s="119"/>
      <c r="IB5" s="119"/>
      <c r="IC5" s="119"/>
      <c r="ID5" s="119"/>
      <c r="IE5" s="119"/>
      <c r="IF5" s="119"/>
      <c r="IG5" s="119"/>
      <c r="IH5" s="119"/>
      <c r="II5" s="119"/>
      <c r="IJ5" s="119"/>
      <c r="IK5" s="119"/>
      <c r="IL5" s="119"/>
      <c r="IM5" s="119"/>
      <c r="IN5" s="119"/>
      <c r="IO5" s="119"/>
      <c r="IP5" s="119"/>
      <c r="IQ5" s="119"/>
      <c r="IR5" s="119"/>
      <c r="IS5" s="119"/>
      <c r="IT5" s="119"/>
      <c r="IU5" s="119"/>
      <c r="IV5" s="119"/>
      <c r="IW5" s="119"/>
      <c r="IX5" s="119"/>
      <c r="IY5" s="119"/>
      <c r="IZ5" s="119"/>
      <c r="JA5" s="119"/>
      <c r="JB5" s="119"/>
      <c r="JC5" s="119"/>
      <c r="JD5" s="119"/>
      <c r="JE5" s="119"/>
      <c r="JF5" s="119"/>
      <c r="JG5" s="119"/>
      <c r="JH5" s="119"/>
      <c r="JI5" s="119"/>
      <c r="JJ5" s="119"/>
      <c r="JK5" s="119"/>
      <c r="JL5" s="119"/>
      <c r="JM5" s="119"/>
      <c r="JN5" s="119"/>
      <c r="JO5" s="119"/>
      <c r="JP5" s="119"/>
      <c r="JQ5" s="119"/>
      <c r="JR5" s="119"/>
      <c r="JS5" s="119"/>
      <c r="JT5" s="119"/>
      <c r="JU5" s="119"/>
      <c r="JV5" s="119"/>
      <c r="JW5" s="119"/>
      <c r="JX5" s="119"/>
      <c r="JY5" s="119"/>
      <c r="JZ5" s="119"/>
      <c r="KA5" s="119"/>
      <c r="KB5" s="119"/>
      <c r="KC5" s="119"/>
      <c r="KD5" s="119"/>
      <c r="KE5" s="119"/>
      <c r="KF5" s="119"/>
      <c r="KG5" s="119"/>
      <c r="KH5" s="119"/>
      <c r="KI5" s="119"/>
      <c r="KJ5" s="119"/>
      <c r="KK5" s="119"/>
      <c r="KL5" s="119"/>
      <c r="KM5" s="119"/>
      <c r="KN5" s="119"/>
      <c r="KO5" s="119"/>
      <c r="KP5" s="119"/>
      <c r="KQ5" s="119"/>
      <c r="KR5" s="119"/>
      <c r="KS5" s="119"/>
      <c r="KT5" s="119"/>
      <c r="KU5" s="119"/>
      <c r="KV5" s="119"/>
      <c r="KW5" s="119"/>
      <c r="KX5" s="119"/>
      <c r="KY5" s="119"/>
      <c r="KZ5" s="119"/>
      <c r="LA5" s="119"/>
      <c r="LB5" s="119"/>
      <c r="LC5" s="119"/>
      <c r="LD5" s="119"/>
      <c r="LE5" s="119"/>
      <c r="LF5" s="119"/>
      <c r="LG5" s="119"/>
      <c r="LH5" s="119"/>
      <c r="LI5" s="119"/>
      <c r="LJ5" s="119"/>
      <c r="LK5" s="119"/>
      <c r="LL5" s="119"/>
      <c r="LM5" s="119"/>
      <c r="LN5" s="119"/>
      <c r="LO5" s="119"/>
      <c r="LP5" s="119"/>
      <c r="LQ5" s="119"/>
      <c r="LR5" s="119"/>
      <c r="LS5" s="119"/>
      <c r="LT5" s="119"/>
      <c r="LU5" s="119"/>
      <c r="LV5" s="119"/>
      <c r="LW5" s="119"/>
      <c r="LX5" s="119"/>
      <c r="LY5" s="119"/>
      <c r="LZ5" s="119"/>
      <c r="MA5" s="119"/>
      <c r="MB5" s="119"/>
      <c r="MC5" s="119"/>
      <c r="MD5" s="119"/>
      <c r="ME5" s="119"/>
      <c r="MF5" s="119"/>
      <c r="MG5" s="119"/>
      <c r="MH5" s="119"/>
      <c r="MI5" s="119"/>
      <c r="MJ5" s="119"/>
      <c r="MK5" s="119"/>
      <c r="ML5" s="119"/>
      <c r="MM5" s="119"/>
      <c r="MN5" s="119"/>
      <c r="MO5" s="119"/>
      <c r="MP5" s="119"/>
      <c r="MQ5" s="119"/>
      <c r="MR5" s="119"/>
      <c r="MS5" s="119"/>
      <c r="MT5" s="119"/>
      <c r="MU5" s="119"/>
      <c r="MV5" s="119"/>
      <c r="MW5" s="119"/>
      <c r="MX5" s="119"/>
      <c r="MY5" s="119"/>
      <c r="MZ5" s="119"/>
      <c r="NA5" s="119"/>
      <c r="NB5" s="119"/>
      <c r="NC5" s="119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</row>
    <row r="6" spans="1:458" ht="20.100000000000001" customHeight="1" x14ac:dyDescent="0.25">
      <c r="A6" s="119" t="s">
        <v>52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19"/>
      <c r="EC6" s="119"/>
      <c r="ED6" s="119"/>
      <c r="EE6" s="119"/>
      <c r="EF6" s="119"/>
      <c r="EG6" s="119"/>
      <c r="EH6" s="119"/>
      <c r="EI6" s="119"/>
      <c r="EJ6" s="119"/>
      <c r="EK6" s="119"/>
      <c r="EL6" s="119"/>
      <c r="EM6" s="119"/>
      <c r="EN6" s="119"/>
      <c r="EO6" s="119"/>
      <c r="EP6" s="119"/>
      <c r="EQ6" s="119"/>
      <c r="ER6" s="119"/>
      <c r="ES6" s="119"/>
      <c r="ET6" s="119"/>
      <c r="EU6" s="119"/>
      <c r="EV6" s="119"/>
      <c r="EW6" s="119"/>
      <c r="EX6" s="119"/>
      <c r="EY6" s="119"/>
      <c r="EZ6" s="119"/>
      <c r="FA6" s="119"/>
      <c r="FB6" s="119"/>
      <c r="FC6" s="119"/>
      <c r="FD6" s="119"/>
      <c r="FE6" s="119"/>
      <c r="FF6" s="119"/>
      <c r="FG6" s="119"/>
      <c r="FH6" s="119"/>
      <c r="FI6" s="119"/>
      <c r="FJ6" s="119"/>
      <c r="FK6" s="119"/>
      <c r="FL6" s="119"/>
      <c r="FM6" s="119"/>
      <c r="FN6" s="119"/>
      <c r="FO6" s="119"/>
      <c r="FP6" s="119"/>
      <c r="FQ6" s="119"/>
      <c r="FR6" s="119"/>
      <c r="FS6" s="119"/>
      <c r="FT6" s="119"/>
      <c r="FU6" s="119"/>
      <c r="FV6" s="119"/>
      <c r="FW6" s="119"/>
      <c r="FX6" s="119"/>
      <c r="FY6" s="119"/>
      <c r="FZ6" s="119"/>
      <c r="GA6" s="119"/>
      <c r="GB6" s="119"/>
      <c r="GC6" s="119"/>
      <c r="GD6" s="119"/>
      <c r="GE6" s="119"/>
      <c r="GF6" s="119"/>
      <c r="GG6" s="119"/>
      <c r="GH6" s="119"/>
      <c r="GI6" s="119"/>
      <c r="GJ6" s="119"/>
      <c r="GK6" s="119"/>
      <c r="GL6" s="119"/>
      <c r="GM6" s="119"/>
      <c r="GN6" s="119"/>
      <c r="GO6" s="119"/>
      <c r="GP6" s="119"/>
      <c r="GQ6" s="119"/>
      <c r="GR6" s="119"/>
      <c r="GS6" s="119"/>
      <c r="GT6" s="119"/>
      <c r="GU6" s="119"/>
      <c r="GV6" s="119"/>
      <c r="GW6" s="119"/>
      <c r="GX6" s="119"/>
      <c r="GY6" s="119"/>
      <c r="GZ6" s="119"/>
      <c r="HA6" s="119"/>
      <c r="HB6" s="119"/>
      <c r="HC6" s="119"/>
      <c r="HD6" s="119"/>
      <c r="HE6" s="119"/>
      <c r="HF6" s="119"/>
      <c r="HG6" s="119"/>
      <c r="HH6" s="119"/>
      <c r="HI6" s="119"/>
      <c r="HJ6" s="119"/>
      <c r="HK6" s="119"/>
      <c r="HL6" s="119"/>
      <c r="HM6" s="119"/>
      <c r="HN6" s="119"/>
      <c r="HO6" s="119"/>
      <c r="HP6" s="119"/>
      <c r="HQ6" s="119"/>
      <c r="HR6" s="119"/>
      <c r="HS6" s="119"/>
      <c r="HT6" s="119"/>
      <c r="HU6" s="119"/>
      <c r="HV6" s="119"/>
      <c r="HW6" s="119"/>
      <c r="HX6" s="119"/>
      <c r="HY6" s="119"/>
      <c r="HZ6" s="119"/>
      <c r="IA6" s="119"/>
      <c r="IB6" s="119"/>
      <c r="IC6" s="119"/>
      <c r="ID6" s="119"/>
      <c r="IE6" s="119"/>
      <c r="IF6" s="119"/>
      <c r="IG6" s="119"/>
      <c r="IH6" s="119"/>
      <c r="II6" s="119"/>
      <c r="IJ6" s="119"/>
      <c r="IK6" s="119"/>
      <c r="IL6" s="119"/>
      <c r="IM6" s="119"/>
      <c r="IN6" s="119"/>
      <c r="IO6" s="119"/>
      <c r="IP6" s="119"/>
      <c r="IQ6" s="119"/>
      <c r="IR6" s="119"/>
      <c r="IS6" s="119"/>
      <c r="IT6" s="119"/>
      <c r="IU6" s="119"/>
      <c r="IV6" s="119"/>
      <c r="IW6" s="119"/>
      <c r="IX6" s="119"/>
      <c r="IY6" s="119"/>
      <c r="IZ6" s="119"/>
      <c r="JA6" s="119"/>
      <c r="JB6" s="119"/>
      <c r="JC6" s="119"/>
      <c r="JD6" s="119"/>
      <c r="JE6" s="119"/>
      <c r="JF6" s="119"/>
      <c r="JG6" s="119"/>
      <c r="JH6" s="119"/>
      <c r="JI6" s="119"/>
      <c r="JJ6" s="119"/>
      <c r="JK6" s="119"/>
      <c r="JL6" s="119"/>
      <c r="JM6" s="119"/>
      <c r="JN6" s="119"/>
      <c r="JO6" s="119"/>
      <c r="JP6" s="119"/>
      <c r="JQ6" s="119"/>
      <c r="JR6" s="119"/>
      <c r="JS6" s="119"/>
      <c r="JT6" s="119"/>
      <c r="JU6" s="119"/>
      <c r="JV6" s="119"/>
      <c r="JW6" s="119"/>
      <c r="JX6" s="119"/>
      <c r="JY6" s="119"/>
      <c r="JZ6" s="119"/>
      <c r="KA6" s="119"/>
      <c r="KB6" s="119"/>
      <c r="KC6" s="119"/>
      <c r="KD6" s="119"/>
      <c r="KE6" s="119"/>
      <c r="KF6" s="119"/>
      <c r="KG6" s="119"/>
      <c r="KH6" s="119"/>
      <c r="KI6" s="119"/>
      <c r="KJ6" s="119"/>
      <c r="KK6" s="119"/>
      <c r="KL6" s="119"/>
      <c r="KM6" s="119"/>
      <c r="KN6" s="119"/>
      <c r="KO6" s="119"/>
      <c r="KP6" s="119"/>
      <c r="KQ6" s="119"/>
      <c r="KR6" s="119"/>
      <c r="KS6" s="119"/>
      <c r="KT6" s="119"/>
      <c r="KU6" s="119"/>
      <c r="KV6" s="119"/>
      <c r="KW6" s="119"/>
      <c r="KX6" s="119"/>
      <c r="KY6" s="119"/>
      <c r="KZ6" s="119"/>
      <c r="LA6" s="119"/>
      <c r="LB6" s="119"/>
      <c r="LC6" s="119"/>
      <c r="LD6" s="119"/>
      <c r="LE6" s="119"/>
      <c r="LF6" s="119"/>
      <c r="LG6" s="119"/>
      <c r="LH6" s="119"/>
      <c r="LI6" s="119"/>
      <c r="LJ6" s="119"/>
      <c r="LK6" s="119"/>
      <c r="LL6" s="119"/>
      <c r="LM6" s="119"/>
      <c r="LN6" s="119"/>
      <c r="LO6" s="119"/>
      <c r="LP6" s="119"/>
      <c r="LQ6" s="119"/>
      <c r="LR6" s="119"/>
      <c r="LS6" s="119"/>
      <c r="LT6" s="119"/>
      <c r="LU6" s="119"/>
      <c r="LV6" s="119"/>
      <c r="LW6" s="119"/>
      <c r="LX6" s="119"/>
      <c r="LY6" s="119"/>
      <c r="LZ6" s="119"/>
      <c r="MA6" s="119"/>
      <c r="MB6" s="119"/>
      <c r="MC6" s="119"/>
      <c r="MD6" s="119"/>
      <c r="ME6" s="119"/>
      <c r="MF6" s="119"/>
      <c r="MG6" s="119"/>
      <c r="MH6" s="119"/>
      <c r="MI6" s="119"/>
      <c r="MJ6" s="119"/>
      <c r="MK6" s="119"/>
      <c r="ML6" s="119"/>
      <c r="MM6" s="119"/>
      <c r="MN6" s="119"/>
      <c r="MO6" s="119"/>
      <c r="MP6" s="119"/>
      <c r="MQ6" s="119"/>
      <c r="MR6" s="119"/>
      <c r="MS6" s="119"/>
      <c r="MT6" s="119"/>
      <c r="MU6" s="119"/>
      <c r="MV6" s="119"/>
      <c r="MW6" s="119"/>
      <c r="MX6" s="119"/>
      <c r="MY6" s="119"/>
      <c r="MZ6" s="119"/>
      <c r="NA6" s="119"/>
      <c r="NB6" s="119"/>
      <c r="NC6" s="119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</row>
    <row r="7" spans="1:458" ht="24" customHeight="1" x14ac:dyDescent="0.25">
      <c r="A7" s="4" t="s">
        <v>0</v>
      </c>
      <c r="B7" s="150"/>
      <c r="C7" s="30" t="s">
        <v>1</v>
      </c>
      <c r="D7" s="148" t="s">
        <v>1</v>
      </c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28" t="s">
        <v>2</v>
      </c>
      <c r="AF7" s="124" t="s">
        <v>2</v>
      </c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28" t="s">
        <v>3</v>
      </c>
      <c r="BH7" s="124" t="s">
        <v>3</v>
      </c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28" t="s">
        <v>4</v>
      </c>
      <c r="CJ7" s="146" t="s">
        <v>4</v>
      </c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47"/>
      <c r="DK7" s="28" t="s">
        <v>5</v>
      </c>
      <c r="DL7" s="146" t="s">
        <v>5</v>
      </c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47"/>
      <c r="EM7" s="28" t="s">
        <v>6</v>
      </c>
      <c r="EN7" s="138" t="s">
        <v>6</v>
      </c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28" t="s">
        <v>7</v>
      </c>
      <c r="FB7" s="135" t="s">
        <v>7</v>
      </c>
      <c r="FC7" s="136"/>
      <c r="FD7" s="136"/>
      <c r="FE7" s="136"/>
      <c r="FF7" s="136"/>
      <c r="FG7" s="136"/>
      <c r="FH7" s="136"/>
      <c r="FI7" s="136"/>
      <c r="FJ7" s="136"/>
      <c r="FK7" s="136"/>
      <c r="FL7" s="136"/>
      <c r="FM7" s="136"/>
      <c r="FN7" s="137"/>
      <c r="FO7" s="28" t="s">
        <v>8</v>
      </c>
      <c r="FP7" s="138" t="s">
        <v>8</v>
      </c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28" t="s">
        <v>48</v>
      </c>
      <c r="GD7" s="138" t="s">
        <v>48</v>
      </c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28" t="s">
        <v>9</v>
      </c>
      <c r="GR7" s="138" t="s">
        <v>9</v>
      </c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28" t="s">
        <v>10</v>
      </c>
      <c r="HF7" s="146" t="s">
        <v>10</v>
      </c>
      <c r="HG7" s="124"/>
      <c r="HH7" s="124"/>
      <c r="HI7" s="124"/>
      <c r="HJ7" s="124"/>
      <c r="HK7" s="124"/>
      <c r="HL7" s="124"/>
      <c r="HM7" s="124"/>
      <c r="HN7" s="124"/>
      <c r="HO7" s="124"/>
      <c r="HP7" s="124"/>
      <c r="HQ7" s="124"/>
      <c r="HR7" s="147"/>
      <c r="HS7" s="28" t="s">
        <v>11</v>
      </c>
      <c r="HT7" s="143" t="s">
        <v>11</v>
      </c>
      <c r="HU7" s="144"/>
      <c r="HV7" s="144"/>
      <c r="HW7" s="144"/>
      <c r="HX7" s="144"/>
      <c r="HY7" s="144"/>
      <c r="HZ7" s="144"/>
      <c r="IA7" s="144"/>
      <c r="IB7" s="144"/>
      <c r="IC7" s="144"/>
      <c r="ID7" s="144"/>
      <c r="IE7" s="144"/>
      <c r="IF7" s="144"/>
      <c r="IG7" s="144"/>
      <c r="IH7" s="144"/>
      <c r="II7" s="144"/>
      <c r="IJ7" s="144"/>
      <c r="IK7" s="144"/>
      <c r="IL7" s="144"/>
      <c r="IM7" s="144"/>
      <c r="IN7" s="144"/>
      <c r="IO7" s="144"/>
      <c r="IP7" s="144"/>
      <c r="IQ7" s="144"/>
      <c r="IR7" s="144"/>
      <c r="IS7" s="144"/>
      <c r="IT7" s="145"/>
      <c r="IU7" s="28" t="s">
        <v>12</v>
      </c>
      <c r="IV7" s="143" t="s">
        <v>12</v>
      </c>
      <c r="IW7" s="144"/>
      <c r="IX7" s="144"/>
      <c r="IY7" s="144"/>
      <c r="IZ7" s="144"/>
      <c r="JA7" s="144"/>
      <c r="JB7" s="144"/>
      <c r="JC7" s="144"/>
      <c r="JD7" s="144"/>
      <c r="JE7" s="144"/>
      <c r="JF7" s="144"/>
      <c r="JG7" s="144"/>
      <c r="JH7" s="144"/>
      <c r="JI7" s="144"/>
      <c r="JJ7" s="144"/>
      <c r="JK7" s="144"/>
      <c r="JL7" s="144"/>
      <c r="JM7" s="144"/>
      <c r="JN7" s="144"/>
      <c r="JO7" s="144"/>
      <c r="JP7" s="144"/>
      <c r="JQ7" s="144"/>
      <c r="JR7" s="144"/>
      <c r="JS7" s="144"/>
      <c r="JT7" s="144"/>
      <c r="JU7" s="144"/>
      <c r="JV7" s="145"/>
      <c r="JW7" s="28" t="s">
        <v>13</v>
      </c>
      <c r="JX7" s="143" t="s">
        <v>13</v>
      </c>
      <c r="JY7" s="144"/>
      <c r="JZ7" s="144"/>
      <c r="KA7" s="144"/>
      <c r="KB7" s="144"/>
      <c r="KC7" s="144"/>
      <c r="KD7" s="144"/>
      <c r="KE7" s="144"/>
      <c r="KF7" s="144"/>
      <c r="KG7" s="144"/>
      <c r="KH7" s="144"/>
      <c r="KI7" s="144"/>
      <c r="KJ7" s="144"/>
      <c r="KK7" s="144"/>
      <c r="KL7" s="144"/>
      <c r="KM7" s="144"/>
      <c r="KN7" s="144"/>
      <c r="KO7" s="144"/>
      <c r="KP7" s="144"/>
      <c r="KQ7" s="144"/>
      <c r="KR7" s="144"/>
      <c r="KS7" s="144"/>
      <c r="KT7" s="144"/>
      <c r="KU7" s="144"/>
      <c r="KV7" s="144"/>
      <c r="KW7" s="144"/>
      <c r="KX7" s="145"/>
      <c r="KY7" s="28" t="s">
        <v>14</v>
      </c>
      <c r="KZ7" s="138" t="s">
        <v>14</v>
      </c>
      <c r="LA7" s="138"/>
      <c r="LB7" s="138"/>
      <c r="LC7" s="138"/>
      <c r="LD7" s="138"/>
      <c r="LE7" s="138"/>
      <c r="LF7" s="138"/>
      <c r="LG7" s="138"/>
      <c r="LH7" s="138"/>
      <c r="LI7" s="138"/>
      <c r="LJ7" s="138"/>
      <c r="LK7" s="138"/>
      <c r="LL7" s="138"/>
      <c r="LM7" s="28" t="s">
        <v>15</v>
      </c>
      <c r="LN7" s="146" t="s">
        <v>15</v>
      </c>
      <c r="LO7" s="124"/>
      <c r="LP7" s="124"/>
      <c r="LQ7" s="124"/>
      <c r="LR7" s="124"/>
      <c r="LS7" s="124"/>
      <c r="LT7" s="124"/>
      <c r="LU7" s="124"/>
      <c r="LV7" s="124"/>
      <c r="LW7" s="124"/>
      <c r="LX7" s="124"/>
      <c r="LY7" s="124"/>
      <c r="LZ7" s="147"/>
      <c r="MA7" s="28" t="s">
        <v>16</v>
      </c>
      <c r="MB7" s="138" t="s">
        <v>16</v>
      </c>
      <c r="MC7" s="138"/>
      <c r="MD7" s="138"/>
      <c r="ME7" s="138"/>
      <c r="MF7" s="138"/>
      <c r="MG7" s="138"/>
      <c r="MH7" s="138"/>
      <c r="MI7" s="138"/>
      <c r="MJ7" s="138"/>
      <c r="MK7" s="138"/>
      <c r="ML7" s="138"/>
      <c r="MM7" s="138"/>
      <c r="MN7" s="138"/>
      <c r="MO7" s="138"/>
      <c r="MP7" s="138"/>
      <c r="MQ7" s="138"/>
      <c r="MR7" s="138"/>
      <c r="MS7" s="138"/>
      <c r="MT7" s="138"/>
      <c r="MU7" s="138"/>
      <c r="MV7" s="138"/>
      <c r="MW7" s="138"/>
      <c r="MX7" s="138"/>
      <c r="MY7" s="138"/>
      <c r="MZ7" s="138"/>
      <c r="NA7" s="138"/>
      <c r="NB7" s="138"/>
      <c r="NC7" s="28" t="s">
        <v>49</v>
      </c>
      <c r="ND7" s="146" t="s">
        <v>49</v>
      </c>
      <c r="NE7" s="124"/>
      <c r="NF7" s="124"/>
      <c r="NG7" s="124"/>
      <c r="NH7" s="124"/>
      <c r="NI7" s="124"/>
      <c r="NJ7" s="124"/>
      <c r="NK7" s="124"/>
      <c r="NL7" s="124"/>
      <c r="NM7" s="124"/>
      <c r="NN7" s="124"/>
      <c r="NO7" s="124"/>
      <c r="NP7" s="124"/>
      <c r="NQ7" s="134" t="s">
        <v>54</v>
      </c>
      <c r="NR7" s="134" t="s">
        <v>55</v>
      </c>
      <c r="NS7" s="134" t="s">
        <v>56</v>
      </c>
      <c r="NT7" s="134" t="s">
        <v>50</v>
      </c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42"/>
      <c r="OR7" s="142"/>
      <c r="OS7" s="142"/>
      <c r="OT7" s="142"/>
      <c r="OU7" s="142"/>
      <c r="OV7" s="142"/>
      <c r="OW7" s="142"/>
      <c r="OX7" s="142"/>
      <c r="OY7" s="142"/>
      <c r="OZ7" s="142"/>
      <c r="PA7" s="142"/>
      <c r="PB7" s="142"/>
      <c r="PC7" s="142"/>
      <c r="PD7" s="142"/>
      <c r="PE7" s="142"/>
      <c r="PF7" s="142"/>
      <c r="PG7" s="142"/>
      <c r="PH7" s="142"/>
      <c r="PI7" s="142"/>
      <c r="PJ7" s="142"/>
      <c r="PK7" s="142"/>
      <c r="PL7" s="142"/>
      <c r="PM7" s="142"/>
      <c r="PN7" s="142"/>
      <c r="PO7" s="142"/>
      <c r="PP7" s="142"/>
      <c r="PQ7" s="142"/>
      <c r="PR7" s="142"/>
      <c r="PS7" s="142"/>
      <c r="PT7" s="142"/>
      <c r="PU7" s="142"/>
      <c r="PV7" s="142"/>
      <c r="PW7" s="142"/>
      <c r="PX7" s="142"/>
      <c r="PY7" s="142"/>
      <c r="PZ7" s="142"/>
      <c r="QA7" s="142"/>
      <c r="QB7" s="142"/>
      <c r="QC7" s="142"/>
      <c r="QD7" s="142"/>
      <c r="QE7" s="142"/>
      <c r="QF7" s="142"/>
      <c r="QG7" s="142"/>
      <c r="QH7" s="142"/>
      <c r="QI7" s="142"/>
      <c r="QJ7" s="142"/>
      <c r="QK7" s="142"/>
      <c r="QL7" s="142"/>
      <c r="QM7" s="142"/>
      <c r="QN7" s="142"/>
      <c r="QO7" s="142"/>
      <c r="QP7" s="142"/>
    </row>
    <row r="8" spans="1:458" ht="24" customHeight="1" x14ac:dyDescent="0.25">
      <c r="A8" s="149"/>
      <c r="B8" s="151" t="s">
        <v>57</v>
      </c>
      <c r="C8" s="30"/>
      <c r="D8" s="123" t="s">
        <v>45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2"/>
      <c r="Q8" s="123" t="s">
        <v>46</v>
      </c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2"/>
      <c r="AD8" s="33" t="s">
        <v>43</v>
      </c>
      <c r="AE8" s="28"/>
      <c r="AF8" s="121" t="s">
        <v>45</v>
      </c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2"/>
      <c r="AS8" s="123" t="s">
        <v>47</v>
      </c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2"/>
      <c r="BF8" s="39" t="s">
        <v>43</v>
      </c>
      <c r="BG8" s="28"/>
      <c r="BH8" s="121" t="s">
        <v>45</v>
      </c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2"/>
      <c r="BU8" s="123" t="s">
        <v>47</v>
      </c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2"/>
      <c r="CH8" s="39" t="s">
        <v>43</v>
      </c>
      <c r="CI8" s="28"/>
      <c r="CJ8" s="121" t="s">
        <v>45</v>
      </c>
      <c r="CK8" s="121"/>
      <c r="CL8" s="121"/>
      <c r="CM8" s="121"/>
      <c r="CN8" s="121"/>
      <c r="CO8" s="121"/>
      <c r="CP8" s="121"/>
      <c r="CQ8" s="121"/>
      <c r="CR8" s="121"/>
      <c r="CS8" s="121"/>
      <c r="CT8" s="121"/>
      <c r="CU8" s="121"/>
      <c r="CV8" s="122"/>
      <c r="CW8" s="123" t="s">
        <v>47</v>
      </c>
      <c r="CX8" s="121"/>
      <c r="CY8" s="121"/>
      <c r="CZ8" s="121"/>
      <c r="DA8" s="121"/>
      <c r="DB8" s="121"/>
      <c r="DC8" s="121"/>
      <c r="DD8" s="121"/>
      <c r="DE8" s="121"/>
      <c r="DF8" s="121"/>
      <c r="DG8" s="121"/>
      <c r="DH8" s="121"/>
      <c r="DI8" s="122"/>
      <c r="DJ8" s="72" t="s">
        <v>43</v>
      </c>
      <c r="DK8" s="28"/>
      <c r="DL8" s="123" t="s">
        <v>45</v>
      </c>
      <c r="DM8" s="121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2"/>
      <c r="DY8" s="123" t="s">
        <v>47</v>
      </c>
      <c r="DZ8" s="121"/>
      <c r="EA8" s="121"/>
      <c r="EB8" s="121"/>
      <c r="EC8" s="121"/>
      <c r="ED8" s="121"/>
      <c r="EE8" s="121"/>
      <c r="EF8" s="121"/>
      <c r="EG8" s="121"/>
      <c r="EH8" s="121"/>
      <c r="EI8" s="121"/>
      <c r="EJ8" s="121"/>
      <c r="EK8" s="122"/>
      <c r="EL8" s="80" t="s">
        <v>43</v>
      </c>
      <c r="EM8" s="28"/>
      <c r="EN8" s="133" t="s">
        <v>47</v>
      </c>
      <c r="EO8" s="133"/>
      <c r="EP8" s="133"/>
      <c r="EQ8" s="133"/>
      <c r="ER8" s="133"/>
      <c r="ES8" s="133"/>
      <c r="ET8" s="133"/>
      <c r="EU8" s="133"/>
      <c r="EV8" s="133"/>
      <c r="EW8" s="133"/>
      <c r="EX8" s="133"/>
      <c r="EY8" s="133"/>
      <c r="EZ8" s="133"/>
      <c r="FA8" s="28"/>
      <c r="FB8" s="133" t="s">
        <v>47</v>
      </c>
      <c r="FC8" s="133"/>
      <c r="FD8" s="133"/>
      <c r="FE8" s="133"/>
      <c r="FF8" s="133"/>
      <c r="FG8" s="133"/>
      <c r="FH8" s="133"/>
      <c r="FI8" s="133"/>
      <c r="FJ8" s="133"/>
      <c r="FK8" s="133"/>
      <c r="FL8" s="133"/>
      <c r="FM8" s="133"/>
      <c r="FN8" s="133"/>
      <c r="FO8" s="28"/>
      <c r="FP8" s="139" t="s">
        <v>47</v>
      </c>
      <c r="FQ8" s="140"/>
      <c r="FR8" s="140"/>
      <c r="FS8" s="140"/>
      <c r="FT8" s="140"/>
      <c r="FU8" s="140"/>
      <c r="FV8" s="140"/>
      <c r="FW8" s="140"/>
      <c r="FX8" s="140"/>
      <c r="FY8" s="140"/>
      <c r="FZ8" s="140"/>
      <c r="GA8" s="140"/>
      <c r="GB8" s="141"/>
      <c r="GC8" s="28"/>
      <c r="GD8" s="139" t="s">
        <v>47</v>
      </c>
      <c r="GE8" s="140"/>
      <c r="GF8" s="140"/>
      <c r="GG8" s="140"/>
      <c r="GH8" s="140"/>
      <c r="GI8" s="140"/>
      <c r="GJ8" s="140"/>
      <c r="GK8" s="140"/>
      <c r="GL8" s="140"/>
      <c r="GM8" s="140"/>
      <c r="GN8" s="140"/>
      <c r="GO8" s="140"/>
      <c r="GP8" s="141"/>
      <c r="GQ8" s="28"/>
      <c r="GR8" s="139" t="s">
        <v>45</v>
      </c>
      <c r="GS8" s="140"/>
      <c r="GT8" s="140"/>
      <c r="GU8" s="140"/>
      <c r="GV8" s="140"/>
      <c r="GW8" s="140"/>
      <c r="GX8" s="140"/>
      <c r="GY8" s="140"/>
      <c r="GZ8" s="140"/>
      <c r="HA8" s="140"/>
      <c r="HB8" s="140"/>
      <c r="HC8" s="140"/>
      <c r="HD8" s="141"/>
      <c r="HE8" s="28"/>
      <c r="HF8" s="125" t="s">
        <v>47</v>
      </c>
      <c r="HG8" s="121"/>
      <c r="HH8" s="121"/>
      <c r="HI8" s="121"/>
      <c r="HJ8" s="121"/>
      <c r="HK8" s="121"/>
      <c r="HL8" s="121"/>
      <c r="HM8" s="121"/>
      <c r="HN8" s="121"/>
      <c r="HO8" s="121"/>
      <c r="HP8" s="121"/>
      <c r="HQ8" s="121"/>
      <c r="HR8" s="126"/>
      <c r="HS8" s="28"/>
      <c r="HT8" s="127" t="s">
        <v>45</v>
      </c>
      <c r="HU8" s="128"/>
      <c r="HV8" s="128"/>
      <c r="HW8" s="128"/>
      <c r="HX8" s="128"/>
      <c r="HY8" s="128"/>
      <c r="HZ8" s="128"/>
      <c r="IA8" s="128"/>
      <c r="IB8" s="128"/>
      <c r="IC8" s="128"/>
      <c r="ID8" s="128"/>
      <c r="IE8" s="128"/>
      <c r="IF8" s="129"/>
      <c r="IG8" s="127" t="s">
        <v>47</v>
      </c>
      <c r="IH8" s="128"/>
      <c r="II8" s="128"/>
      <c r="IJ8" s="128"/>
      <c r="IK8" s="128"/>
      <c r="IL8" s="128"/>
      <c r="IM8" s="128"/>
      <c r="IN8" s="128"/>
      <c r="IO8" s="128"/>
      <c r="IP8" s="128"/>
      <c r="IQ8" s="128"/>
      <c r="IR8" s="128"/>
      <c r="IS8" s="129"/>
      <c r="IT8" s="94" t="s">
        <v>43</v>
      </c>
      <c r="IU8" s="28"/>
      <c r="IV8" s="127" t="s">
        <v>47</v>
      </c>
      <c r="IW8" s="128"/>
      <c r="IX8" s="128"/>
      <c r="IY8" s="128"/>
      <c r="IZ8" s="128"/>
      <c r="JA8" s="128"/>
      <c r="JB8" s="128"/>
      <c r="JC8" s="128"/>
      <c r="JD8" s="128"/>
      <c r="JE8" s="128"/>
      <c r="JF8" s="128"/>
      <c r="JG8" s="128"/>
      <c r="JH8" s="129"/>
      <c r="JI8" s="127" t="s">
        <v>46</v>
      </c>
      <c r="JJ8" s="128"/>
      <c r="JK8" s="128"/>
      <c r="JL8" s="128"/>
      <c r="JM8" s="128"/>
      <c r="JN8" s="128"/>
      <c r="JO8" s="128"/>
      <c r="JP8" s="128"/>
      <c r="JQ8" s="128"/>
      <c r="JR8" s="128"/>
      <c r="JS8" s="128"/>
      <c r="JT8" s="128"/>
      <c r="JU8" s="129"/>
      <c r="JV8" s="94" t="s">
        <v>43</v>
      </c>
      <c r="JW8" s="28"/>
      <c r="JX8" s="133" t="s">
        <v>45</v>
      </c>
      <c r="JY8" s="133"/>
      <c r="JZ8" s="133"/>
      <c r="KA8" s="133"/>
      <c r="KB8" s="133"/>
      <c r="KC8" s="133"/>
      <c r="KD8" s="133"/>
      <c r="KE8" s="133"/>
      <c r="KF8" s="133"/>
      <c r="KG8" s="133"/>
      <c r="KH8" s="133"/>
      <c r="KI8" s="133"/>
      <c r="KJ8" s="133"/>
      <c r="KK8" s="128" t="s">
        <v>47</v>
      </c>
      <c r="KL8" s="128"/>
      <c r="KM8" s="128"/>
      <c r="KN8" s="128"/>
      <c r="KO8" s="128"/>
      <c r="KP8" s="128"/>
      <c r="KQ8" s="128"/>
      <c r="KR8" s="128"/>
      <c r="KS8" s="128"/>
      <c r="KT8" s="128"/>
      <c r="KU8" s="128"/>
      <c r="KV8" s="128"/>
      <c r="KW8" s="129"/>
      <c r="KX8" s="94" t="s">
        <v>43</v>
      </c>
      <c r="KY8" s="28"/>
      <c r="KZ8" s="133" t="s">
        <v>47</v>
      </c>
      <c r="LA8" s="133"/>
      <c r="LB8" s="133"/>
      <c r="LC8" s="133"/>
      <c r="LD8" s="133"/>
      <c r="LE8" s="133"/>
      <c r="LF8" s="133"/>
      <c r="LG8" s="133"/>
      <c r="LH8" s="133"/>
      <c r="LI8" s="133"/>
      <c r="LJ8" s="133"/>
      <c r="LK8" s="133"/>
      <c r="LL8" s="133"/>
      <c r="LM8" s="28"/>
      <c r="LN8" s="123" t="s">
        <v>47</v>
      </c>
      <c r="LO8" s="121"/>
      <c r="LP8" s="121"/>
      <c r="LQ8" s="121"/>
      <c r="LR8" s="121"/>
      <c r="LS8" s="121"/>
      <c r="LT8" s="121"/>
      <c r="LU8" s="121"/>
      <c r="LV8" s="121"/>
      <c r="LW8" s="121"/>
      <c r="LX8" s="121"/>
      <c r="LY8" s="121"/>
      <c r="LZ8" s="122"/>
      <c r="MA8" s="28"/>
      <c r="MB8" s="127" t="s">
        <v>47</v>
      </c>
      <c r="MC8" s="128"/>
      <c r="MD8" s="128"/>
      <c r="ME8" s="128"/>
      <c r="MF8" s="128"/>
      <c r="MG8" s="128"/>
      <c r="MH8" s="128"/>
      <c r="MI8" s="128"/>
      <c r="MJ8" s="128"/>
      <c r="MK8" s="128"/>
      <c r="ML8" s="128"/>
      <c r="MM8" s="128"/>
      <c r="MN8" s="129"/>
      <c r="MO8" s="127" t="s">
        <v>46</v>
      </c>
      <c r="MP8" s="128"/>
      <c r="MQ8" s="128"/>
      <c r="MR8" s="128"/>
      <c r="MS8" s="128"/>
      <c r="MT8" s="128"/>
      <c r="MU8" s="128"/>
      <c r="MV8" s="128"/>
      <c r="MW8" s="128"/>
      <c r="MX8" s="128"/>
      <c r="MY8" s="128"/>
      <c r="MZ8" s="128"/>
      <c r="NA8" s="129"/>
      <c r="NB8" s="94" t="s">
        <v>37</v>
      </c>
      <c r="NC8" s="28"/>
      <c r="ND8" s="123" t="s">
        <v>47</v>
      </c>
      <c r="NE8" s="121"/>
      <c r="NF8" s="121"/>
      <c r="NG8" s="121"/>
      <c r="NH8" s="121"/>
      <c r="NI8" s="121"/>
      <c r="NJ8" s="121"/>
      <c r="NK8" s="121"/>
      <c r="NL8" s="121"/>
      <c r="NM8" s="121"/>
      <c r="NN8" s="121"/>
      <c r="NO8" s="121"/>
      <c r="NP8" s="121"/>
      <c r="NQ8" s="134"/>
      <c r="NR8" s="134"/>
      <c r="NS8" s="134"/>
      <c r="NT8" s="134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42"/>
      <c r="OR8" s="142"/>
      <c r="OS8" s="142"/>
      <c r="OT8" s="142"/>
      <c r="OU8" s="142"/>
      <c r="OV8" s="142"/>
      <c r="OW8" s="142"/>
      <c r="OX8" s="142"/>
      <c r="OY8" s="142"/>
      <c r="OZ8" s="142"/>
      <c r="PA8" s="142"/>
      <c r="PB8" s="142"/>
      <c r="PC8" s="142"/>
      <c r="PD8" s="142"/>
      <c r="PE8" s="142"/>
      <c r="PF8" s="142"/>
      <c r="PG8" s="142"/>
      <c r="PH8" s="142"/>
      <c r="PI8" s="142"/>
      <c r="PJ8" s="142"/>
      <c r="PK8" s="142"/>
      <c r="PL8" s="142"/>
      <c r="PM8" s="142"/>
      <c r="PN8" s="142"/>
      <c r="PO8" s="142"/>
      <c r="PP8" s="142"/>
      <c r="PQ8" s="142"/>
      <c r="PR8" s="142"/>
      <c r="PS8" s="142"/>
      <c r="PT8" s="142"/>
      <c r="PU8" s="142"/>
      <c r="PV8" s="142"/>
      <c r="PW8" s="142"/>
      <c r="PX8" s="142"/>
      <c r="PY8" s="142"/>
      <c r="PZ8" s="142"/>
      <c r="QA8" s="142"/>
      <c r="QB8" s="142"/>
      <c r="QC8" s="142"/>
      <c r="QD8" s="142"/>
      <c r="QE8" s="142"/>
      <c r="QF8" s="142"/>
      <c r="QG8" s="142"/>
      <c r="QH8" s="142"/>
      <c r="QI8" s="142"/>
      <c r="QJ8" s="142"/>
      <c r="QK8" s="142"/>
      <c r="QL8" s="142"/>
      <c r="QM8" s="142"/>
      <c r="QN8" s="142"/>
      <c r="QO8" s="142"/>
      <c r="QP8" s="142"/>
    </row>
    <row r="9" spans="1:458" ht="18.75" customHeight="1" x14ac:dyDescent="0.25">
      <c r="A9" s="4" t="s">
        <v>35</v>
      </c>
      <c r="B9" s="5"/>
      <c r="C9" s="2" t="s">
        <v>36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31</v>
      </c>
      <c r="M9" s="3" t="s">
        <v>32</v>
      </c>
      <c r="N9" s="3" t="s">
        <v>33</v>
      </c>
      <c r="O9" s="3" t="s">
        <v>34</v>
      </c>
      <c r="P9" s="8" t="s">
        <v>44</v>
      </c>
      <c r="Q9" s="3" t="s">
        <v>23</v>
      </c>
      <c r="R9" s="3" t="s">
        <v>24</v>
      </c>
      <c r="S9" s="3" t="s">
        <v>25</v>
      </c>
      <c r="T9" s="3" t="s">
        <v>26</v>
      </c>
      <c r="U9" s="3" t="s">
        <v>27</v>
      </c>
      <c r="V9" s="3" t="s">
        <v>28</v>
      </c>
      <c r="W9" s="3" t="s">
        <v>29</v>
      </c>
      <c r="X9" s="3" t="s">
        <v>30</v>
      </c>
      <c r="Y9" s="3" t="s">
        <v>31</v>
      </c>
      <c r="Z9" s="3" t="s">
        <v>32</v>
      </c>
      <c r="AA9" s="3" t="s">
        <v>33</v>
      </c>
      <c r="AB9" s="3" t="s">
        <v>34</v>
      </c>
      <c r="AC9" s="8" t="s">
        <v>44</v>
      </c>
      <c r="AD9" s="34"/>
      <c r="AE9" s="29" t="s">
        <v>36</v>
      </c>
      <c r="AF9" s="15" t="s">
        <v>23</v>
      </c>
      <c r="AG9" s="3" t="s">
        <v>24</v>
      </c>
      <c r="AH9" s="3" t="s">
        <v>25</v>
      </c>
      <c r="AI9" s="3" t="s">
        <v>26</v>
      </c>
      <c r="AJ9" s="3" t="s">
        <v>27</v>
      </c>
      <c r="AK9" s="3" t="s">
        <v>28</v>
      </c>
      <c r="AL9" s="3" t="s">
        <v>29</v>
      </c>
      <c r="AM9" s="3" t="s">
        <v>30</v>
      </c>
      <c r="AN9" s="3" t="s">
        <v>31</v>
      </c>
      <c r="AO9" s="3" t="s">
        <v>32</v>
      </c>
      <c r="AP9" s="3" t="s">
        <v>33</v>
      </c>
      <c r="AQ9" s="3" t="s">
        <v>34</v>
      </c>
      <c r="AR9" s="8" t="s">
        <v>44</v>
      </c>
      <c r="AS9" s="3" t="s">
        <v>23</v>
      </c>
      <c r="AT9" s="3" t="s">
        <v>24</v>
      </c>
      <c r="AU9" s="3" t="s">
        <v>25</v>
      </c>
      <c r="AV9" s="3" t="s">
        <v>26</v>
      </c>
      <c r="AW9" s="3" t="s">
        <v>27</v>
      </c>
      <c r="AX9" s="3" t="s">
        <v>28</v>
      </c>
      <c r="AY9" s="3" t="s">
        <v>29</v>
      </c>
      <c r="AZ9" s="3" t="s">
        <v>30</v>
      </c>
      <c r="BA9" s="3" t="s">
        <v>31</v>
      </c>
      <c r="BB9" s="3" t="s">
        <v>32</v>
      </c>
      <c r="BC9" s="3" t="s">
        <v>33</v>
      </c>
      <c r="BD9" s="3" t="s">
        <v>34</v>
      </c>
      <c r="BE9" s="8" t="s">
        <v>44</v>
      </c>
      <c r="BF9" s="34"/>
      <c r="BG9" s="29" t="s">
        <v>36</v>
      </c>
      <c r="BH9" s="15" t="s">
        <v>23</v>
      </c>
      <c r="BI9" s="3" t="s">
        <v>24</v>
      </c>
      <c r="BJ9" s="3" t="s">
        <v>25</v>
      </c>
      <c r="BK9" s="3" t="s">
        <v>26</v>
      </c>
      <c r="BL9" s="3" t="s">
        <v>27</v>
      </c>
      <c r="BM9" s="3" t="s">
        <v>28</v>
      </c>
      <c r="BN9" s="3" t="s">
        <v>29</v>
      </c>
      <c r="BO9" s="3" t="s">
        <v>30</v>
      </c>
      <c r="BP9" s="3" t="s">
        <v>31</v>
      </c>
      <c r="BQ9" s="3" t="s">
        <v>32</v>
      </c>
      <c r="BR9" s="3" t="s">
        <v>33</v>
      </c>
      <c r="BS9" s="3" t="s">
        <v>34</v>
      </c>
      <c r="BT9" s="8" t="s">
        <v>44</v>
      </c>
      <c r="BU9" s="3" t="s">
        <v>23</v>
      </c>
      <c r="BV9" s="3" t="s">
        <v>24</v>
      </c>
      <c r="BW9" s="3" t="s">
        <v>25</v>
      </c>
      <c r="BX9" s="3" t="s">
        <v>26</v>
      </c>
      <c r="BY9" s="3" t="s">
        <v>27</v>
      </c>
      <c r="BZ9" s="3" t="s">
        <v>28</v>
      </c>
      <c r="CA9" s="3" t="s">
        <v>29</v>
      </c>
      <c r="CB9" s="3" t="s">
        <v>30</v>
      </c>
      <c r="CC9" s="3" t="s">
        <v>31</v>
      </c>
      <c r="CD9" s="3" t="s">
        <v>32</v>
      </c>
      <c r="CE9" s="3" t="s">
        <v>33</v>
      </c>
      <c r="CF9" s="3" t="s">
        <v>34</v>
      </c>
      <c r="CG9" s="8" t="s">
        <v>44</v>
      </c>
      <c r="CH9" s="34"/>
      <c r="CI9" s="29" t="s">
        <v>36</v>
      </c>
      <c r="CJ9" s="67" t="s">
        <v>23</v>
      </c>
      <c r="CK9" s="68" t="s">
        <v>24</v>
      </c>
      <c r="CL9" s="68" t="s">
        <v>25</v>
      </c>
      <c r="CM9" s="68" t="s">
        <v>26</v>
      </c>
      <c r="CN9" s="68" t="s">
        <v>27</v>
      </c>
      <c r="CO9" s="68" t="s">
        <v>28</v>
      </c>
      <c r="CP9" s="68" t="s">
        <v>29</v>
      </c>
      <c r="CQ9" s="68" t="s">
        <v>30</v>
      </c>
      <c r="CR9" s="68" t="s">
        <v>31</v>
      </c>
      <c r="CS9" s="68" t="s">
        <v>32</v>
      </c>
      <c r="CT9" s="68" t="s">
        <v>33</v>
      </c>
      <c r="CU9" s="68" t="s">
        <v>34</v>
      </c>
      <c r="CV9" s="70" t="s">
        <v>44</v>
      </c>
      <c r="CW9" s="3" t="s">
        <v>23</v>
      </c>
      <c r="CX9" s="3" t="s">
        <v>24</v>
      </c>
      <c r="CY9" s="3" t="s">
        <v>25</v>
      </c>
      <c r="CZ9" s="3" t="s">
        <v>26</v>
      </c>
      <c r="DA9" s="3" t="s">
        <v>27</v>
      </c>
      <c r="DB9" s="3" t="s">
        <v>28</v>
      </c>
      <c r="DC9" s="3" t="s">
        <v>29</v>
      </c>
      <c r="DD9" s="3" t="s">
        <v>30</v>
      </c>
      <c r="DE9" s="3" t="s">
        <v>31</v>
      </c>
      <c r="DF9" s="3" t="s">
        <v>32</v>
      </c>
      <c r="DG9" s="3" t="s">
        <v>33</v>
      </c>
      <c r="DH9" s="3" t="s">
        <v>34</v>
      </c>
      <c r="DI9" s="8" t="s">
        <v>44</v>
      </c>
      <c r="DJ9" s="73"/>
      <c r="DK9" s="29" t="s">
        <v>36</v>
      </c>
      <c r="DL9" s="3" t="s">
        <v>23</v>
      </c>
      <c r="DM9" s="3" t="s">
        <v>24</v>
      </c>
      <c r="DN9" s="3" t="s">
        <v>25</v>
      </c>
      <c r="DO9" s="3" t="s">
        <v>26</v>
      </c>
      <c r="DP9" s="3" t="s">
        <v>27</v>
      </c>
      <c r="DQ9" s="3" t="s">
        <v>28</v>
      </c>
      <c r="DR9" s="3" t="s">
        <v>29</v>
      </c>
      <c r="DS9" s="3" t="s">
        <v>30</v>
      </c>
      <c r="DT9" s="3" t="s">
        <v>31</v>
      </c>
      <c r="DU9" s="3" t="s">
        <v>32</v>
      </c>
      <c r="DV9" s="3" t="s">
        <v>33</v>
      </c>
      <c r="DW9" s="14" t="s">
        <v>34</v>
      </c>
      <c r="DX9" s="81" t="s">
        <v>44</v>
      </c>
      <c r="DY9" s="15" t="s">
        <v>23</v>
      </c>
      <c r="DZ9" s="3" t="s">
        <v>24</v>
      </c>
      <c r="EA9" s="3" t="s">
        <v>25</v>
      </c>
      <c r="EB9" s="3" t="s">
        <v>26</v>
      </c>
      <c r="EC9" s="3" t="s">
        <v>27</v>
      </c>
      <c r="ED9" s="3" t="s">
        <v>28</v>
      </c>
      <c r="EE9" s="3" t="s">
        <v>29</v>
      </c>
      <c r="EF9" s="3" t="s">
        <v>30</v>
      </c>
      <c r="EG9" s="3" t="s">
        <v>31</v>
      </c>
      <c r="EH9" s="3" t="s">
        <v>32</v>
      </c>
      <c r="EI9" s="3" t="s">
        <v>33</v>
      </c>
      <c r="EJ9" s="14" t="s">
        <v>34</v>
      </c>
      <c r="EK9" s="8" t="s">
        <v>44</v>
      </c>
      <c r="EL9" s="82"/>
      <c r="EM9" s="29" t="s">
        <v>36</v>
      </c>
      <c r="EN9" s="11" t="s">
        <v>23</v>
      </c>
      <c r="EO9" s="11" t="s">
        <v>24</v>
      </c>
      <c r="EP9" s="11" t="s">
        <v>25</v>
      </c>
      <c r="EQ9" s="11" t="s">
        <v>26</v>
      </c>
      <c r="ER9" s="11" t="s">
        <v>27</v>
      </c>
      <c r="ES9" s="11" t="s">
        <v>28</v>
      </c>
      <c r="ET9" s="11" t="s">
        <v>29</v>
      </c>
      <c r="EU9" s="11" t="s">
        <v>30</v>
      </c>
      <c r="EV9" s="11" t="s">
        <v>31</v>
      </c>
      <c r="EW9" s="11" t="s">
        <v>32</v>
      </c>
      <c r="EX9" s="11" t="s">
        <v>33</v>
      </c>
      <c r="EY9" s="11" t="s">
        <v>34</v>
      </c>
      <c r="EZ9" s="13" t="s">
        <v>51</v>
      </c>
      <c r="FA9" s="29" t="s">
        <v>36</v>
      </c>
      <c r="FB9" s="11" t="s">
        <v>23</v>
      </c>
      <c r="FC9" s="11" t="s">
        <v>24</v>
      </c>
      <c r="FD9" s="11" t="s">
        <v>25</v>
      </c>
      <c r="FE9" s="11" t="s">
        <v>26</v>
      </c>
      <c r="FF9" s="11" t="s">
        <v>27</v>
      </c>
      <c r="FG9" s="11" t="s">
        <v>28</v>
      </c>
      <c r="FH9" s="11" t="s">
        <v>29</v>
      </c>
      <c r="FI9" s="11" t="s">
        <v>30</v>
      </c>
      <c r="FJ9" s="11" t="s">
        <v>31</v>
      </c>
      <c r="FK9" s="11" t="s">
        <v>32</v>
      </c>
      <c r="FL9" s="11" t="s">
        <v>33</v>
      </c>
      <c r="FM9" s="11" t="s">
        <v>34</v>
      </c>
      <c r="FN9" s="91" t="s">
        <v>44</v>
      </c>
      <c r="FO9" s="29" t="s">
        <v>36</v>
      </c>
      <c r="FP9" s="11" t="s">
        <v>23</v>
      </c>
      <c r="FQ9" s="11" t="s">
        <v>24</v>
      </c>
      <c r="FR9" s="11" t="s">
        <v>25</v>
      </c>
      <c r="FS9" s="11" t="s">
        <v>26</v>
      </c>
      <c r="FT9" s="11" t="s">
        <v>27</v>
      </c>
      <c r="FU9" s="11" t="s">
        <v>28</v>
      </c>
      <c r="FV9" s="11" t="s">
        <v>29</v>
      </c>
      <c r="FW9" s="11" t="s">
        <v>30</v>
      </c>
      <c r="FX9" s="11" t="s">
        <v>31</v>
      </c>
      <c r="FY9" s="11" t="s">
        <v>32</v>
      </c>
      <c r="FZ9" s="11" t="s">
        <v>33</v>
      </c>
      <c r="GA9" s="11" t="s">
        <v>34</v>
      </c>
      <c r="GB9" s="105" t="s">
        <v>44</v>
      </c>
      <c r="GC9" s="29" t="s">
        <v>36</v>
      </c>
      <c r="GD9" s="11" t="s">
        <v>23</v>
      </c>
      <c r="GE9" s="11" t="s">
        <v>24</v>
      </c>
      <c r="GF9" s="11" t="s">
        <v>25</v>
      </c>
      <c r="GG9" s="11" t="s">
        <v>26</v>
      </c>
      <c r="GH9" s="11" t="s">
        <v>27</v>
      </c>
      <c r="GI9" s="11" t="s">
        <v>28</v>
      </c>
      <c r="GJ9" s="11" t="s">
        <v>29</v>
      </c>
      <c r="GK9" s="11" t="s">
        <v>30</v>
      </c>
      <c r="GL9" s="11" t="s">
        <v>31</v>
      </c>
      <c r="GM9" s="11" t="s">
        <v>32</v>
      </c>
      <c r="GN9" s="11" t="s">
        <v>33</v>
      </c>
      <c r="GO9" s="11" t="s">
        <v>34</v>
      </c>
      <c r="GP9" s="105" t="s">
        <v>44</v>
      </c>
      <c r="GQ9" s="29" t="s">
        <v>36</v>
      </c>
      <c r="GR9" s="11" t="s">
        <v>23</v>
      </c>
      <c r="GS9" s="11" t="s">
        <v>24</v>
      </c>
      <c r="GT9" s="11" t="s">
        <v>25</v>
      </c>
      <c r="GU9" s="11" t="s">
        <v>26</v>
      </c>
      <c r="GV9" s="11" t="s">
        <v>27</v>
      </c>
      <c r="GW9" s="11" t="s">
        <v>28</v>
      </c>
      <c r="GX9" s="11" t="s">
        <v>29</v>
      </c>
      <c r="GY9" s="11" t="s">
        <v>30</v>
      </c>
      <c r="GZ9" s="11" t="s">
        <v>31</v>
      </c>
      <c r="HA9" s="11" t="s">
        <v>32</v>
      </c>
      <c r="HB9" s="11" t="s">
        <v>33</v>
      </c>
      <c r="HC9" s="11" t="s">
        <v>34</v>
      </c>
      <c r="HD9" s="91" t="s">
        <v>44</v>
      </c>
      <c r="HE9" s="29" t="s">
        <v>36</v>
      </c>
      <c r="HF9" s="3" t="s">
        <v>23</v>
      </c>
      <c r="HG9" s="3" t="s">
        <v>24</v>
      </c>
      <c r="HH9" s="3" t="s">
        <v>25</v>
      </c>
      <c r="HI9" s="3" t="s">
        <v>26</v>
      </c>
      <c r="HJ9" s="3" t="s">
        <v>27</v>
      </c>
      <c r="HK9" s="3" t="s">
        <v>28</v>
      </c>
      <c r="HL9" s="3" t="s">
        <v>29</v>
      </c>
      <c r="HM9" s="3" t="s">
        <v>30</v>
      </c>
      <c r="HN9" s="3" t="s">
        <v>31</v>
      </c>
      <c r="HO9" s="3" t="s">
        <v>32</v>
      </c>
      <c r="HP9" s="3" t="s">
        <v>33</v>
      </c>
      <c r="HQ9" s="3" t="s">
        <v>34</v>
      </c>
      <c r="HR9" s="91" t="s">
        <v>44</v>
      </c>
      <c r="HS9" s="29" t="s">
        <v>36</v>
      </c>
      <c r="HT9" s="3" t="s">
        <v>23</v>
      </c>
      <c r="HU9" s="3" t="s">
        <v>24</v>
      </c>
      <c r="HV9" s="3" t="s">
        <v>25</v>
      </c>
      <c r="HW9" s="3" t="s">
        <v>26</v>
      </c>
      <c r="HX9" s="3" t="s">
        <v>27</v>
      </c>
      <c r="HY9" s="3" t="s">
        <v>28</v>
      </c>
      <c r="HZ9" s="3" t="s">
        <v>29</v>
      </c>
      <c r="IA9" s="3" t="s">
        <v>30</v>
      </c>
      <c r="IB9" s="3" t="s">
        <v>31</v>
      </c>
      <c r="IC9" s="3" t="s">
        <v>32</v>
      </c>
      <c r="ID9" s="3" t="s">
        <v>33</v>
      </c>
      <c r="IE9" s="3" t="s">
        <v>34</v>
      </c>
      <c r="IF9" s="8" t="s">
        <v>44</v>
      </c>
      <c r="IG9" s="3" t="s">
        <v>23</v>
      </c>
      <c r="IH9" s="3" t="s">
        <v>24</v>
      </c>
      <c r="II9" s="3" t="s">
        <v>25</v>
      </c>
      <c r="IJ9" s="3" t="s">
        <v>26</v>
      </c>
      <c r="IK9" s="3" t="s">
        <v>27</v>
      </c>
      <c r="IL9" s="3" t="s">
        <v>28</v>
      </c>
      <c r="IM9" s="3" t="s">
        <v>29</v>
      </c>
      <c r="IN9" s="3" t="s">
        <v>30</v>
      </c>
      <c r="IO9" s="3" t="s">
        <v>31</v>
      </c>
      <c r="IP9" s="3" t="s">
        <v>32</v>
      </c>
      <c r="IQ9" s="3" t="s">
        <v>33</v>
      </c>
      <c r="IR9" s="3" t="s">
        <v>34</v>
      </c>
      <c r="IS9" s="14" t="s">
        <v>44</v>
      </c>
      <c r="IT9" s="108"/>
      <c r="IU9" s="29" t="s">
        <v>36</v>
      </c>
      <c r="IV9" s="3" t="s">
        <v>23</v>
      </c>
      <c r="IW9" s="3" t="s">
        <v>24</v>
      </c>
      <c r="IX9" s="3" t="s">
        <v>25</v>
      </c>
      <c r="IY9" s="3" t="s">
        <v>26</v>
      </c>
      <c r="IZ9" s="3" t="s">
        <v>27</v>
      </c>
      <c r="JA9" s="3" t="s">
        <v>28</v>
      </c>
      <c r="JB9" s="3" t="s">
        <v>29</v>
      </c>
      <c r="JC9" s="3" t="s">
        <v>30</v>
      </c>
      <c r="JD9" s="3" t="s">
        <v>31</v>
      </c>
      <c r="JE9" s="3" t="s">
        <v>32</v>
      </c>
      <c r="JF9" s="3" t="s">
        <v>33</v>
      </c>
      <c r="JG9" s="3" t="s">
        <v>34</v>
      </c>
      <c r="JH9" s="3" t="s">
        <v>44</v>
      </c>
      <c r="JI9" s="3" t="s">
        <v>23</v>
      </c>
      <c r="JJ9" s="3" t="s">
        <v>24</v>
      </c>
      <c r="JK9" s="3" t="s">
        <v>25</v>
      </c>
      <c r="JL9" s="3" t="s">
        <v>26</v>
      </c>
      <c r="JM9" s="3" t="s">
        <v>27</v>
      </c>
      <c r="JN9" s="3" t="s">
        <v>28</v>
      </c>
      <c r="JO9" s="3" t="s">
        <v>29</v>
      </c>
      <c r="JP9" s="3" t="s">
        <v>30</v>
      </c>
      <c r="JQ9" s="3" t="s">
        <v>31</v>
      </c>
      <c r="JR9" s="3" t="s">
        <v>32</v>
      </c>
      <c r="JS9" s="3" t="s">
        <v>33</v>
      </c>
      <c r="JT9" s="3" t="s">
        <v>34</v>
      </c>
      <c r="JU9" s="8" t="s">
        <v>44</v>
      </c>
      <c r="JV9" s="73"/>
      <c r="JW9" s="29" t="s">
        <v>36</v>
      </c>
      <c r="JX9" s="11" t="s">
        <v>23</v>
      </c>
      <c r="JY9" s="11" t="s">
        <v>24</v>
      </c>
      <c r="JZ9" s="11" t="s">
        <v>25</v>
      </c>
      <c r="KA9" s="11" t="s">
        <v>26</v>
      </c>
      <c r="KB9" s="11" t="s">
        <v>27</v>
      </c>
      <c r="KC9" s="11" t="s">
        <v>28</v>
      </c>
      <c r="KD9" s="11" t="s">
        <v>29</v>
      </c>
      <c r="KE9" s="11" t="s">
        <v>30</v>
      </c>
      <c r="KF9" s="11" t="s">
        <v>31</v>
      </c>
      <c r="KG9" s="11" t="s">
        <v>32</v>
      </c>
      <c r="KH9" s="11" t="s">
        <v>33</v>
      </c>
      <c r="KI9" s="11" t="s">
        <v>34</v>
      </c>
      <c r="KJ9" s="13" t="s">
        <v>44</v>
      </c>
      <c r="KK9" s="3" t="s">
        <v>23</v>
      </c>
      <c r="KL9" s="3" t="s">
        <v>24</v>
      </c>
      <c r="KM9" s="3" t="s">
        <v>25</v>
      </c>
      <c r="KN9" s="3" t="s">
        <v>26</v>
      </c>
      <c r="KO9" s="3" t="s">
        <v>27</v>
      </c>
      <c r="KP9" s="3" t="s">
        <v>28</v>
      </c>
      <c r="KQ9" s="3" t="s">
        <v>29</v>
      </c>
      <c r="KR9" s="3" t="s">
        <v>30</v>
      </c>
      <c r="KS9" s="3" t="s">
        <v>31</v>
      </c>
      <c r="KT9" s="3" t="s">
        <v>32</v>
      </c>
      <c r="KU9" s="3" t="s">
        <v>33</v>
      </c>
      <c r="KV9" s="3" t="s">
        <v>34</v>
      </c>
      <c r="KW9" s="8" t="s">
        <v>44</v>
      </c>
      <c r="KX9" s="73"/>
      <c r="KY9" s="29" t="s">
        <v>36</v>
      </c>
      <c r="KZ9" s="11" t="s">
        <v>23</v>
      </c>
      <c r="LA9" s="11" t="s">
        <v>24</v>
      </c>
      <c r="LB9" s="11" t="s">
        <v>25</v>
      </c>
      <c r="LC9" s="11" t="s">
        <v>26</v>
      </c>
      <c r="LD9" s="11" t="s">
        <v>27</v>
      </c>
      <c r="LE9" s="11" t="s">
        <v>28</v>
      </c>
      <c r="LF9" s="11" t="s">
        <v>29</v>
      </c>
      <c r="LG9" s="11" t="s">
        <v>30</v>
      </c>
      <c r="LH9" s="11" t="s">
        <v>31</v>
      </c>
      <c r="LI9" s="11" t="s">
        <v>32</v>
      </c>
      <c r="LJ9" s="11" t="s">
        <v>33</v>
      </c>
      <c r="LK9" s="11" t="s">
        <v>34</v>
      </c>
      <c r="LL9" s="91" t="s">
        <v>44</v>
      </c>
      <c r="LM9" s="29" t="s">
        <v>36</v>
      </c>
      <c r="LN9" s="3" t="s">
        <v>23</v>
      </c>
      <c r="LO9" s="3" t="s">
        <v>24</v>
      </c>
      <c r="LP9" s="3" t="s">
        <v>25</v>
      </c>
      <c r="LQ9" s="3" t="s">
        <v>26</v>
      </c>
      <c r="LR9" s="3" t="s">
        <v>27</v>
      </c>
      <c r="LS9" s="3" t="s">
        <v>28</v>
      </c>
      <c r="LT9" s="3" t="s">
        <v>29</v>
      </c>
      <c r="LU9" s="3" t="s">
        <v>30</v>
      </c>
      <c r="LV9" s="3" t="s">
        <v>31</v>
      </c>
      <c r="LW9" s="3" t="s">
        <v>32</v>
      </c>
      <c r="LX9" s="3" t="s">
        <v>33</v>
      </c>
      <c r="LY9" s="3" t="s">
        <v>34</v>
      </c>
      <c r="LZ9" s="8" t="s">
        <v>44</v>
      </c>
      <c r="MA9" s="29" t="s">
        <v>36</v>
      </c>
      <c r="MB9" s="3" t="s">
        <v>23</v>
      </c>
      <c r="MC9" s="3" t="s">
        <v>24</v>
      </c>
      <c r="MD9" s="3" t="s">
        <v>25</v>
      </c>
      <c r="ME9" s="3" t="s">
        <v>26</v>
      </c>
      <c r="MF9" s="3" t="s">
        <v>27</v>
      </c>
      <c r="MG9" s="3" t="s">
        <v>28</v>
      </c>
      <c r="MH9" s="3" t="s">
        <v>29</v>
      </c>
      <c r="MI9" s="3" t="s">
        <v>30</v>
      </c>
      <c r="MJ9" s="3" t="s">
        <v>31</v>
      </c>
      <c r="MK9" s="3" t="s">
        <v>32</v>
      </c>
      <c r="ML9" s="3" t="s">
        <v>33</v>
      </c>
      <c r="MM9" s="3" t="s">
        <v>34</v>
      </c>
      <c r="MN9" s="8" t="s">
        <v>44</v>
      </c>
      <c r="MO9" s="3" t="s">
        <v>23</v>
      </c>
      <c r="MP9" s="3" t="s">
        <v>24</v>
      </c>
      <c r="MQ9" s="3" t="s">
        <v>25</v>
      </c>
      <c r="MR9" s="3" t="s">
        <v>26</v>
      </c>
      <c r="MS9" s="3" t="s">
        <v>27</v>
      </c>
      <c r="MT9" s="3" t="s">
        <v>28</v>
      </c>
      <c r="MU9" s="3" t="s">
        <v>29</v>
      </c>
      <c r="MV9" s="3" t="s">
        <v>30</v>
      </c>
      <c r="MW9" s="3" t="s">
        <v>31</v>
      </c>
      <c r="MX9" s="3" t="s">
        <v>32</v>
      </c>
      <c r="MY9" s="3" t="s">
        <v>33</v>
      </c>
      <c r="MZ9" s="3" t="s">
        <v>34</v>
      </c>
      <c r="NA9" s="8" t="s">
        <v>44</v>
      </c>
      <c r="NB9" s="73"/>
      <c r="NC9" s="29" t="s">
        <v>36</v>
      </c>
      <c r="ND9" s="3" t="s">
        <v>23</v>
      </c>
      <c r="NE9" s="3" t="s">
        <v>24</v>
      </c>
      <c r="NF9" s="3" t="s">
        <v>25</v>
      </c>
      <c r="NG9" s="3" t="s">
        <v>26</v>
      </c>
      <c r="NH9" s="3" t="s">
        <v>27</v>
      </c>
      <c r="NI9" s="3" t="s">
        <v>28</v>
      </c>
      <c r="NJ9" s="3" t="s">
        <v>29</v>
      </c>
      <c r="NK9" s="3" t="s">
        <v>30</v>
      </c>
      <c r="NL9" s="3" t="s">
        <v>31</v>
      </c>
      <c r="NM9" s="3" t="s">
        <v>32</v>
      </c>
      <c r="NN9" s="3" t="s">
        <v>33</v>
      </c>
      <c r="NO9" s="3" t="s">
        <v>34</v>
      </c>
      <c r="NP9" s="27" t="s">
        <v>44</v>
      </c>
      <c r="NQ9" s="134"/>
      <c r="NR9" s="134"/>
      <c r="NS9" s="134"/>
      <c r="NT9" s="134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</row>
    <row r="10" spans="1:458" s="1" customFormat="1" ht="50.1" customHeight="1" x14ac:dyDescent="0.25">
      <c r="A10" s="120">
        <v>2017</v>
      </c>
      <c r="B10" s="6" t="s">
        <v>17</v>
      </c>
      <c r="C10" s="23"/>
      <c r="D10" s="41">
        <v>2925</v>
      </c>
      <c r="E10" s="41">
        <v>3021</v>
      </c>
      <c r="F10" s="41">
        <v>2456.3333333333335</v>
      </c>
      <c r="G10" s="41">
        <v>1391</v>
      </c>
      <c r="H10" s="41">
        <v>1752</v>
      </c>
      <c r="I10" s="41">
        <v>2433</v>
      </c>
      <c r="J10" s="41">
        <v>1511</v>
      </c>
      <c r="K10" s="41">
        <v>1287</v>
      </c>
      <c r="L10" s="41">
        <v>2006</v>
      </c>
      <c r="M10" s="41">
        <v>1553</v>
      </c>
      <c r="N10" s="41">
        <v>1386</v>
      </c>
      <c r="O10" s="41">
        <v>1792</v>
      </c>
      <c r="P10" s="38">
        <f>SUM(D10:O10)</f>
        <v>23513.333333333336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38">
        <f>SUM(Q10:AB10)</f>
        <v>0</v>
      </c>
      <c r="AD10" s="36">
        <f>SUM(P10+AC10)</f>
        <v>23513.333333333336</v>
      </c>
      <c r="AE10" s="26"/>
      <c r="AF10" s="32">
        <v>83</v>
      </c>
      <c r="AG10" s="32">
        <v>78</v>
      </c>
      <c r="AH10" s="32">
        <v>102</v>
      </c>
      <c r="AI10" s="32">
        <v>124</v>
      </c>
      <c r="AJ10" s="32">
        <v>99</v>
      </c>
      <c r="AK10" s="32">
        <v>132</v>
      </c>
      <c r="AL10" s="32">
        <v>118</v>
      </c>
      <c r="AM10" s="32">
        <v>95</v>
      </c>
      <c r="AN10" s="32">
        <v>99</v>
      </c>
      <c r="AO10" s="32">
        <v>88</v>
      </c>
      <c r="AP10" s="32">
        <v>65</v>
      </c>
      <c r="AQ10" s="32">
        <v>109</v>
      </c>
      <c r="AR10" s="38">
        <f>SUM(AF10:AQ10)</f>
        <v>1192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8">
        <f>SUM(AS10:BD10)</f>
        <v>0</v>
      </c>
      <c r="BF10" s="36">
        <f>SUM(AR10+BE10)</f>
        <v>1192</v>
      </c>
      <c r="BG10" s="26"/>
      <c r="BH10" s="41">
        <v>0</v>
      </c>
      <c r="BI10" s="41">
        <v>0</v>
      </c>
      <c r="BJ10" s="41">
        <v>0</v>
      </c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41">
        <v>0</v>
      </c>
      <c r="BQ10" s="41">
        <v>0</v>
      </c>
      <c r="BR10" s="41">
        <v>0</v>
      </c>
      <c r="BS10" s="41">
        <v>0</v>
      </c>
      <c r="BT10" s="38">
        <f>SUM(BH10:BS10)</f>
        <v>0</v>
      </c>
      <c r="BU10" s="56">
        <v>146</v>
      </c>
      <c r="BV10" s="56">
        <v>155</v>
      </c>
      <c r="BW10" s="56">
        <v>243</v>
      </c>
      <c r="BX10" s="56">
        <v>212</v>
      </c>
      <c r="BY10" s="56">
        <v>160</v>
      </c>
      <c r="BZ10" s="56">
        <v>117</v>
      </c>
      <c r="CA10" s="56">
        <v>140</v>
      </c>
      <c r="CB10" s="56">
        <v>166</v>
      </c>
      <c r="CC10" s="56">
        <v>190</v>
      </c>
      <c r="CD10" s="56">
        <v>229</v>
      </c>
      <c r="CE10" s="56">
        <v>183</v>
      </c>
      <c r="CF10" s="56">
        <v>92</v>
      </c>
      <c r="CG10" s="61">
        <f>SUM(BU10:CF10)</f>
        <v>2033</v>
      </c>
      <c r="CH10" s="57">
        <f>SUM(BT10+CG10)</f>
        <v>2033</v>
      </c>
      <c r="CI10" s="26"/>
      <c r="CJ10" s="32">
        <v>0</v>
      </c>
      <c r="CK10" s="32">
        <v>0</v>
      </c>
      <c r="CL10" s="32">
        <v>0</v>
      </c>
      <c r="CM10" s="32">
        <v>0</v>
      </c>
      <c r="CN10" s="32">
        <v>0</v>
      </c>
      <c r="CO10" s="32">
        <v>0</v>
      </c>
      <c r="CP10" s="32">
        <v>0</v>
      </c>
      <c r="CQ10" s="32">
        <v>0</v>
      </c>
      <c r="CR10" s="32">
        <v>0</v>
      </c>
      <c r="CS10" s="32">
        <v>0</v>
      </c>
      <c r="CT10" s="32">
        <v>0</v>
      </c>
      <c r="CU10" s="69">
        <v>0</v>
      </c>
      <c r="CV10" s="38">
        <f>SUM(CJ10:CU10)</f>
        <v>0</v>
      </c>
      <c r="CW10" s="45">
        <v>647</v>
      </c>
      <c r="CX10" s="45">
        <v>568</v>
      </c>
      <c r="CY10" s="45">
        <v>750</v>
      </c>
      <c r="CZ10" s="45">
        <v>440</v>
      </c>
      <c r="DA10" s="45">
        <v>591</v>
      </c>
      <c r="DB10" s="45">
        <v>625</v>
      </c>
      <c r="DC10" s="45">
        <v>766</v>
      </c>
      <c r="DD10" s="45">
        <v>735</v>
      </c>
      <c r="DE10" s="45">
        <v>667</v>
      </c>
      <c r="DF10" s="45">
        <v>784</v>
      </c>
      <c r="DG10" s="45">
        <v>592</v>
      </c>
      <c r="DH10" s="45">
        <v>657</v>
      </c>
      <c r="DI10" s="38">
        <f t="shared" ref="DI10:DI62" si="0">SUM(CW10:DH10)</f>
        <v>7822</v>
      </c>
      <c r="DJ10" s="36">
        <f>SUM(CV10+DI10)</f>
        <v>7822</v>
      </c>
      <c r="DK10" s="26"/>
      <c r="DL10" s="75">
        <v>22</v>
      </c>
      <c r="DM10" s="75">
        <v>34</v>
      </c>
      <c r="DN10" s="75">
        <v>22</v>
      </c>
      <c r="DO10" s="75">
        <v>16</v>
      </c>
      <c r="DP10" s="75">
        <v>26</v>
      </c>
      <c r="DQ10" s="75">
        <v>35</v>
      </c>
      <c r="DR10" s="75">
        <v>11</v>
      </c>
      <c r="DS10" s="75">
        <v>13</v>
      </c>
      <c r="DT10" s="75">
        <v>19</v>
      </c>
      <c r="DU10" s="75">
        <v>12</v>
      </c>
      <c r="DV10" s="75">
        <v>13</v>
      </c>
      <c r="DW10" s="83">
        <v>16</v>
      </c>
      <c r="DX10" s="38">
        <f t="shared" ref="DX10:DX62" si="1">SUM(DL10:DW10)</f>
        <v>239</v>
      </c>
      <c r="DY10" s="65">
        <v>901</v>
      </c>
      <c r="DZ10" s="65">
        <v>249</v>
      </c>
      <c r="EA10" s="65">
        <v>300</v>
      </c>
      <c r="EB10" s="65">
        <v>180</v>
      </c>
      <c r="EC10" s="65">
        <v>200</v>
      </c>
      <c r="ED10" s="65">
        <v>254</v>
      </c>
      <c r="EE10" s="65">
        <v>236</v>
      </c>
      <c r="EF10" s="65">
        <v>200</v>
      </c>
      <c r="EG10" s="65">
        <v>150</v>
      </c>
      <c r="EH10" s="65">
        <v>70</v>
      </c>
      <c r="EI10" s="65">
        <v>141</v>
      </c>
      <c r="EJ10" s="65">
        <v>170</v>
      </c>
      <c r="EK10" s="38">
        <f>SUM(DY10:EJ10)</f>
        <v>3051</v>
      </c>
      <c r="EL10" s="36">
        <f>SUM(DX10+EK10)</f>
        <v>3290</v>
      </c>
      <c r="EM10" s="26"/>
      <c r="EN10" s="101">
        <v>996</v>
      </c>
      <c r="EO10" s="101">
        <v>958</v>
      </c>
      <c r="EP10" s="101">
        <v>1132</v>
      </c>
      <c r="EQ10" s="101">
        <v>878</v>
      </c>
      <c r="ER10" s="101">
        <v>826</v>
      </c>
      <c r="ES10" s="101">
        <v>842</v>
      </c>
      <c r="ET10" s="101">
        <v>850</v>
      </c>
      <c r="EU10" s="101">
        <v>814</v>
      </c>
      <c r="EV10" s="101">
        <v>1078</v>
      </c>
      <c r="EW10" s="101">
        <v>1078</v>
      </c>
      <c r="EX10" s="101">
        <v>1012</v>
      </c>
      <c r="EY10" s="101">
        <v>966</v>
      </c>
      <c r="EZ10" s="38">
        <f t="shared" ref="EZ10:EZ57" si="2">SUM(EN10:EY10)</f>
        <v>11430</v>
      </c>
      <c r="FA10" s="26"/>
      <c r="FB10" s="54">
        <v>564</v>
      </c>
      <c r="FC10" s="54">
        <v>566</v>
      </c>
      <c r="FD10" s="54">
        <v>578</v>
      </c>
      <c r="FE10" s="54">
        <v>536</v>
      </c>
      <c r="FF10" s="54">
        <v>419</v>
      </c>
      <c r="FG10" s="54">
        <v>573</v>
      </c>
      <c r="FH10" s="54">
        <v>419</v>
      </c>
      <c r="FI10" s="54">
        <v>648</v>
      </c>
      <c r="FJ10" s="54">
        <v>474</v>
      </c>
      <c r="FK10" s="54">
        <v>511</v>
      </c>
      <c r="FL10" s="54">
        <v>414</v>
      </c>
      <c r="FM10" s="54">
        <v>490</v>
      </c>
      <c r="FN10" s="38">
        <f>SUM(FB10:FM10)</f>
        <v>6192</v>
      </c>
      <c r="FO10" s="26"/>
      <c r="FP10" s="32">
        <v>272</v>
      </c>
      <c r="FQ10" s="32">
        <v>261</v>
      </c>
      <c r="FR10" s="32">
        <v>205</v>
      </c>
      <c r="FS10" s="32">
        <v>126</v>
      </c>
      <c r="FT10" s="32">
        <v>250</v>
      </c>
      <c r="FU10" s="32">
        <v>328</v>
      </c>
      <c r="FV10" s="32">
        <v>314</v>
      </c>
      <c r="FW10" s="32">
        <v>316</v>
      </c>
      <c r="FX10" s="32">
        <v>255</v>
      </c>
      <c r="FY10" s="32">
        <v>277</v>
      </c>
      <c r="FZ10" s="32">
        <v>259</v>
      </c>
      <c r="GA10" s="32">
        <v>267</v>
      </c>
      <c r="GB10" s="38">
        <f>SUM(FP10:GA10)</f>
        <v>3130</v>
      </c>
      <c r="GC10" s="26"/>
      <c r="GD10" s="101">
        <v>187</v>
      </c>
      <c r="GE10" s="101">
        <v>206</v>
      </c>
      <c r="GF10" s="101">
        <v>181</v>
      </c>
      <c r="GG10" s="101">
        <v>53</v>
      </c>
      <c r="GH10" s="101">
        <v>125</v>
      </c>
      <c r="GI10" s="101">
        <v>122</v>
      </c>
      <c r="GJ10" s="101">
        <v>127</v>
      </c>
      <c r="GK10" s="101">
        <v>374</v>
      </c>
      <c r="GL10" s="101">
        <v>247</v>
      </c>
      <c r="GM10" s="101">
        <v>125</v>
      </c>
      <c r="GN10" s="101">
        <v>71</v>
      </c>
      <c r="GO10" s="101">
        <v>109</v>
      </c>
      <c r="GP10" s="38">
        <f>SUM(GD10:GO10)</f>
        <v>1927</v>
      </c>
      <c r="GQ10" s="26"/>
      <c r="GR10" s="32">
        <v>10</v>
      </c>
      <c r="GS10" s="32">
        <v>12</v>
      </c>
      <c r="GT10" s="32">
        <v>9</v>
      </c>
      <c r="GU10" s="32">
        <v>14</v>
      </c>
      <c r="GV10" s="32">
        <v>21</v>
      </c>
      <c r="GW10" s="32">
        <v>11</v>
      </c>
      <c r="GX10" s="32">
        <v>15</v>
      </c>
      <c r="GY10" s="32">
        <v>9</v>
      </c>
      <c r="GZ10" s="32">
        <v>7</v>
      </c>
      <c r="HA10" s="32">
        <v>6</v>
      </c>
      <c r="HB10" s="32">
        <v>16</v>
      </c>
      <c r="HC10" s="32">
        <v>4</v>
      </c>
      <c r="HD10" s="38">
        <f>SUM(GR10:HC10)</f>
        <v>134</v>
      </c>
      <c r="HE10" s="26"/>
      <c r="HF10" s="45">
        <v>596</v>
      </c>
      <c r="HG10" s="45">
        <v>678</v>
      </c>
      <c r="HH10" s="45">
        <v>699</v>
      </c>
      <c r="HI10" s="45">
        <v>662</v>
      </c>
      <c r="HJ10" s="45">
        <v>640</v>
      </c>
      <c r="HK10" s="45">
        <v>721</v>
      </c>
      <c r="HL10" s="45">
        <v>652</v>
      </c>
      <c r="HM10" s="45">
        <v>664</v>
      </c>
      <c r="HN10" s="45">
        <v>673</v>
      </c>
      <c r="HO10" s="45">
        <v>567</v>
      </c>
      <c r="HP10" s="45">
        <v>459</v>
      </c>
      <c r="HQ10" s="45">
        <v>405</v>
      </c>
      <c r="HR10" s="38">
        <f>SUM(HF10:HQ10)</f>
        <v>7416</v>
      </c>
      <c r="HS10" s="26"/>
      <c r="HT10" s="32">
        <v>202</v>
      </c>
      <c r="HU10" s="32">
        <v>232</v>
      </c>
      <c r="HV10" s="32">
        <v>314</v>
      </c>
      <c r="HW10" s="32">
        <v>325</v>
      </c>
      <c r="HX10" s="32">
        <v>229</v>
      </c>
      <c r="HY10" s="32">
        <v>277</v>
      </c>
      <c r="HZ10" s="32">
        <v>309</v>
      </c>
      <c r="IA10" s="32">
        <v>357</v>
      </c>
      <c r="IB10" s="32">
        <v>296</v>
      </c>
      <c r="IC10" s="32">
        <v>301</v>
      </c>
      <c r="ID10" s="32">
        <v>263</v>
      </c>
      <c r="IE10" s="32">
        <v>198</v>
      </c>
      <c r="IF10" s="38">
        <f t="shared" ref="IF10:IF57" si="3">SUM(HT10:IE10)</f>
        <v>3303</v>
      </c>
      <c r="IG10" s="104">
        <v>134</v>
      </c>
      <c r="IH10" s="104">
        <v>93</v>
      </c>
      <c r="II10" s="104">
        <v>99</v>
      </c>
      <c r="IJ10" s="104">
        <v>88</v>
      </c>
      <c r="IK10" s="104">
        <v>113</v>
      </c>
      <c r="IL10" s="104">
        <v>176</v>
      </c>
      <c r="IM10" s="104">
        <v>158</v>
      </c>
      <c r="IN10" s="104">
        <v>99</v>
      </c>
      <c r="IO10" s="104">
        <v>111</v>
      </c>
      <c r="IP10" s="104">
        <v>169</v>
      </c>
      <c r="IQ10" s="104">
        <v>136</v>
      </c>
      <c r="IR10" s="104">
        <v>125</v>
      </c>
      <c r="IS10" s="38">
        <f>SUM(IG10:IR10)</f>
        <v>1501</v>
      </c>
      <c r="IT10" s="36">
        <f>SUM(IF10+IS10)</f>
        <v>4804</v>
      </c>
      <c r="IU10" s="26"/>
      <c r="IV10" s="32">
        <v>225</v>
      </c>
      <c r="IW10" s="32">
        <v>226</v>
      </c>
      <c r="IX10" s="32">
        <v>202</v>
      </c>
      <c r="IY10" s="32">
        <v>195</v>
      </c>
      <c r="IZ10" s="32">
        <v>180</v>
      </c>
      <c r="JA10" s="32">
        <v>199</v>
      </c>
      <c r="JB10" s="32">
        <v>206</v>
      </c>
      <c r="JC10" s="32">
        <v>213</v>
      </c>
      <c r="JD10" s="32">
        <v>229</v>
      </c>
      <c r="JE10" s="32">
        <v>199</v>
      </c>
      <c r="JF10" s="32">
        <v>209</v>
      </c>
      <c r="JG10" s="32">
        <v>220</v>
      </c>
      <c r="JH10" s="38">
        <f>SUM(IV10:JG10)</f>
        <v>2503</v>
      </c>
      <c r="JI10" s="97">
        <v>980.80000000000007</v>
      </c>
      <c r="JJ10" s="97">
        <v>1017.2</v>
      </c>
      <c r="JK10" s="97">
        <v>1019</v>
      </c>
      <c r="JL10" s="97">
        <v>837.40000000000009</v>
      </c>
      <c r="JM10" s="97">
        <v>760.6</v>
      </c>
      <c r="JN10" s="97">
        <v>696.6</v>
      </c>
      <c r="JO10" s="97">
        <v>789.2</v>
      </c>
      <c r="JP10" s="97">
        <v>1046</v>
      </c>
      <c r="JQ10" s="97">
        <v>892.40000000000009</v>
      </c>
      <c r="JR10" s="97">
        <v>1127</v>
      </c>
      <c r="JS10" s="97">
        <v>823.80000000000007</v>
      </c>
      <c r="JT10" s="97">
        <v>988.40000000000009</v>
      </c>
      <c r="JU10" s="112">
        <f t="shared" ref="JU10:JU62" si="4">SUM(JI10:JT10)</f>
        <v>10978.4</v>
      </c>
      <c r="JV10" s="36">
        <f>SUM(JH10+JU10)</f>
        <v>13481.4</v>
      </c>
      <c r="JW10" s="26"/>
      <c r="JX10" s="32">
        <v>0</v>
      </c>
      <c r="JY10" s="32">
        <v>0</v>
      </c>
      <c r="JZ10" s="32">
        <v>0</v>
      </c>
      <c r="KA10" s="32">
        <v>0</v>
      </c>
      <c r="KB10" s="32">
        <v>0</v>
      </c>
      <c r="KC10" s="32">
        <v>0</v>
      </c>
      <c r="KD10" s="32">
        <v>0</v>
      </c>
      <c r="KE10" s="32">
        <v>0</v>
      </c>
      <c r="KF10" s="32">
        <v>0</v>
      </c>
      <c r="KG10" s="32">
        <v>0</v>
      </c>
      <c r="KH10" s="32">
        <v>0</v>
      </c>
      <c r="KI10" s="32">
        <v>0</v>
      </c>
      <c r="KJ10" s="38">
        <f>SUM(JX10:KI10)</f>
        <v>0</v>
      </c>
      <c r="KK10" s="114">
        <v>732</v>
      </c>
      <c r="KL10" s="114">
        <v>784</v>
      </c>
      <c r="KM10" s="114">
        <v>816</v>
      </c>
      <c r="KN10" s="114">
        <v>686</v>
      </c>
      <c r="KO10" s="114">
        <v>565</v>
      </c>
      <c r="KP10" s="114">
        <v>612</v>
      </c>
      <c r="KQ10" s="114">
        <v>569</v>
      </c>
      <c r="KR10" s="114">
        <v>622</v>
      </c>
      <c r="KS10" s="114">
        <v>701</v>
      </c>
      <c r="KT10" s="114">
        <v>553</v>
      </c>
      <c r="KU10" s="114">
        <v>534</v>
      </c>
      <c r="KV10" s="114">
        <v>531</v>
      </c>
      <c r="KW10" s="38">
        <f t="shared" ref="KW10:KW62" si="5">SUM(KK10:KV10)</f>
        <v>7705</v>
      </c>
      <c r="KX10" s="36">
        <f>SUM(KJ10+KW10)</f>
        <v>7705</v>
      </c>
      <c r="KY10" s="26"/>
      <c r="KZ10" s="32">
        <v>0</v>
      </c>
      <c r="LA10" s="32">
        <v>0</v>
      </c>
      <c r="LB10" s="32">
        <v>0</v>
      </c>
      <c r="LC10" s="32">
        <v>0</v>
      </c>
      <c r="LD10" s="32">
        <v>0</v>
      </c>
      <c r="LE10" s="32">
        <v>0</v>
      </c>
      <c r="LF10" s="32">
        <v>0</v>
      </c>
      <c r="LG10" s="32">
        <v>0</v>
      </c>
      <c r="LH10" s="32">
        <v>0</v>
      </c>
      <c r="LI10" s="32">
        <v>0</v>
      </c>
      <c r="LJ10" s="32">
        <v>0</v>
      </c>
      <c r="LK10" s="32">
        <v>0</v>
      </c>
      <c r="LL10" s="38">
        <f t="shared" ref="LL10:LL57" si="6">SUM(KZ10:LK10)</f>
        <v>0</v>
      </c>
      <c r="LM10" s="26"/>
      <c r="LN10" s="71">
        <v>920</v>
      </c>
      <c r="LO10" s="71">
        <v>876</v>
      </c>
      <c r="LP10" s="71">
        <v>604</v>
      </c>
      <c r="LQ10" s="71">
        <v>732</v>
      </c>
      <c r="LR10" s="71">
        <v>690</v>
      </c>
      <c r="LS10" s="71">
        <v>808</v>
      </c>
      <c r="LT10" s="71">
        <v>879</v>
      </c>
      <c r="LU10" s="45">
        <v>908</v>
      </c>
      <c r="LV10" s="45">
        <v>872</v>
      </c>
      <c r="LW10" s="45">
        <v>855</v>
      </c>
      <c r="LX10" s="45">
        <v>864</v>
      </c>
      <c r="LY10" s="45">
        <v>863</v>
      </c>
      <c r="LZ10" s="38">
        <f>SUM(LN10:LY10)</f>
        <v>9871</v>
      </c>
      <c r="MA10" s="26"/>
      <c r="MB10" s="45">
        <v>1075</v>
      </c>
      <c r="MC10" s="45">
        <v>874</v>
      </c>
      <c r="MD10" s="45">
        <v>813</v>
      </c>
      <c r="ME10" s="45">
        <v>1000</v>
      </c>
      <c r="MF10" s="45">
        <v>715</v>
      </c>
      <c r="MG10" s="45">
        <v>967</v>
      </c>
      <c r="MH10" s="45">
        <v>966</v>
      </c>
      <c r="MI10" s="45">
        <v>1093</v>
      </c>
      <c r="MJ10" s="45">
        <v>953</v>
      </c>
      <c r="MK10" s="45">
        <v>925</v>
      </c>
      <c r="ML10" s="45">
        <v>1013</v>
      </c>
      <c r="MM10" s="45">
        <v>827</v>
      </c>
      <c r="MN10" s="38">
        <f>SUM(MB10:MM10)</f>
        <v>11221</v>
      </c>
      <c r="MO10" s="32">
        <v>554</v>
      </c>
      <c r="MP10" s="32">
        <v>380</v>
      </c>
      <c r="MQ10" s="32">
        <v>710</v>
      </c>
      <c r="MR10" s="32">
        <v>550</v>
      </c>
      <c r="MS10" s="32">
        <v>630</v>
      </c>
      <c r="MT10" s="32">
        <v>555</v>
      </c>
      <c r="MU10" s="32">
        <v>1165</v>
      </c>
      <c r="MV10" s="32">
        <v>1006</v>
      </c>
      <c r="MW10" s="32">
        <v>2073</v>
      </c>
      <c r="MX10" s="32">
        <v>880</v>
      </c>
      <c r="MY10" s="32">
        <v>447</v>
      </c>
      <c r="MZ10" s="32">
        <v>290</v>
      </c>
      <c r="NA10" s="38">
        <f>SUM(MO10:MZ10)</f>
        <v>9240</v>
      </c>
      <c r="NB10" s="36">
        <f>SUM(MN10+NA10)</f>
        <v>20461</v>
      </c>
      <c r="NC10" s="26"/>
      <c r="ND10" s="101">
        <v>226</v>
      </c>
      <c r="NE10" s="101">
        <v>194</v>
      </c>
      <c r="NF10" s="101">
        <v>151</v>
      </c>
      <c r="NG10" s="101">
        <v>181</v>
      </c>
      <c r="NH10" s="101">
        <v>178</v>
      </c>
      <c r="NI10" s="101">
        <v>170</v>
      </c>
      <c r="NJ10" s="101">
        <v>133</v>
      </c>
      <c r="NK10" s="101">
        <v>172</v>
      </c>
      <c r="NL10" s="101">
        <v>138</v>
      </c>
      <c r="NM10" s="101">
        <v>201</v>
      </c>
      <c r="NN10" s="101">
        <v>135</v>
      </c>
      <c r="NO10" s="101">
        <v>121</v>
      </c>
      <c r="NP10" s="38">
        <f>SUM(ND10:NO10)</f>
        <v>2000</v>
      </c>
      <c r="NQ10" s="36">
        <f>SUM(P10+AR10+BT10+CV10+DX10+HD10+IF10+KJ10)</f>
        <v>28381.333333333336</v>
      </c>
      <c r="NR10" s="36">
        <f>SUM(BE10+CG10+DI10+EK10+EZ10+FN10+GB10+GP10+HR10+IS10+JH10+KW10+LL10+LZ10+MN10+NP10)</f>
        <v>77802</v>
      </c>
      <c r="NS10" s="36">
        <f>SUM(AC10+JU10+NA10)</f>
        <v>20218.400000000001</v>
      </c>
      <c r="NT10" s="36">
        <f>SUM(NQ10:NS10)</f>
        <v>126401.73333333334</v>
      </c>
      <c r="NU10" s="18"/>
      <c r="NV10" s="18"/>
      <c r="NW10" s="18"/>
      <c r="NX10" s="19"/>
      <c r="NY10" s="19"/>
      <c r="NZ10" s="19"/>
      <c r="OA10" s="19"/>
      <c r="OB10" s="19"/>
      <c r="OC10" s="19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8"/>
      <c r="OR10" s="18"/>
      <c r="OS10" s="18"/>
      <c r="OT10" s="18"/>
      <c r="OU10" s="18"/>
      <c r="OV10" s="18"/>
      <c r="OW10" s="18"/>
      <c r="OX10" s="19"/>
      <c r="OY10" s="19"/>
      <c r="OZ10" s="19"/>
      <c r="PA10" s="19"/>
      <c r="PB10" s="19"/>
      <c r="PC10" s="19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8"/>
      <c r="PR10" s="18"/>
      <c r="PS10" s="18"/>
      <c r="PT10" s="18"/>
      <c r="PU10" s="18"/>
      <c r="PV10" s="18"/>
      <c r="PW10" s="18"/>
      <c r="PX10" s="19"/>
      <c r="PY10" s="19"/>
      <c r="PZ10" s="19"/>
      <c r="QA10" s="19"/>
      <c r="QB10" s="19"/>
      <c r="QC10" s="19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</row>
    <row r="11" spans="1:458" s="1" customFormat="1" ht="50.1" customHeight="1" x14ac:dyDescent="0.25">
      <c r="A11" s="120"/>
      <c r="B11" s="6" t="s">
        <v>18</v>
      </c>
      <c r="C11" s="23"/>
      <c r="D11" s="41">
        <v>100</v>
      </c>
      <c r="E11" s="41">
        <v>76</v>
      </c>
      <c r="F11" s="41">
        <v>82.888888888888886</v>
      </c>
      <c r="G11" s="41">
        <v>29</v>
      </c>
      <c r="H11" s="41">
        <v>35</v>
      </c>
      <c r="I11" s="41">
        <v>44</v>
      </c>
      <c r="J11" s="41">
        <v>31</v>
      </c>
      <c r="K11" s="41">
        <v>40</v>
      </c>
      <c r="L11" s="41">
        <v>67</v>
      </c>
      <c r="M11" s="41">
        <v>190</v>
      </c>
      <c r="N11" s="41">
        <v>27</v>
      </c>
      <c r="O11" s="41">
        <v>36</v>
      </c>
      <c r="P11" s="38">
        <f t="shared" ref="P11:P63" si="7">SUM(D11:O11)</f>
        <v>757.88888888888891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38">
        <f t="shared" ref="AC11:AC63" si="8">SUM(Q11:AB11)</f>
        <v>0</v>
      </c>
      <c r="AD11" s="36">
        <f t="shared" ref="AD11:AD63" si="9">SUM(P11+AC11)</f>
        <v>757.88888888888891</v>
      </c>
      <c r="AE11" s="26"/>
      <c r="AF11" s="32">
        <v>3</v>
      </c>
      <c r="AG11" s="32">
        <v>2</v>
      </c>
      <c r="AH11" s="32">
        <v>0</v>
      </c>
      <c r="AI11" s="32">
        <v>0</v>
      </c>
      <c r="AJ11" s="32">
        <v>4</v>
      </c>
      <c r="AK11" s="32">
        <v>1</v>
      </c>
      <c r="AL11" s="32">
        <v>1</v>
      </c>
      <c r="AM11" s="32">
        <v>0</v>
      </c>
      <c r="AN11" s="32">
        <v>2</v>
      </c>
      <c r="AO11" s="32">
        <v>2</v>
      </c>
      <c r="AP11" s="32">
        <v>1</v>
      </c>
      <c r="AQ11" s="32">
        <v>3</v>
      </c>
      <c r="AR11" s="38">
        <f t="shared" ref="AR11:AR63" si="10">SUM(AF11:AQ11)</f>
        <v>19</v>
      </c>
      <c r="AS11" s="32">
        <v>0</v>
      </c>
      <c r="AT11" s="32">
        <v>0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8">
        <f t="shared" ref="BE11:BE63" si="11">SUM(AS11:BD11)</f>
        <v>0</v>
      </c>
      <c r="BF11" s="36">
        <f t="shared" ref="BF11:BF63" si="12">SUM(AR11+BE11)</f>
        <v>19</v>
      </c>
      <c r="BG11" s="26"/>
      <c r="BH11" s="41">
        <v>0</v>
      </c>
      <c r="BI11" s="41">
        <v>0</v>
      </c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</v>
      </c>
      <c r="BR11" s="41">
        <v>0</v>
      </c>
      <c r="BS11" s="41">
        <v>0</v>
      </c>
      <c r="BT11" s="38">
        <f t="shared" ref="BT11:BT63" si="13">SUM(BH11:BS11)</f>
        <v>0</v>
      </c>
      <c r="BU11" s="56">
        <v>0</v>
      </c>
      <c r="BV11" s="56">
        <v>31</v>
      </c>
      <c r="BW11" s="56">
        <v>14</v>
      </c>
      <c r="BX11" s="56">
        <v>15</v>
      </c>
      <c r="BY11" s="56">
        <v>22</v>
      </c>
      <c r="BZ11" s="56">
        <v>11</v>
      </c>
      <c r="CA11" s="56">
        <v>3</v>
      </c>
      <c r="CB11" s="56">
        <v>9</v>
      </c>
      <c r="CC11" s="56">
        <v>19</v>
      </c>
      <c r="CD11" s="56">
        <v>23</v>
      </c>
      <c r="CE11" s="56">
        <v>9</v>
      </c>
      <c r="CF11" s="56">
        <v>16</v>
      </c>
      <c r="CG11" s="61">
        <f t="shared" ref="CG11:CG63" si="14">SUM(BU11:CF11)</f>
        <v>172</v>
      </c>
      <c r="CH11" s="57">
        <f t="shared" ref="CH11:CH63" si="15">SUM(BT11+CG11)</f>
        <v>172</v>
      </c>
      <c r="CI11" s="26"/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0</v>
      </c>
      <c r="CR11" s="32">
        <v>0</v>
      </c>
      <c r="CS11" s="32">
        <v>0</v>
      </c>
      <c r="CT11" s="32">
        <v>0</v>
      </c>
      <c r="CU11" s="69">
        <v>0</v>
      </c>
      <c r="CV11" s="38">
        <f t="shared" ref="CV11:CV63" si="16">SUM(CJ11:CU11)</f>
        <v>0</v>
      </c>
      <c r="CW11" s="45">
        <v>179</v>
      </c>
      <c r="CX11" s="45">
        <v>135</v>
      </c>
      <c r="CY11" s="45">
        <v>189</v>
      </c>
      <c r="CZ11" s="45">
        <v>94</v>
      </c>
      <c r="DA11" s="45">
        <v>142</v>
      </c>
      <c r="DB11" s="45">
        <v>143</v>
      </c>
      <c r="DC11" s="45">
        <v>111</v>
      </c>
      <c r="DD11" s="45">
        <v>337</v>
      </c>
      <c r="DE11" s="45">
        <v>130</v>
      </c>
      <c r="DF11" s="45">
        <v>93</v>
      </c>
      <c r="DG11" s="45">
        <v>84</v>
      </c>
      <c r="DH11" s="45">
        <v>70</v>
      </c>
      <c r="DI11" s="38">
        <f t="shared" si="0"/>
        <v>1707</v>
      </c>
      <c r="DJ11" s="36">
        <f t="shared" ref="DJ11:DJ63" si="17">SUM(CV11+DI11)</f>
        <v>1707</v>
      </c>
      <c r="DK11" s="26"/>
      <c r="DL11" s="75">
        <v>1</v>
      </c>
      <c r="DM11" s="75">
        <v>0</v>
      </c>
      <c r="DN11" s="75">
        <v>0</v>
      </c>
      <c r="DO11" s="75">
        <v>0</v>
      </c>
      <c r="DP11" s="75">
        <v>0</v>
      </c>
      <c r="DQ11" s="75">
        <v>0</v>
      </c>
      <c r="DR11" s="75">
        <v>0</v>
      </c>
      <c r="DS11" s="75">
        <v>0</v>
      </c>
      <c r="DT11" s="75">
        <v>0</v>
      </c>
      <c r="DU11" s="75">
        <v>0</v>
      </c>
      <c r="DV11" s="75">
        <v>0</v>
      </c>
      <c r="DW11" s="83">
        <v>0</v>
      </c>
      <c r="DX11" s="38">
        <f t="shared" si="1"/>
        <v>1</v>
      </c>
      <c r="DY11" s="65">
        <v>8</v>
      </c>
      <c r="DZ11" s="65">
        <v>4</v>
      </c>
      <c r="EA11" s="65">
        <v>26</v>
      </c>
      <c r="EB11" s="65">
        <v>20</v>
      </c>
      <c r="EC11" s="65">
        <v>2</v>
      </c>
      <c r="ED11" s="65">
        <v>30</v>
      </c>
      <c r="EE11" s="65">
        <v>15</v>
      </c>
      <c r="EF11" s="65">
        <v>10</v>
      </c>
      <c r="EG11" s="65">
        <v>10</v>
      </c>
      <c r="EH11" s="65">
        <v>21</v>
      </c>
      <c r="EI11" s="65">
        <v>20</v>
      </c>
      <c r="EJ11" s="65">
        <v>20</v>
      </c>
      <c r="EK11" s="38">
        <f t="shared" ref="EK11:EK62" si="18">SUM(DY11:EJ11)</f>
        <v>186</v>
      </c>
      <c r="EL11" s="36">
        <f t="shared" ref="EL11:EL63" si="19">SUM(DX11+EK11)</f>
        <v>187</v>
      </c>
      <c r="EM11" s="26"/>
      <c r="EN11" s="101">
        <v>76</v>
      </c>
      <c r="EO11" s="101">
        <v>54</v>
      </c>
      <c r="EP11" s="101">
        <v>30</v>
      </c>
      <c r="EQ11" s="101">
        <v>46</v>
      </c>
      <c r="ER11" s="101">
        <v>60</v>
      </c>
      <c r="ES11" s="101">
        <v>54</v>
      </c>
      <c r="ET11" s="101">
        <v>90</v>
      </c>
      <c r="EU11" s="101">
        <v>142</v>
      </c>
      <c r="EV11" s="101">
        <v>110</v>
      </c>
      <c r="EW11" s="101">
        <v>316</v>
      </c>
      <c r="EX11" s="101">
        <v>230</v>
      </c>
      <c r="EY11" s="101">
        <v>242</v>
      </c>
      <c r="EZ11" s="38">
        <f t="shared" si="2"/>
        <v>1450</v>
      </c>
      <c r="FA11" s="26"/>
      <c r="FB11" s="54">
        <v>62</v>
      </c>
      <c r="FC11" s="54">
        <v>64</v>
      </c>
      <c r="FD11" s="54">
        <v>63</v>
      </c>
      <c r="FE11" s="54">
        <v>62</v>
      </c>
      <c r="FF11" s="54">
        <v>63</v>
      </c>
      <c r="FG11" s="54">
        <v>69</v>
      </c>
      <c r="FH11" s="54">
        <v>50</v>
      </c>
      <c r="FI11" s="54">
        <v>50</v>
      </c>
      <c r="FJ11" s="54">
        <v>78</v>
      </c>
      <c r="FK11" s="54">
        <v>83</v>
      </c>
      <c r="FL11" s="54">
        <v>113</v>
      </c>
      <c r="FM11" s="54">
        <v>68</v>
      </c>
      <c r="FN11" s="38">
        <f t="shared" ref="FN11:FN63" si="20">SUM(FB11:FM11)</f>
        <v>825</v>
      </c>
      <c r="FO11" s="26"/>
      <c r="FP11" s="32">
        <v>27</v>
      </c>
      <c r="FQ11" s="32">
        <v>31</v>
      </c>
      <c r="FR11" s="32">
        <v>15</v>
      </c>
      <c r="FS11" s="32">
        <v>5</v>
      </c>
      <c r="FT11" s="32">
        <v>15</v>
      </c>
      <c r="FU11" s="32">
        <v>31</v>
      </c>
      <c r="FV11" s="32">
        <v>16</v>
      </c>
      <c r="FW11" s="32">
        <v>4</v>
      </c>
      <c r="FX11" s="32">
        <v>15</v>
      </c>
      <c r="FY11" s="32">
        <v>23</v>
      </c>
      <c r="FZ11" s="32">
        <v>10</v>
      </c>
      <c r="GA11" s="32">
        <v>17</v>
      </c>
      <c r="GB11" s="38">
        <f t="shared" ref="GB11:GB63" si="21">SUM(FP11:GA11)</f>
        <v>209</v>
      </c>
      <c r="GC11" s="26"/>
      <c r="GD11" s="101">
        <v>23</v>
      </c>
      <c r="GE11" s="101">
        <v>17</v>
      </c>
      <c r="GF11" s="101">
        <v>7</v>
      </c>
      <c r="GG11" s="101">
        <v>2</v>
      </c>
      <c r="GH11" s="101">
        <v>6</v>
      </c>
      <c r="GI11" s="101">
        <v>6</v>
      </c>
      <c r="GJ11" s="101">
        <v>30</v>
      </c>
      <c r="GK11" s="101">
        <v>94</v>
      </c>
      <c r="GL11" s="101">
        <v>64</v>
      </c>
      <c r="GM11" s="101">
        <v>6</v>
      </c>
      <c r="GN11" s="101">
        <v>5</v>
      </c>
      <c r="GO11" s="101">
        <v>13</v>
      </c>
      <c r="GP11" s="38">
        <f t="shared" ref="GP11:GP63" si="22">SUM(GD11:GO11)</f>
        <v>273</v>
      </c>
      <c r="GQ11" s="26"/>
      <c r="GR11" s="32">
        <v>2</v>
      </c>
      <c r="GS11" s="32">
        <v>5</v>
      </c>
      <c r="GT11" s="32">
        <v>4</v>
      </c>
      <c r="GU11" s="32">
        <v>1</v>
      </c>
      <c r="GV11" s="32">
        <v>6</v>
      </c>
      <c r="GW11" s="32">
        <v>2</v>
      </c>
      <c r="GX11" s="32">
        <v>1</v>
      </c>
      <c r="GY11" s="32">
        <v>5</v>
      </c>
      <c r="GZ11" s="32">
        <v>0</v>
      </c>
      <c r="HA11" s="32">
        <v>2</v>
      </c>
      <c r="HB11" s="32">
        <v>3</v>
      </c>
      <c r="HC11" s="32">
        <v>2</v>
      </c>
      <c r="HD11" s="38">
        <f t="shared" ref="HD11:HD63" si="23">SUM(GR11:HC11)</f>
        <v>33</v>
      </c>
      <c r="HE11" s="26"/>
      <c r="HF11" s="45">
        <v>160</v>
      </c>
      <c r="HG11" s="45">
        <v>209</v>
      </c>
      <c r="HH11" s="45">
        <v>169</v>
      </c>
      <c r="HI11" s="45">
        <v>158</v>
      </c>
      <c r="HJ11" s="45">
        <v>178</v>
      </c>
      <c r="HK11" s="45">
        <v>176</v>
      </c>
      <c r="HL11" s="45">
        <v>119</v>
      </c>
      <c r="HM11" s="45">
        <v>114</v>
      </c>
      <c r="HN11" s="45">
        <v>124</v>
      </c>
      <c r="HO11" s="45">
        <v>125</v>
      </c>
      <c r="HP11" s="45">
        <v>131</v>
      </c>
      <c r="HQ11" s="45">
        <v>134</v>
      </c>
      <c r="HR11" s="38">
        <f t="shared" ref="HR11:HR63" si="24">SUM(HF11:HQ11)</f>
        <v>1797</v>
      </c>
      <c r="HS11" s="26"/>
      <c r="HT11" s="32">
        <v>0</v>
      </c>
      <c r="HU11" s="32">
        <v>2</v>
      </c>
      <c r="HV11" s="32">
        <v>1</v>
      </c>
      <c r="HW11" s="32">
        <v>3</v>
      </c>
      <c r="HX11" s="32">
        <v>1</v>
      </c>
      <c r="HY11" s="32">
        <v>0</v>
      </c>
      <c r="HZ11" s="32">
        <v>5</v>
      </c>
      <c r="IA11" s="32">
        <v>10</v>
      </c>
      <c r="IB11" s="32">
        <v>3</v>
      </c>
      <c r="IC11" s="32">
        <v>2</v>
      </c>
      <c r="ID11" s="32">
        <v>0</v>
      </c>
      <c r="IE11" s="32">
        <v>1</v>
      </c>
      <c r="IF11" s="38">
        <f t="shared" si="3"/>
        <v>28</v>
      </c>
      <c r="IG11" s="104">
        <v>33</v>
      </c>
      <c r="IH11" s="104">
        <v>21</v>
      </c>
      <c r="II11" s="104">
        <v>18</v>
      </c>
      <c r="IJ11" s="104">
        <v>15</v>
      </c>
      <c r="IK11" s="104">
        <v>23</v>
      </c>
      <c r="IL11" s="104">
        <v>20</v>
      </c>
      <c r="IM11" s="104">
        <v>5</v>
      </c>
      <c r="IN11" s="104">
        <v>1</v>
      </c>
      <c r="IO11" s="104">
        <v>9</v>
      </c>
      <c r="IP11" s="104">
        <v>13</v>
      </c>
      <c r="IQ11" s="104">
        <v>17</v>
      </c>
      <c r="IR11" s="104">
        <v>9</v>
      </c>
      <c r="IS11" s="38">
        <f t="shared" ref="IS11:IS62" si="25">SUM(IG11:IR11)</f>
        <v>184</v>
      </c>
      <c r="IT11" s="36">
        <f t="shared" ref="IT11:IT63" si="26">SUM(IF11+IS11)</f>
        <v>212</v>
      </c>
      <c r="IU11" s="26"/>
      <c r="IV11" s="32">
        <v>42</v>
      </c>
      <c r="IW11" s="32">
        <v>40</v>
      </c>
      <c r="IX11" s="32">
        <v>39</v>
      </c>
      <c r="IY11" s="32">
        <v>38</v>
      </c>
      <c r="IZ11" s="32">
        <v>44</v>
      </c>
      <c r="JA11" s="32">
        <v>45</v>
      </c>
      <c r="JB11" s="32">
        <v>39</v>
      </c>
      <c r="JC11" s="32">
        <v>35</v>
      </c>
      <c r="JD11" s="32">
        <v>30</v>
      </c>
      <c r="JE11" s="32">
        <v>29</v>
      </c>
      <c r="JF11" s="32">
        <v>32</v>
      </c>
      <c r="JG11" s="32">
        <v>42</v>
      </c>
      <c r="JH11" s="38">
        <f t="shared" ref="JH11:JH62" si="27">SUM(IV11:JG11)</f>
        <v>455</v>
      </c>
      <c r="JI11" s="97">
        <v>165.20000000000002</v>
      </c>
      <c r="JJ11" s="97">
        <v>146.80000000000001</v>
      </c>
      <c r="JK11" s="97">
        <v>169.20000000000002</v>
      </c>
      <c r="JL11" s="97">
        <v>162.4</v>
      </c>
      <c r="JM11" s="97">
        <v>257.40000000000003</v>
      </c>
      <c r="JN11" s="97">
        <v>234.4</v>
      </c>
      <c r="JO11" s="97">
        <v>149</v>
      </c>
      <c r="JP11" s="97">
        <v>144.20000000000002</v>
      </c>
      <c r="JQ11" s="97">
        <v>178.4</v>
      </c>
      <c r="JR11" s="97">
        <v>140.20000000000002</v>
      </c>
      <c r="JS11" s="97">
        <v>130</v>
      </c>
      <c r="JT11" s="97">
        <v>144</v>
      </c>
      <c r="JU11" s="112">
        <f t="shared" si="4"/>
        <v>2021.2000000000003</v>
      </c>
      <c r="JV11" s="36">
        <f t="shared" ref="JV11:JV63" si="28">SUM(JH11+JU11)</f>
        <v>2476.2000000000003</v>
      </c>
      <c r="JW11" s="26"/>
      <c r="JX11" s="32">
        <v>0</v>
      </c>
      <c r="JY11" s="32">
        <v>0</v>
      </c>
      <c r="JZ11" s="32">
        <v>0</v>
      </c>
      <c r="KA11" s="32">
        <v>0</v>
      </c>
      <c r="KB11" s="32">
        <v>0</v>
      </c>
      <c r="KC11" s="32">
        <v>0</v>
      </c>
      <c r="KD11" s="32">
        <v>0</v>
      </c>
      <c r="KE11" s="32">
        <v>0</v>
      </c>
      <c r="KF11" s="32">
        <v>0</v>
      </c>
      <c r="KG11" s="32">
        <v>0</v>
      </c>
      <c r="KH11" s="32">
        <v>0</v>
      </c>
      <c r="KI11" s="32">
        <v>0</v>
      </c>
      <c r="KJ11" s="38">
        <f t="shared" ref="KJ11:KJ62" si="29">SUM(JX11:KI11)</f>
        <v>0</v>
      </c>
      <c r="KK11" s="114">
        <v>18</v>
      </c>
      <c r="KL11" s="114">
        <v>21</v>
      </c>
      <c r="KM11" s="114">
        <v>12</v>
      </c>
      <c r="KN11" s="114">
        <v>10</v>
      </c>
      <c r="KO11" s="114">
        <v>9</v>
      </c>
      <c r="KP11" s="114">
        <v>16</v>
      </c>
      <c r="KQ11" s="114">
        <v>0</v>
      </c>
      <c r="KR11" s="114">
        <v>23</v>
      </c>
      <c r="KS11" s="114">
        <v>19</v>
      </c>
      <c r="KT11" s="114">
        <v>15</v>
      </c>
      <c r="KU11" s="114">
        <v>2</v>
      </c>
      <c r="KV11" s="114">
        <v>5</v>
      </c>
      <c r="KW11" s="38">
        <f t="shared" si="5"/>
        <v>150</v>
      </c>
      <c r="KX11" s="36">
        <f t="shared" ref="KX11:KX63" si="30">SUM(KJ11+KW11)</f>
        <v>150</v>
      </c>
      <c r="KY11" s="26"/>
      <c r="KZ11" s="32">
        <v>0</v>
      </c>
      <c r="LA11" s="32">
        <v>0</v>
      </c>
      <c r="LB11" s="32">
        <v>0</v>
      </c>
      <c r="LC11" s="32">
        <v>0</v>
      </c>
      <c r="LD11" s="32">
        <v>0</v>
      </c>
      <c r="LE11" s="32">
        <v>0</v>
      </c>
      <c r="LF11" s="32">
        <v>0</v>
      </c>
      <c r="LG11" s="32">
        <v>0</v>
      </c>
      <c r="LH11" s="32">
        <v>0</v>
      </c>
      <c r="LI11" s="32">
        <v>0</v>
      </c>
      <c r="LJ11" s="32">
        <v>0</v>
      </c>
      <c r="LK11" s="32">
        <v>0</v>
      </c>
      <c r="LL11" s="38">
        <f t="shared" si="6"/>
        <v>0</v>
      </c>
      <c r="LM11" s="26"/>
      <c r="LN11" s="71">
        <v>134</v>
      </c>
      <c r="LO11" s="71">
        <v>221</v>
      </c>
      <c r="LP11" s="71">
        <v>111</v>
      </c>
      <c r="LQ11" s="71">
        <v>107</v>
      </c>
      <c r="LR11" s="71">
        <v>84</v>
      </c>
      <c r="LS11" s="71">
        <v>97</v>
      </c>
      <c r="LT11" s="71">
        <v>101</v>
      </c>
      <c r="LU11" s="45">
        <v>64</v>
      </c>
      <c r="LV11" s="45">
        <v>71</v>
      </c>
      <c r="LW11" s="45">
        <v>126</v>
      </c>
      <c r="LX11" s="45">
        <v>114</v>
      </c>
      <c r="LY11" s="45">
        <v>118</v>
      </c>
      <c r="LZ11" s="38">
        <f t="shared" ref="LZ11:LZ63" si="31">SUM(LN11:LY11)</f>
        <v>1348</v>
      </c>
      <c r="MA11" s="26"/>
      <c r="MB11" s="45">
        <v>246</v>
      </c>
      <c r="MC11" s="45">
        <v>632</v>
      </c>
      <c r="MD11" s="45">
        <v>359</v>
      </c>
      <c r="ME11" s="45">
        <v>421</v>
      </c>
      <c r="MF11" s="45">
        <v>449</v>
      </c>
      <c r="MG11" s="45">
        <v>616</v>
      </c>
      <c r="MH11" s="45">
        <v>414</v>
      </c>
      <c r="MI11" s="45">
        <v>475</v>
      </c>
      <c r="MJ11" s="45">
        <v>409</v>
      </c>
      <c r="MK11" s="45">
        <v>504</v>
      </c>
      <c r="ML11" s="45">
        <v>265</v>
      </c>
      <c r="MM11" s="45">
        <v>437</v>
      </c>
      <c r="MN11" s="38">
        <f t="shared" ref="MN11:MN57" si="32">SUM(MB11:MM11)</f>
        <v>5227</v>
      </c>
      <c r="MO11" s="32">
        <v>297</v>
      </c>
      <c r="MP11" s="32">
        <v>236</v>
      </c>
      <c r="MQ11" s="32">
        <v>271</v>
      </c>
      <c r="MR11" s="32">
        <v>175</v>
      </c>
      <c r="MS11" s="32">
        <v>265</v>
      </c>
      <c r="MT11" s="32">
        <v>275</v>
      </c>
      <c r="MU11" s="32">
        <v>371</v>
      </c>
      <c r="MV11" s="32">
        <v>268</v>
      </c>
      <c r="MW11" s="32">
        <v>434</v>
      </c>
      <c r="MX11" s="32">
        <v>362</v>
      </c>
      <c r="MY11" s="32">
        <v>327</v>
      </c>
      <c r="MZ11" s="32">
        <v>229</v>
      </c>
      <c r="NA11" s="38">
        <f t="shared" ref="NA11:NA62" si="33">SUM(MO11:MZ11)</f>
        <v>3510</v>
      </c>
      <c r="NB11" s="36">
        <f t="shared" ref="NB11:NB63" si="34">SUM(MN11+NA11)</f>
        <v>8737</v>
      </c>
      <c r="NC11" s="26"/>
      <c r="ND11" s="101">
        <v>20</v>
      </c>
      <c r="NE11" s="101">
        <v>26</v>
      </c>
      <c r="NF11" s="101">
        <v>19</v>
      </c>
      <c r="NG11" s="101">
        <v>22</v>
      </c>
      <c r="NH11" s="101">
        <v>29</v>
      </c>
      <c r="NI11" s="101">
        <v>14</v>
      </c>
      <c r="NJ11" s="101">
        <v>15</v>
      </c>
      <c r="NK11" s="101">
        <v>27</v>
      </c>
      <c r="NL11" s="101">
        <v>24</v>
      </c>
      <c r="NM11" s="101">
        <v>13</v>
      </c>
      <c r="NN11" s="101">
        <v>7</v>
      </c>
      <c r="NO11" s="101">
        <v>6</v>
      </c>
      <c r="NP11" s="38">
        <f t="shared" ref="NP11:NP63" si="35">SUM(ND11:NO11)</f>
        <v>222</v>
      </c>
      <c r="NQ11" s="36">
        <f t="shared" ref="NQ11:NQ63" si="36">SUM(P11+AR11+BT11+CV11+DX11+HD11+IF11+KJ11)</f>
        <v>838.88888888888891</v>
      </c>
      <c r="NR11" s="36">
        <f t="shared" ref="NR11:NR63" si="37">SUM(BE11+CG11+DI11+EK11+EZ11+FN11+GB11+GP11+HR11+IS11+JH11+KW11+LL11+LZ11+MN11+NP11)</f>
        <v>14205</v>
      </c>
      <c r="NS11" s="36">
        <f t="shared" ref="NS11:NS63" si="38">SUM(AC11+JU11+NA11)</f>
        <v>5531.2000000000007</v>
      </c>
      <c r="NT11" s="36">
        <f t="shared" ref="NT11:NT63" si="39">SUM(NQ11:NS11)</f>
        <v>20575.088888888888</v>
      </c>
      <c r="NU11" s="18"/>
      <c r="NV11" s="18"/>
      <c r="NW11" s="18"/>
      <c r="NX11" s="19"/>
      <c r="NY11" s="19"/>
      <c r="NZ11" s="19"/>
      <c r="OA11" s="19"/>
      <c r="OB11" s="19"/>
      <c r="OC11" s="19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8"/>
      <c r="OR11" s="18"/>
      <c r="OS11" s="18"/>
      <c r="OT11" s="18"/>
      <c r="OU11" s="18"/>
      <c r="OV11" s="18"/>
      <c r="OW11" s="18"/>
      <c r="OX11" s="19"/>
      <c r="OY11" s="19"/>
      <c r="OZ11" s="19"/>
      <c r="PA11" s="19"/>
      <c r="PB11" s="19"/>
      <c r="PC11" s="19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8"/>
      <c r="PR11" s="18"/>
      <c r="PS11" s="18"/>
      <c r="PT11" s="18"/>
      <c r="PU11" s="18"/>
      <c r="PV11" s="18"/>
      <c r="PW11" s="18"/>
      <c r="PX11" s="19"/>
      <c r="PY11" s="19"/>
      <c r="PZ11" s="19"/>
      <c r="QA11" s="19"/>
      <c r="QB11" s="19"/>
      <c r="QC11" s="19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</row>
    <row r="12" spans="1:458" s="1" customFormat="1" ht="50.1" customHeight="1" x14ac:dyDescent="0.25">
      <c r="A12" s="120"/>
      <c r="B12" s="6" t="s">
        <v>19</v>
      </c>
      <c r="C12" s="23"/>
      <c r="D12" s="41">
        <v>0</v>
      </c>
      <c r="E12" s="41">
        <v>0</v>
      </c>
      <c r="F12" s="41">
        <v>0</v>
      </c>
      <c r="G12" s="41">
        <v>0</v>
      </c>
      <c r="H12" s="41">
        <v>5</v>
      </c>
      <c r="I12" s="41">
        <v>0</v>
      </c>
      <c r="J12" s="41">
        <v>7</v>
      </c>
      <c r="K12" s="41">
        <v>14</v>
      </c>
      <c r="L12" s="41">
        <v>10</v>
      </c>
      <c r="M12" s="41">
        <v>12</v>
      </c>
      <c r="N12" s="41">
        <v>1</v>
      </c>
      <c r="O12" s="41">
        <v>1</v>
      </c>
      <c r="P12" s="38">
        <f t="shared" si="7"/>
        <v>50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38">
        <f t="shared" si="8"/>
        <v>0</v>
      </c>
      <c r="AD12" s="36">
        <f t="shared" si="9"/>
        <v>50</v>
      </c>
      <c r="AE12" s="26"/>
      <c r="AF12" s="32">
        <v>1</v>
      </c>
      <c r="AG12" s="32">
        <v>0</v>
      </c>
      <c r="AH12" s="32">
        <v>0</v>
      </c>
      <c r="AI12" s="32">
        <v>2</v>
      </c>
      <c r="AJ12" s="32">
        <v>3</v>
      </c>
      <c r="AK12" s="32">
        <v>1</v>
      </c>
      <c r="AL12" s="32">
        <v>1</v>
      </c>
      <c r="AM12" s="32">
        <v>0</v>
      </c>
      <c r="AN12" s="32">
        <v>0</v>
      </c>
      <c r="AO12" s="32">
        <v>2</v>
      </c>
      <c r="AP12" s="32">
        <v>1</v>
      </c>
      <c r="AQ12" s="32">
        <v>0</v>
      </c>
      <c r="AR12" s="38">
        <f t="shared" si="10"/>
        <v>11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8">
        <f t="shared" si="11"/>
        <v>0</v>
      </c>
      <c r="BF12" s="36">
        <f t="shared" si="12"/>
        <v>11</v>
      </c>
      <c r="BG12" s="26"/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  <c r="BQ12" s="41">
        <v>0</v>
      </c>
      <c r="BR12" s="41">
        <v>0</v>
      </c>
      <c r="BS12" s="41">
        <v>0</v>
      </c>
      <c r="BT12" s="38">
        <f t="shared" si="13"/>
        <v>0</v>
      </c>
      <c r="BU12" s="56">
        <v>12</v>
      </c>
      <c r="BV12" s="56">
        <v>25</v>
      </c>
      <c r="BW12" s="56">
        <v>5</v>
      </c>
      <c r="BX12" s="56">
        <v>0</v>
      </c>
      <c r="BY12" s="56">
        <v>4</v>
      </c>
      <c r="BZ12" s="56">
        <v>1</v>
      </c>
      <c r="CA12" s="56">
        <v>1</v>
      </c>
      <c r="CB12" s="56">
        <v>0</v>
      </c>
      <c r="CC12" s="56">
        <v>0</v>
      </c>
      <c r="CD12" s="56">
        <v>0</v>
      </c>
      <c r="CE12" s="56">
        <v>0</v>
      </c>
      <c r="CF12" s="56">
        <v>0</v>
      </c>
      <c r="CG12" s="61">
        <f t="shared" si="14"/>
        <v>48</v>
      </c>
      <c r="CH12" s="57">
        <f t="shared" si="15"/>
        <v>48</v>
      </c>
      <c r="CI12" s="26"/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2">
        <v>0</v>
      </c>
      <c r="CS12" s="32">
        <v>0</v>
      </c>
      <c r="CT12" s="32">
        <v>0</v>
      </c>
      <c r="CU12" s="69">
        <v>0</v>
      </c>
      <c r="CV12" s="38">
        <f t="shared" si="16"/>
        <v>0</v>
      </c>
      <c r="CW12" s="45">
        <v>0</v>
      </c>
      <c r="CX12" s="45">
        <v>19</v>
      </c>
      <c r="CY12" s="45">
        <v>12</v>
      </c>
      <c r="CZ12" s="45">
        <v>5</v>
      </c>
      <c r="DA12" s="45">
        <v>32</v>
      </c>
      <c r="DB12" s="45">
        <v>27</v>
      </c>
      <c r="DC12" s="45">
        <v>20</v>
      </c>
      <c r="DD12" s="45">
        <v>12</v>
      </c>
      <c r="DE12" s="45">
        <v>12</v>
      </c>
      <c r="DF12" s="45">
        <v>6</v>
      </c>
      <c r="DG12" s="45">
        <v>6</v>
      </c>
      <c r="DH12" s="45">
        <v>10</v>
      </c>
      <c r="DI12" s="38">
        <f t="shared" si="0"/>
        <v>161</v>
      </c>
      <c r="DJ12" s="36">
        <f t="shared" si="17"/>
        <v>161</v>
      </c>
      <c r="DK12" s="26"/>
      <c r="DL12" s="75">
        <v>0</v>
      </c>
      <c r="DM12" s="75">
        <v>0</v>
      </c>
      <c r="DN12" s="75">
        <v>0</v>
      </c>
      <c r="DO12" s="75">
        <v>0</v>
      </c>
      <c r="DP12" s="75">
        <v>0</v>
      </c>
      <c r="DQ12" s="75">
        <v>0</v>
      </c>
      <c r="DR12" s="75">
        <v>0</v>
      </c>
      <c r="DS12" s="75">
        <v>0</v>
      </c>
      <c r="DT12" s="75">
        <v>0</v>
      </c>
      <c r="DU12" s="75">
        <v>0</v>
      </c>
      <c r="DV12" s="75">
        <v>0</v>
      </c>
      <c r="DW12" s="83">
        <v>0</v>
      </c>
      <c r="DX12" s="38">
        <f t="shared" si="1"/>
        <v>0</v>
      </c>
      <c r="DY12" s="65">
        <v>1</v>
      </c>
      <c r="DZ12" s="65">
        <v>0</v>
      </c>
      <c r="EA12" s="65">
        <v>0</v>
      </c>
      <c r="EB12" s="65">
        <v>0</v>
      </c>
      <c r="EC12" s="65">
        <v>1</v>
      </c>
      <c r="ED12" s="65">
        <v>1</v>
      </c>
      <c r="EE12" s="65">
        <v>2</v>
      </c>
      <c r="EF12" s="65">
        <v>0</v>
      </c>
      <c r="EG12" s="65">
        <v>1</v>
      </c>
      <c r="EH12" s="65">
        <v>0</v>
      </c>
      <c r="EI12" s="65">
        <v>0</v>
      </c>
      <c r="EJ12" s="65">
        <v>0</v>
      </c>
      <c r="EK12" s="38">
        <f t="shared" si="18"/>
        <v>6</v>
      </c>
      <c r="EL12" s="36">
        <f t="shared" si="19"/>
        <v>6</v>
      </c>
      <c r="EM12" s="26"/>
      <c r="EN12" s="101">
        <v>12</v>
      </c>
      <c r="EO12" s="101">
        <v>24</v>
      </c>
      <c r="EP12" s="101">
        <v>8</v>
      </c>
      <c r="EQ12" s="101">
        <v>30</v>
      </c>
      <c r="ER12" s="101">
        <v>28</v>
      </c>
      <c r="ES12" s="101">
        <v>20</v>
      </c>
      <c r="ET12" s="101">
        <v>20</v>
      </c>
      <c r="EU12" s="101">
        <v>52</v>
      </c>
      <c r="EV12" s="101">
        <v>34</v>
      </c>
      <c r="EW12" s="101">
        <v>18</v>
      </c>
      <c r="EX12" s="101">
        <v>34</v>
      </c>
      <c r="EY12" s="101">
        <v>36</v>
      </c>
      <c r="EZ12" s="38">
        <f t="shared" si="2"/>
        <v>316</v>
      </c>
      <c r="FA12" s="26"/>
      <c r="FB12" s="54">
        <v>13</v>
      </c>
      <c r="FC12" s="54">
        <v>16</v>
      </c>
      <c r="FD12" s="54">
        <v>14</v>
      </c>
      <c r="FE12" s="54">
        <v>9</v>
      </c>
      <c r="FF12" s="54">
        <v>14</v>
      </c>
      <c r="FG12" s="54">
        <v>8</v>
      </c>
      <c r="FH12" s="54">
        <v>6</v>
      </c>
      <c r="FI12" s="54">
        <v>4</v>
      </c>
      <c r="FJ12" s="54">
        <v>21</v>
      </c>
      <c r="FK12" s="54">
        <v>10</v>
      </c>
      <c r="FL12" s="54">
        <v>5</v>
      </c>
      <c r="FM12" s="54">
        <v>11</v>
      </c>
      <c r="FN12" s="38">
        <f t="shared" si="20"/>
        <v>131</v>
      </c>
      <c r="FO12" s="26"/>
      <c r="FP12" s="54">
        <v>6</v>
      </c>
      <c r="FQ12" s="54">
        <v>7</v>
      </c>
      <c r="FR12" s="54">
        <v>8</v>
      </c>
      <c r="FS12" s="54">
        <v>4</v>
      </c>
      <c r="FT12" s="54">
        <v>6</v>
      </c>
      <c r="FU12" s="54">
        <v>4</v>
      </c>
      <c r="FV12" s="54">
        <v>5</v>
      </c>
      <c r="FW12" s="54">
        <v>1</v>
      </c>
      <c r="FX12" s="54">
        <v>7</v>
      </c>
      <c r="FY12" s="54">
        <v>4</v>
      </c>
      <c r="FZ12" s="54">
        <v>4</v>
      </c>
      <c r="GA12" s="54">
        <v>8</v>
      </c>
      <c r="GB12" s="38">
        <f t="shared" si="21"/>
        <v>64</v>
      </c>
      <c r="GC12" s="26"/>
      <c r="GD12" s="101">
        <v>2</v>
      </c>
      <c r="GE12" s="101">
        <v>7</v>
      </c>
      <c r="GF12" s="101">
        <v>3</v>
      </c>
      <c r="GG12" s="101">
        <v>3</v>
      </c>
      <c r="GH12" s="101">
        <v>0</v>
      </c>
      <c r="GI12" s="101">
        <v>1</v>
      </c>
      <c r="GJ12" s="101">
        <v>10</v>
      </c>
      <c r="GK12" s="101">
        <v>9</v>
      </c>
      <c r="GL12" s="101">
        <v>41</v>
      </c>
      <c r="GM12" s="101">
        <v>0</v>
      </c>
      <c r="GN12" s="101">
        <v>0</v>
      </c>
      <c r="GO12" s="101">
        <v>5</v>
      </c>
      <c r="GP12" s="38">
        <f t="shared" si="22"/>
        <v>81</v>
      </c>
      <c r="GQ12" s="26"/>
      <c r="GR12" s="32">
        <v>0</v>
      </c>
      <c r="GS12" s="32">
        <v>0</v>
      </c>
      <c r="GT12" s="32">
        <v>0</v>
      </c>
      <c r="GU12" s="32">
        <v>0</v>
      </c>
      <c r="GV12" s="32">
        <v>0</v>
      </c>
      <c r="GW12" s="32">
        <v>0</v>
      </c>
      <c r="GX12" s="32">
        <v>0</v>
      </c>
      <c r="GY12" s="32">
        <v>0</v>
      </c>
      <c r="GZ12" s="32">
        <v>0</v>
      </c>
      <c r="HA12" s="32">
        <v>0</v>
      </c>
      <c r="HB12" s="32">
        <v>0</v>
      </c>
      <c r="HC12" s="32">
        <v>0</v>
      </c>
      <c r="HD12" s="38">
        <f t="shared" si="23"/>
        <v>0</v>
      </c>
      <c r="HE12" s="26"/>
      <c r="HF12" s="45">
        <v>30</v>
      </c>
      <c r="HG12" s="45">
        <v>44</v>
      </c>
      <c r="HH12" s="45">
        <v>21</v>
      </c>
      <c r="HI12" s="45">
        <v>37</v>
      </c>
      <c r="HJ12" s="45">
        <v>28</v>
      </c>
      <c r="HK12" s="45">
        <v>29</v>
      </c>
      <c r="HL12" s="45">
        <v>23</v>
      </c>
      <c r="HM12" s="45">
        <v>29</v>
      </c>
      <c r="HN12" s="45">
        <v>30</v>
      </c>
      <c r="HO12" s="45">
        <v>18</v>
      </c>
      <c r="HP12" s="45">
        <v>21</v>
      </c>
      <c r="HQ12" s="45">
        <v>24</v>
      </c>
      <c r="HR12" s="38">
        <f t="shared" si="24"/>
        <v>334</v>
      </c>
      <c r="HS12" s="26"/>
      <c r="HT12" s="32">
        <v>1</v>
      </c>
      <c r="HU12" s="32">
        <v>0</v>
      </c>
      <c r="HV12" s="32">
        <v>1</v>
      </c>
      <c r="HW12" s="32">
        <v>0</v>
      </c>
      <c r="HX12" s="32">
        <v>3</v>
      </c>
      <c r="HY12" s="32">
        <v>1</v>
      </c>
      <c r="HZ12" s="32">
        <v>4</v>
      </c>
      <c r="IA12" s="32">
        <v>2</v>
      </c>
      <c r="IB12" s="32">
        <v>2</v>
      </c>
      <c r="IC12" s="32">
        <v>0</v>
      </c>
      <c r="ID12" s="32">
        <v>1</v>
      </c>
      <c r="IE12" s="32">
        <v>2</v>
      </c>
      <c r="IF12" s="38">
        <f t="shared" si="3"/>
        <v>17</v>
      </c>
      <c r="IG12" s="104">
        <v>4</v>
      </c>
      <c r="IH12" s="104">
        <v>2</v>
      </c>
      <c r="II12" s="104">
        <v>5</v>
      </c>
      <c r="IJ12" s="104">
        <v>2</v>
      </c>
      <c r="IK12" s="104">
        <v>4</v>
      </c>
      <c r="IL12" s="104">
        <v>1</v>
      </c>
      <c r="IM12" s="104">
        <v>2</v>
      </c>
      <c r="IN12" s="104">
        <v>2</v>
      </c>
      <c r="IO12" s="104">
        <v>1</v>
      </c>
      <c r="IP12" s="104">
        <v>3</v>
      </c>
      <c r="IQ12" s="104">
        <v>10</v>
      </c>
      <c r="IR12" s="104">
        <v>2</v>
      </c>
      <c r="IS12" s="38">
        <f t="shared" si="25"/>
        <v>38</v>
      </c>
      <c r="IT12" s="36">
        <f t="shared" si="26"/>
        <v>55</v>
      </c>
      <c r="IU12" s="26"/>
      <c r="IV12" s="32">
        <v>46</v>
      </c>
      <c r="IW12" s="32">
        <v>40</v>
      </c>
      <c r="IX12" s="32">
        <v>38</v>
      </c>
      <c r="IY12" s="32">
        <v>36</v>
      </c>
      <c r="IZ12" s="32">
        <v>40</v>
      </c>
      <c r="JA12" s="32">
        <v>39</v>
      </c>
      <c r="JB12" s="32">
        <v>37</v>
      </c>
      <c r="JC12" s="32">
        <v>35</v>
      </c>
      <c r="JD12" s="32">
        <v>29</v>
      </c>
      <c r="JE12" s="32">
        <v>32</v>
      </c>
      <c r="JF12" s="32">
        <v>40</v>
      </c>
      <c r="JG12" s="32">
        <v>42</v>
      </c>
      <c r="JH12" s="38">
        <f t="shared" si="27"/>
        <v>454</v>
      </c>
      <c r="JI12" s="97">
        <v>19.400000000000002</v>
      </c>
      <c r="JJ12" s="97">
        <v>26.400000000000002</v>
      </c>
      <c r="JK12" s="97">
        <v>32.200000000000003</v>
      </c>
      <c r="JL12" s="97">
        <v>29.200000000000003</v>
      </c>
      <c r="JM12" s="97">
        <v>49.6</v>
      </c>
      <c r="JN12" s="97">
        <v>46.800000000000004</v>
      </c>
      <c r="JO12" s="97">
        <v>33.800000000000004</v>
      </c>
      <c r="JP12" s="97">
        <v>29.400000000000002</v>
      </c>
      <c r="JQ12" s="97">
        <v>33.4</v>
      </c>
      <c r="JR12" s="97">
        <v>21.8</v>
      </c>
      <c r="JS12" s="97">
        <v>27.8</v>
      </c>
      <c r="JT12" s="97">
        <v>39.400000000000006</v>
      </c>
      <c r="JU12" s="112">
        <f t="shared" si="4"/>
        <v>389.20000000000005</v>
      </c>
      <c r="JV12" s="36">
        <f t="shared" si="28"/>
        <v>843.2</v>
      </c>
      <c r="JW12" s="26"/>
      <c r="JX12" s="32">
        <v>0</v>
      </c>
      <c r="JY12" s="32">
        <v>0</v>
      </c>
      <c r="JZ12" s="32">
        <v>0</v>
      </c>
      <c r="KA12" s="32">
        <v>0</v>
      </c>
      <c r="KB12" s="32">
        <v>0</v>
      </c>
      <c r="KC12" s="32">
        <v>0</v>
      </c>
      <c r="KD12" s="32">
        <v>0</v>
      </c>
      <c r="KE12" s="32">
        <v>0</v>
      </c>
      <c r="KF12" s="32">
        <v>0</v>
      </c>
      <c r="KG12" s="32">
        <v>0</v>
      </c>
      <c r="KH12" s="32">
        <v>0</v>
      </c>
      <c r="KI12" s="32">
        <v>0</v>
      </c>
      <c r="KJ12" s="38">
        <f t="shared" si="29"/>
        <v>0</v>
      </c>
      <c r="KK12" s="114">
        <v>6</v>
      </c>
      <c r="KL12" s="114">
        <v>3</v>
      </c>
      <c r="KM12" s="114">
        <v>5</v>
      </c>
      <c r="KN12" s="114">
        <v>3</v>
      </c>
      <c r="KO12" s="114">
        <v>5</v>
      </c>
      <c r="KP12" s="114">
        <v>4</v>
      </c>
      <c r="KQ12" s="114">
        <v>0</v>
      </c>
      <c r="KR12" s="114">
        <v>7</v>
      </c>
      <c r="KS12" s="114">
        <v>8</v>
      </c>
      <c r="KT12" s="114">
        <v>11</v>
      </c>
      <c r="KU12" s="114">
        <v>2</v>
      </c>
      <c r="KV12" s="114">
        <v>0</v>
      </c>
      <c r="KW12" s="38">
        <f t="shared" si="5"/>
        <v>54</v>
      </c>
      <c r="KX12" s="36">
        <f t="shared" si="30"/>
        <v>54</v>
      </c>
      <c r="KY12" s="26"/>
      <c r="KZ12" s="32">
        <v>0</v>
      </c>
      <c r="LA12" s="32">
        <v>0</v>
      </c>
      <c r="LB12" s="32">
        <v>0</v>
      </c>
      <c r="LC12" s="32">
        <v>0</v>
      </c>
      <c r="LD12" s="32">
        <v>0</v>
      </c>
      <c r="LE12" s="32">
        <v>0</v>
      </c>
      <c r="LF12" s="32">
        <v>0</v>
      </c>
      <c r="LG12" s="32">
        <v>0</v>
      </c>
      <c r="LH12" s="32">
        <v>0</v>
      </c>
      <c r="LI12" s="32">
        <v>0</v>
      </c>
      <c r="LJ12" s="32">
        <v>0</v>
      </c>
      <c r="LK12" s="32">
        <v>0</v>
      </c>
      <c r="LL12" s="38">
        <f t="shared" si="6"/>
        <v>0</v>
      </c>
      <c r="LM12" s="26"/>
      <c r="LN12" s="71">
        <v>2</v>
      </c>
      <c r="LO12" s="71">
        <v>9</v>
      </c>
      <c r="LP12" s="71">
        <v>7</v>
      </c>
      <c r="LQ12" s="71">
        <v>4</v>
      </c>
      <c r="LR12" s="71">
        <v>6</v>
      </c>
      <c r="LS12" s="71">
        <v>5</v>
      </c>
      <c r="LT12" s="71">
        <v>4</v>
      </c>
      <c r="LU12" s="45">
        <v>10</v>
      </c>
      <c r="LV12" s="45">
        <v>3</v>
      </c>
      <c r="LW12" s="45">
        <v>4</v>
      </c>
      <c r="LX12" s="45">
        <v>3</v>
      </c>
      <c r="LY12" s="45">
        <v>9</v>
      </c>
      <c r="LZ12" s="38">
        <f t="shared" si="31"/>
        <v>66</v>
      </c>
      <c r="MA12" s="26"/>
      <c r="MB12" s="45">
        <v>38</v>
      </c>
      <c r="MC12" s="45">
        <v>56</v>
      </c>
      <c r="MD12" s="45">
        <v>20</v>
      </c>
      <c r="ME12" s="45">
        <v>15</v>
      </c>
      <c r="MF12" s="45">
        <v>54</v>
      </c>
      <c r="MG12" s="45">
        <v>40</v>
      </c>
      <c r="MH12" s="45">
        <v>45</v>
      </c>
      <c r="MI12" s="45">
        <v>44</v>
      </c>
      <c r="MJ12" s="45">
        <v>53</v>
      </c>
      <c r="MK12" s="45">
        <v>43</v>
      </c>
      <c r="ML12" s="45">
        <v>65</v>
      </c>
      <c r="MM12" s="45">
        <v>28</v>
      </c>
      <c r="MN12" s="38">
        <f t="shared" si="32"/>
        <v>501</v>
      </c>
      <c r="MO12" s="32">
        <v>39</v>
      </c>
      <c r="MP12" s="32">
        <v>35</v>
      </c>
      <c r="MQ12" s="32">
        <v>43</v>
      </c>
      <c r="MR12" s="32">
        <v>35</v>
      </c>
      <c r="MS12" s="32">
        <v>88</v>
      </c>
      <c r="MT12" s="32">
        <v>102</v>
      </c>
      <c r="MU12" s="32">
        <v>65</v>
      </c>
      <c r="MV12" s="32">
        <v>69</v>
      </c>
      <c r="MW12" s="32">
        <v>50</v>
      </c>
      <c r="MX12" s="32">
        <v>69</v>
      </c>
      <c r="MY12" s="32">
        <v>111</v>
      </c>
      <c r="MZ12" s="32">
        <v>81</v>
      </c>
      <c r="NA12" s="38">
        <f t="shared" si="33"/>
        <v>787</v>
      </c>
      <c r="NB12" s="36">
        <f t="shared" si="34"/>
        <v>1288</v>
      </c>
      <c r="NC12" s="26"/>
      <c r="ND12" s="101">
        <v>0</v>
      </c>
      <c r="NE12" s="101">
        <v>0</v>
      </c>
      <c r="NF12" s="101">
        <v>0</v>
      </c>
      <c r="NG12" s="101">
        <v>0</v>
      </c>
      <c r="NH12" s="101">
        <v>4</v>
      </c>
      <c r="NI12" s="101">
        <v>3</v>
      </c>
      <c r="NJ12" s="101">
        <v>0</v>
      </c>
      <c r="NK12" s="101">
        <v>0</v>
      </c>
      <c r="NL12" s="101">
        <v>1</v>
      </c>
      <c r="NM12" s="101">
        <v>0</v>
      </c>
      <c r="NN12" s="101">
        <v>10</v>
      </c>
      <c r="NO12" s="101">
        <v>9</v>
      </c>
      <c r="NP12" s="38">
        <f t="shared" si="35"/>
        <v>27</v>
      </c>
      <c r="NQ12" s="36">
        <f t="shared" si="36"/>
        <v>78</v>
      </c>
      <c r="NR12" s="36">
        <f t="shared" si="37"/>
        <v>2281</v>
      </c>
      <c r="NS12" s="36">
        <f t="shared" si="38"/>
        <v>1176.2</v>
      </c>
      <c r="NT12" s="36">
        <f t="shared" si="39"/>
        <v>3535.2</v>
      </c>
      <c r="NU12" s="18"/>
      <c r="NV12" s="18"/>
      <c r="NW12" s="18"/>
      <c r="NX12" s="19"/>
      <c r="NY12" s="19"/>
      <c r="NZ12" s="19"/>
      <c r="OA12" s="19"/>
      <c r="OB12" s="19"/>
      <c r="OC12" s="19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8"/>
      <c r="OR12" s="18"/>
      <c r="OS12" s="18"/>
      <c r="OT12" s="18"/>
      <c r="OU12" s="18"/>
      <c r="OV12" s="18"/>
      <c r="OW12" s="18"/>
      <c r="OX12" s="19"/>
      <c r="OY12" s="19"/>
      <c r="OZ12" s="19"/>
      <c r="PA12" s="19"/>
      <c r="PB12" s="19"/>
      <c r="PC12" s="19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8"/>
      <c r="PR12" s="18"/>
      <c r="PS12" s="18"/>
      <c r="PT12" s="18"/>
      <c r="PU12" s="18"/>
      <c r="PV12" s="18"/>
      <c r="PW12" s="18"/>
      <c r="PX12" s="19"/>
      <c r="PY12" s="19"/>
      <c r="PZ12" s="19"/>
      <c r="QA12" s="19"/>
      <c r="QB12" s="19"/>
      <c r="QC12" s="19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</row>
    <row r="13" spans="1:458" s="1" customFormat="1" ht="50.1" customHeight="1" x14ac:dyDescent="0.25">
      <c r="A13" s="120"/>
      <c r="B13" s="6" t="s">
        <v>20</v>
      </c>
      <c r="C13" s="23"/>
      <c r="D13" s="41">
        <f>SUM(D10:D12)</f>
        <v>3025</v>
      </c>
      <c r="E13" s="41">
        <f t="shared" ref="E13:O13" si="40">SUM(E10:E12)</f>
        <v>3097</v>
      </c>
      <c r="F13" s="41">
        <f t="shared" si="40"/>
        <v>2539.2222222222222</v>
      </c>
      <c r="G13" s="41">
        <f t="shared" si="40"/>
        <v>1420</v>
      </c>
      <c r="H13" s="41">
        <f t="shared" si="40"/>
        <v>1792</v>
      </c>
      <c r="I13" s="41">
        <f t="shared" si="40"/>
        <v>2477</v>
      </c>
      <c r="J13" s="41">
        <f t="shared" si="40"/>
        <v>1549</v>
      </c>
      <c r="K13" s="41">
        <f t="shared" si="40"/>
        <v>1341</v>
      </c>
      <c r="L13" s="41">
        <f t="shared" si="40"/>
        <v>2083</v>
      </c>
      <c r="M13" s="41">
        <f t="shared" si="40"/>
        <v>1755</v>
      </c>
      <c r="N13" s="41">
        <f t="shared" si="40"/>
        <v>1414</v>
      </c>
      <c r="O13" s="41">
        <f t="shared" si="40"/>
        <v>1829</v>
      </c>
      <c r="P13" s="38">
        <f>SUM(D13:O13)</f>
        <v>24321.222222222223</v>
      </c>
      <c r="Q13" s="45">
        <f>SUM(Q10:Q12)</f>
        <v>0</v>
      </c>
      <c r="R13" s="45">
        <f t="shared" ref="R13:AB13" si="41">SUM(R10:R12)</f>
        <v>0</v>
      </c>
      <c r="S13" s="45">
        <f t="shared" si="41"/>
        <v>0</v>
      </c>
      <c r="T13" s="45">
        <f t="shared" si="41"/>
        <v>0</v>
      </c>
      <c r="U13" s="45">
        <f t="shared" si="41"/>
        <v>0</v>
      </c>
      <c r="V13" s="45">
        <f t="shared" si="41"/>
        <v>0</v>
      </c>
      <c r="W13" s="45">
        <f t="shared" si="41"/>
        <v>0</v>
      </c>
      <c r="X13" s="45">
        <f t="shared" si="41"/>
        <v>0</v>
      </c>
      <c r="Y13" s="45">
        <f t="shared" si="41"/>
        <v>0</v>
      </c>
      <c r="Z13" s="45">
        <f t="shared" si="41"/>
        <v>0</v>
      </c>
      <c r="AA13" s="45">
        <f t="shared" si="41"/>
        <v>0</v>
      </c>
      <c r="AB13" s="45">
        <f t="shared" si="41"/>
        <v>0</v>
      </c>
      <c r="AC13" s="38">
        <f t="shared" si="8"/>
        <v>0</v>
      </c>
      <c r="AD13" s="36">
        <f t="shared" si="9"/>
        <v>24321.222222222223</v>
      </c>
      <c r="AE13" s="26"/>
      <c r="AF13" s="32">
        <f>SUM(AF10:AF12)</f>
        <v>87</v>
      </c>
      <c r="AG13" s="32">
        <f t="shared" ref="AG13:AQ13" si="42">SUM(AG10:AG12)</f>
        <v>80</v>
      </c>
      <c r="AH13" s="32">
        <f t="shared" si="42"/>
        <v>102</v>
      </c>
      <c r="AI13" s="32">
        <f t="shared" si="42"/>
        <v>126</v>
      </c>
      <c r="AJ13" s="32">
        <f t="shared" si="42"/>
        <v>106</v>
      </c>
      <c r="AK13" s="32">
        <f t="shared" si="42"/>
        <v>134</v>
      </c>
      <c r="AL13" s="32">
        <f t="shared" si="42"/>
        <v>120</v>
      </c>
      <c r="AM13" s="32">
        <f t="shared" si="42"/>
        <v>95</v>
      </c>
      <c r="AN13" s="32">
        <f t="shared" si="42"/>
        <v>101</v>
      </c>
      <c r="AO13" s="32">
        <f t="shared" si="42"/>
        <v>92</v>
      </c>
      <c r="AP13" s="32">
        <f t="shared" si="42"/>
        <v>67</v>
      </c>
      <c r="AQ13" s="32">
        <f t="shared" si="42"/>
        <v>112</v>
      </c>
      <c r="AR13" s="38">
        <f t="shared" si="10"/>
        <v>1222</v>
      </c>
      <c r="AS13" s="32">
        <f>SUM(AS10:AS12)</f>
        <v>0</v>
      </c>
      <c r="AT13" s="32">
        <f t="shared" ref="AT13:BC13" si="43">SUM(AT10:AT12)</f>
        <v>0</v>
      </c>
      <c r="AU13" s="32">
        <f t="shared" si="43"/>
        <v>0</v>
      </c>
      <c r="AV13" s="32">
        <f t="shared" si="43"/>
        <v>0</v>
      </c>
      <c r="AW13" s="32">
        <f t="shared" si="43"/>
        <v>0</v>
      </c>
      <c r="AX13" s="32">
        <f t="shared" si="43"/>
        <v>0</v>
      </c>
      <c r="AY13" s="32">
        <f t="shared" si="43"/>
        <v>0</v>
      </c>
      <c r="AZ13" s="32">
        <f t="shared" si="43"/>
        <v>0</v>
      </c>
      <c r="BA13" s="32">
        <f t="shared" si="43"/>
        <v>0</v>
      </c>
      <c r="BB13" s="32">
        <f t="shared" si="43"/>
        <v>0</v>
      </c>
      <c r="BC13" s="32">
        <f t="shared" si="43"/>
        <v>0</v>
      </c>
      <c r="BD13" s="32">
        <f>SUM(BD10:BD12)</f>
        <v>0</v>
      </c>
      <c r="BE13" s="38">
        <f t="shared" si="11"/>
        <v>0</v>
      </c>
      <c r="BF13" s="36">
        <f t="shared" si="12"/>
        <v>1222</v>
      </c>
      <c r="BG13" s="26"/>
      <c r="BH13" s="41">
        <f>SUM(BH10:BH12)</f>
        <v>0</v>
      </c>
      <c r="BI13" s="41">
        <f t="shared" ref="BI13:BR13" si="44">SUM(BI10:BI12)</f>
        <v>0</v>
      </c>
      <c r="BJ13" s="41">
        <f t="shared" si="44"/>
        <v>0</v>
      </c>
      <c r="BK13" s="41">
        <f t="shared" si="44"/>
        <v>0</v>
      </c>
      <c r="BL13" s="41">
        <f t="shared" si="44"/>
        <v>0</v>
      </c>
      <c r="BM13" s="41">
        <f t="shared" si="44"/>
        <v>0</v>
      </c>
      <c r="BN13" s="41">
        <f t="shared" si="44"/>
        <v>0</v>
      </c>
      <c r="BO13" s="41">
        <f t="shared" si="44"/>
        <v>0</v>
      </c>
      <c r="BP13" s="41">
        <f t="shared" si="44"/>
        <v>0</v>
      </c>
      <c r="BQ13" s="41">
        <f t="shared" si="44"/>
        <v>0</v>
      </c>
      <c r="BR13" s="41">
        <f t="shared" si="44"/>
        <v>0</v>
      </c>
      <c r="BS13" s="41">
        <f>SUM(BS10:BS12)</f>
        <v>0</v>
      </c>
      <c r="BT13" s="38">
        <f t="shared" si="13"/>
        <v>0</v>
      </c>
      <c r="BU13" s="58">
        <f>SUM(BU10:BU12)</f>
        <v>158</v>
      </c>
      <c r="BV13" s="58">
        <f t="shared" ref="BV13:CF13" si="45">SUM(BV10:BV12)</f>
        <v>211</v>
      </c>
      <c r="BW13" s="58">
        <f t="shared" si="45"/>
        <v>262</v>
      </c>
      <c r="BX13" s="58">
        <f t="shared" si="45"/>
        <v>227</v>
      </c>
      <c r="BY13" s="58">
        <f t="shared" si="45"/>
        <v>186</v>
      </c>
      <c r="BZ13" s="58">
        <f t="shared" si="45"/>
        <v>129</v>
      </c>
      <c r="CA13" s="58">
        <f t="shared" si="45"/>
        <v>144</v>
      </c>
      <c r="CB13" s="58">
        <f t="shared" si="45"/>
        <v>175</v>
      </c>
      <c r="CC13" s="58">
        <f t="shared" si="45"/>
        <v>209</v>
      </c>
      <c r="CD13" s="58">
        <f t="shared" si="45"/>
        <v>252</v>
      </c>
      <c r="CE13" s="58">
        <f t="shared" si="45"/>
        <v>192</v>
      </c>
      <c r="CF13" s="58">
        <f t="shared" si="45"/>
        <v>108</v>
      </c>
      <c r="CG13" s="61">
        <f t="shared" si="14"/>
        <v>2253</v>
      </c>
      <c r="CH13" s="57">
        <f t="shared" si="15"/>
        <v>2253</v>
      </c>
      <c r="CI13" s="26"/>
      <c r="CJ13" s="32">
        <f>SUM(CJ10:CJ12)</f>
        <v>0</v>
      </c>
      <c r="CK13" s="32">
        <f t="shared" ref="CK13:CT13" si="46">SUM(CK10:CK12)</f>
        <v>0</v>
      </c>
      <c r="CL13" s="32">
        <f t="shared" si="46"/>
        <v>0</v>
      </c>
      <c r="CM13" s="32">
        <f t="shared" si="46"/>
        <v>0</v>
      </c>
      <c r="CN13" s="32">
        <f t="shared" si="46"/>
        <v>0</v>
      </c>
      <c r="CO13" s="32">
        <f t="shared" si="46"/>
        <v>0</v>
      </c>
      <c r="CP13" s="32">
        <f t="shared" si="46"/>
        <v>0</v>
      </c>
      <c r="CQ13" s="32">
        <f t="shared" si="46"/>
        <v>0</v>
      </c>
      <c r="CR13" s="32">
        <f t="shared" si="46"/>
        <v>0</v>
      </c>
      <c r="CS13" s="32">
        <f t="shared" si="46"/>
        <v>0</v>
      </c>
      <c r="CT13" s="32">
        <f t="shared" si="46"/>
        <v>0</v>
      </c>
      <c r="CU13" s="69">
        <f>SUM(CU10:CU12)</f>
        <v>0</v>
      </c>
      <c r="CV13" s="38">
        <f t="shared" si="16"/>
        <v>0</v>
      </c>
      <c r="CW13" s="32">
        <f t="shared" ref="CW13:DH13" si="47">SUM(CW10:CW12)</f>
        <v>826</v>
      </c>
      <c r="CX13" s="32">
        <f t="shared" si="47"/>
        <v>722</v>
      </c>
      <c r="CY13" s="32">
        <f t="shared" si="47"/>
        <v>951</v>
      </c>
      <c r="CZ13" s="32">
        <f t="shared" si="47"/>
        <v>539</v>
      </c>
      <c r="DA13" s="32">
        <f t="shared" si="47"/>
        <v>765</v>
      </c>
      <c r="DB13" s="32">
        <f t="shared" si="47"/>
        <v>795</v>
      </c>
      <c r="DC13" s="32">
        <f t="shared" si="47"/>
        <v>897</v>
      </c>
      <c r="DD13" s="32">
        <f t="shared" si="47"/>
        <v>1084</v>
      </c>
      <c r="DE13" s="32">
        <f t="shared" si="47"/>
        <v>809</v>
      </c>
      <c r="DF13" s="32">
        <f t="shared" si="47"/>
        <v>883</v>
      </c>
      <c r="DG13" s="32">
        <f t="shared" si="47"/>
        <v>682</v>
      </c>
      <c r="DH13" s="32">
        <f t="shared" si="47"/>
        <v>737</v>
      </c>
      <c r="DI13" s="38">
        <f t="shared" si="0"/>
        <v>9690</v>
      </c>
      <c r="DJ13" s="36">
        <f t="shared" si="17"/>
        <v>9690</v>
      </c>
      <c r="DK13" s="26"/>
      <c r="DL13" s="32">
        <f>SUM(DL10:DL12)</f>
        <v>23</v>
      </c>
      <c r="DM13" s="32">
        <f t="shared" ref="DM13:DW13" si="48">SUM(DM10:DM12)</f>
        <v>34</v>
      </c>
      <c r="DN13" s="32">
        <f t="shared" si="48"/>
        <v>22</v>
      </c>
      <c r="DO13" s="32">
        <f t="shared" si="48"/>
        <v>16</v>
      </c>
      <c r="DP13" s="32">
        <f t="shared" si="48"/>
        <v>26</v>
      </c>
      <c r="DQ13" s="32">
        <f t="shared" si="48"/>
        <v>35</v>
      </c>
      <c r="DR13" s="32">
        <f t="shared" si="48"/>
        <v>11</v>
      </c>
      <c r="DS13" s="32">
        <f t="shared" si="48"/>
        <v>13</v>
      </c>
      <c r="DT13" s="32">
        <f t="shared" si="48"/>
        <v>19</v>
      </c>
      <c r="DU13" s="32">
        <f t="shared" si="48"/>
        <v>12</v>
      </c>
      <c r="DV13" s="32">
        <f t="shared" si="48"/>
        <v>13</v>
      </c>
      <c r="DW13" s="69">
        <f t="shared" si="48"/>
        <v>16</v>
      </c>
      <c r="DX13" s="38">
        <f t="shared" si="1"/>
        <v>240</v>
      </c>
      <c r="DY13" s="63">
        <f>SUM(DY10:DY12)</f>
        <v>910</v>
      </c>
      <c r="DZ13" s="63">
        <f t="shared" ref="DZ13:EJ13" si="49">SUM(DZ10:DZ12)</f>
        <v>253</v>
      </c>
      <c r="EA13" s="63">
        <f t="shared" si="49"/>
        <v>326</v>
      </c>
      <c r="EB13" s="63">
        <f t="shared" si="49"/>
        <v>200</v>
      </c>
      <c r="EC13" s="63">
        <f t="shared" si="49"/>
        <v>203</v>
      </c>
      <c r="ED13" s="63">
        <f t="shared" si="49"/>
        <v>285</v>
      </c>
      <c r="EE13" s="63">
        <f t="shared" si="49"/>
        <v>253</v>
      </c>
      <c r="EF13" s="63">
        <f t="shared" si="49"/>
        <v>210</v>
      </c>
      <c r="EG13" s="63">
        <f t="shared" si="49"/>
        <v>161</v>
      </c>
      <c r="EH13" s="63">
        <f t="shared" si="49"/>
        <v>91</v>
      </c>
      <c r="EI13" s="63">
        <f t="shared" si="49"/>
        <v>161</v>
      </c>
      <c r="EJ13" s="63">
        <f t="shared" si="49"/>
        <v>190</v>
      </c>
      <c r="EK13" s="38">
        <f t="shared" si="18"/>
        <v>3243</v>
      </c>
      <c r="EL13" s="36">
        <f t="shared" si="19"/>
        <v>3483</v>
      </c>
      <c r="EM13" s="26"/>
      <c r="EN13" s="101">
        <f>SUM(EN10:EN12)</f>
        <v>1084</v>
      </c>
      <c r="EO13" s="101">
        <f t="shared" ref="EO13:EY13" si="50">SUM(EO10:EO12)</f>
        <v>1036</v>
      </c>
      <c r="EP13" s="101">
        <f t="shared" si="50"/>
        <v>1170</v>
      </c>
      <c r="EQ13" s="101">
        <f t="shared" si="50"/>
        <v>954</v>
      </c>
      <c r="ER13" s="101">
        <f t="shared" si="50"/>
        <v>914</v>
      </c>
      <c r="ES13" s="101">
        <f t="shared" si="50"/>
        <v>916</v>
      </c>
      <c r="ET13" s="101">
        <f t="shared" si="50"/>
        <v>960</v>
      </c>
      <c r="EU13" s="101">
        <f t="shared" si="50"/>
        <v>1008</v>
      </c>
      <c r="EV13" s="101">
        <f t="shared" si="50"/>
        <v>1222</v>
      </c>
      <c r="EW13" s="101">
        <f t="shared" si="50"/>
        <v>1412</v>
      </c>
      <c r="EX13" s="101">
        <f t="shared" si="50"/>
        <v>1276</v>
      </c>
      <c r="EY13" s="101">
        <f t="shared" si="50"/>
        <v>1244</v>
      </c>
      <c r="EZ13" s="38">
        <f t="shared" si="2"/>
        <v>13196</v>
      </c>
      <c r="FA13" s="26"/>
      <c r="FB13" s="54">
        <f>SUM(FB10:FB12)</f>
        <v>639</v>
      </c>
      <c r="FC13" s="54">
        <f t="shared" ref="FC13:FM13" si="51">SUM(FC10:FC12)</f>
        <v>646</v>
      </c>
      <c r="FD13" s="54">
        <f t="shared" si="51"/>
        <v>655</v>
      </c>
      <c r="FE13" s="54">
        <f t="shared" si="51"/>
        <v>607</v>
      </c>
      <c r="FF13" s="54">
        <f t="shared" si="51"/>
        <v>496</v>
      </c>
      <c r="FG13" s="54">
        <f t="shared" si="51"/>
        <v>650</v>
      </c>
      <c r="FH13" s="54">
        <f t="shared" si="51"/>
        <v>475</v>
      </c>
      <c r="FI13" s="54">
        <f t="shared" si="51"/>
        <v>702</v>
      </c>
      <c r="FJ13" s="54">
        <f t="shared" si="51"/>
        <v>573</v>
      </c>
      <c r="FK13" s="54">
        <f t="shared" si="51"/>
        <v>604</v>
      </c>
      <c r="FL13" s="54">
        <f t="shared" si="51"/>
        <v>532</v>
      </c>
      <c r="FM13" s="54">
        <f t="shared" si="51"/>
        <v>569</v>
      </c>
      <c r="FN13" s="38">
        <f t="shared" si="20"/>
        <v>7148</v>
      </c>
      <c r="FO13" s="26"/>
      <c r="FP13" s="32">
        <f>SUM(FP10:FP12)</f>
        <v>305</v>
      </c>
      <c r="FQ13" s="32">
        <f t="shared" ref="FQ13:GA13" si="52">SUM(FQ10:FQ12)</f>
        <v>299</v>
      </c>
      <c r="FR13" s="32">
        <f t="shared" si="52"/>
        <v>228</v>
      </c>
      <c r="FS13" s="32">
        <f t="shared" si="52"/>
        <v>135</v>
      </c>
      <c r="FT13" s="32">
        <f t="shared" si="52"/>
        <v>271</v>
      </c>
      <c r="FU13" s="32">
        <f t="shared" si="52"/>
        <v>363</v>
      </c>
      <c r="FV13" s="32">
        <f t="shared" si="52"/>
        <v>335</v>
      </c>
      <c r="FW13" s="32">
        <f t="shared" si="52"/>
        <v>321</v>
      </c>
      <c r="FX13" s="32">
        <f t="shared" si="52"/>
        <v>277</v>
      </c>
      <c r="FY13" s="32">
        <f t="shared" si="52"/>
        <v>304</v>
      </c>
      <c r="FZ13" s="32">
        <f t="shared" si="52"/>
        <v>273</v>
      </c>
      <c r="GA13" s="32">
        <f t="shared" si="52"/>
        <v>292</v>
      </c>
      <c r="GB13" s="38">
        <f t="shared" si="21"/>
        <v>3403</v>
      </c>
      <c r="GC13" s="26"/>
      <c r="GD13" s="101">
        <f>SUM(GD10:GD12)</f>
        <v>212</v>
      </c>
      <c r="GE13" s="101">
        <f t="shared" ref="GE13:GO13" si="53">SUM(GE10:GE12)</f>
        <v>230</v>
      </c>
      <c r="GF13" s="101">
        <f t="shared" si="53"/>
        <v>191</v>
      </c>
      <c r="GG13" s="101">
        <f t="shared" si="53"/>
        <v>58</v>
      </c>
      <c r="GH13" s="101">
        <f t="shared" si="53"/>
        <v>131</v>
      </c>
      <c r="GI13" s="101">
        <f t="shared" si="53"/>
        <v>129</v>
      </c>
      <c r="GJ13" s="101">
        <f t="shared" si="53"/>
        <v>167</v>
      </c>
      <c r="GK13" s="101">
        <f t="shared" si="53"/>
        <v>477</v>
      </c>
      <c r="GL13" s="101">
        <f t="shared" si="53"/>
        <v>352</v>
      </c>
      <c r="GM13" s="101">
        <f t="shared" si="53"/>
        <v>131</v>
      </c>
      <c r="GN13" s="101">
        <f t="shared" si="53"/>
        <v>76</v>
      </c>
      <c r="GO13" s="101">
        <f t="shared" si="53"/>
        <v>127</v>
      </c>
      <c r="GP13" s="38">
        <f t="shared" si="22"/>
        <v>2281</v>
      </c>
      <c r="GQ13" s="26"/>
      <c r="GR13" s="32">
        <f>SUM(GR10:GR12)</f>
        <v>12</v>
      </c>
      <c r="GS13" s="32">
        <f t="shared" ref="GS13:HC13" si="54">SUM(GS10:GS12)</f>
        <v>17</v>
      </c>
      <c r="GT13" s="32">
        <f t="shared" si="54"/>
        <v>13</v>
      </c>
      <c r="GU13" s="32">
        <f t="shared" si="54"/>
        <v>15</v>
      </c>
      <c r="GV13" s="32">
        <f t="shared" si="54"/>
        <v>27</v>
      </c>
      <c r="GW13" s="32">
        <f t="shared" si="54"/>
        <v>13</v>
      </c>
      <c r="GX13" s="32">
        <f t="shared" si="54"/>
        <v>16</v>
      </c>
      <c r="GY13" s="32">
        <f t="shared" si="54"/>
        <v>14</v>
      </c>
      <c r="GZ13" s="32">
        <f t="shared" si="54"/>
        <v>7</v>
      </c>
      <c r="HA13" s="32">
        <f t="shared" si="54"/>
        <v>8</v>
      </c>
      <c r="HB13" s="32">
        <f t="shared" si="54"/>
        <v>19</v>
      </c>
      <c r="HC13" s="32">
        <f t="shared" si="54"/>
        <v>6</v>
      </c>
      <c r="HD13" s="38">
        <f t="shared" si="23"/>
        <v>167</v>
      </c>
      <c r="HE13" s="26"/>
      <c r="HF13" s="45">
        <f>SUM(HF10:HF12)</f>
        <v>786</v>
      </c>
      <c r="HG13" s="45">
        <f t="shared" ref="HG13:HQ13" si="55">SUM(HG10:HG12)</f>
        <v>931</v>
      </c>
      <c r="HH13" s="45">
        <f t="shared" si="55"/>
        <v>889</v>
      </c>
      <c r="HI13" s="45">
        <f t="shared" si="55"/>
        <v>857</v>
      </c>
      <c r="HJ13" s="45">
        <f t="shared" si="55"/>
        <v>846</v>
      </c>
      <c r="HK13" s="45">
        <f t="shared" si="55"/>
        <v>926</v>
      </c>
      <c r="HL13" s="45">
        <f t="shared" si="55"/>
        <v>794</v>
      </c>
      <c r="HM13" s="45">
        <f t="shared" si="55"/>
        <v>807</v>
      </c>
      <c r="HN13" s="45">
        <f t="shared" si="55"/>
        <v>827</v>
      </c>
      <c r="HO13" s="45">
        <f t="shared" si="55"/>
        <v>710</v>
      </c>
      <c r="HP13" s="45">
        <f t="shared" si="55"/>
        <v>611</v>
      </c>
      <c r="HQ13" s="45">
        <f t="shared" si="55"/>
        <v>563</v>
      </c>
      <c r="HR13" s="38">
        <f t="shared" si="24"/>
        <v>9547</v>
      </c>
      <c r="HS13" s="26"/>
      <c r="HT13" s="32">
        <f>SUM(HT10:HT12)</f>
        <v>203</v>
      </c>
      <c r="HU13" s="32">
        <f t="shared" ref="HU13:IE13" si="56">SUM(HU10:HU12)</f>
        <v>234</v>
      </c>
      <c r="HV13" s="32">
        <f t="shared" si="56"/>
        <v>316</v>
      </c>
      <c r="HW13" s="32">
        <f t="shared" si="56"/>
        <v>328</v>
      </c>
      <c r="HX13" s="32">
        <f t="shared" si="56"/>
        <v>233</v>
      </c>
      <c r="HY13" s="32">
        <f t="shared" si="56"/>
        <v>278</v>
      </c>
      <c r="HZ13" s="32">
        <f t="shared" si="56"/>
        <v>318</v>
      </c>
      <c r="IA13" s="32">
        <f t="shared" si="56"/>
        <v>369</v>
      </c>
      <c r="IB13" s="32">
        <f t="shared" si="56"/>
        <v>301</v>
      </c>
      <c r="IC13" s="32">
        <f t="shared" si="56"/>
        <v>303</v>
      </c>
      <c r="ID13" s="32">
        <f t="shared" si="56"/>
        <v>264</v>
      </c>
      <c r="IE13" s="32">
        <f t="shared" si="56"/>
        <v>201</v>
      </c>
      <c r="IF13" s="38">
        <f t="shared" si="3"/>
        <v>3348</v>
      </c>
      <c r="IG13" s="104">
        <f>SUM(IG10:IG12)</f>
        <v>171</v>
      </c>
      <c r="IH13" s="104">
        <f t="shared" ref="IH13:IR13" si="57">SUM(IH10:IH12)</f>
        <v>116</v>
      </c>
      <c r="II13" s="104">
        <f t="shared" si="57"/>
        <v>122</v>
      </c>
      <c r="IJ13" s="104">
        <f t="shared" si="57"/>
        <v>105</v>
      </c>
      <c r="IK13" s="104">
        <f t="shared" si="57"/>
        <v>140</v>
      </c>
      <c r="IL13" s="104">
        <f t="shared" si="57"/>
        <v>197</v>
      </c>
      <c r="IM13" s="104">
        <f t="shared" si="57"/>
        <v>165</v>
      </c>
      <c r="IN13" s="104">
        <f t="shared" si="57"/>
        <v>102</v>
      </c>
      <c r="IO13" s="104">
        <f t="shared" si="57"/>
        <v>121</v>
      </c>
      <c r="IP13" s="104">
        <f t="shared" si="57"/>
        <v>185</v>
      </c>
      <c r="IQ13" s="104">
        <f t="shared" si="57"/>
        <v>163</v>
      </c>
      <c r="IR13" s="104">
        <f t="shared" si="57"/>
        <v>136</v>
      </c>
      <c r="IS13" s="38">
        <f t="shared" si="25"/>
        <v>1723</v>
      </c>
      <c r="IT13" s="36">
        <f t="shared" si="26"/>
        <v>5071</v>
      </c>
      <c r="IU13" s="26"/>
      <c r="IV13" s="32">
        <f>SUM(IV10:IV12)</f>
        <v>313</v>
      </c>
      <c r="IW13" s="32">
        <f t="shared" ref="IW13:JG13" si="58">SUM(IW10:IW12)</f>
        <v>306</v>
      </c>
      <c r="IX13" s="32">
        <f t="shared" si="58"/>
        <v>279</v>
      </c>
      <c r="IY13" s="32">
        <f t="shared" si="58"/>
        <v>269</v>
      </c>
      <c r="IZ13" s="32">
        <f t="shared" si="58"/>
        <v>264</v>
      </c>
      <c r="JA13" s="32">
        <f t="shared" si="58"/>
        <v>283</v>
      </c>
      <c r="JB13" s="32">
        <f t="shared" si="58"/>
        <v>282</v>
      </c>
      <c r="JC13" s="32">
        <f t="shared" si="58"/>
        <v>283</v>
      </c>
      <c r="JD13" s="32">
        <f t="shared" si="58"/>
        <v>288</v>
      </c>
      <c r="JE13" s="32">
        <f t="shared" si="58"/>
        <v>260</v>
      </c>
      <c r="JF13" s="32">
        <f t="shared" si="58"/>
        <v>281</v>
      </c>
      <c r="JG13" s="32">
        <f t="shared" si="58"/>
        <v>304</v>
      </c>
      <c r="JH13" s="38">
        <f t="shared" si="27"/>
        <v>3412</v>
      </c>
      <c r="JI13" s="32">
        <f>SUM(JI10:JI12)</f>
        <v>1165.4000000000001</v>
      </c>
      <c r="JJ13" s="32">
        <f t="shared" ref="JJ13:JT13" si="59">SUM(JJ10:JJ12)</f>
        <v>1190.4000000000001</v>
      </c>
      <c r="JK13" s="32">
        <f t="shared" si="59"/>
        <v>1220.4000000000001</v>
      </c>
      <c r="JL13" s="32">
        <f t="shared" si="59"/>
        <v>1029</v>
      </c>
      <c r="JM13" s="32">
        <f t="shared" si="59"/>
        <v>1067.5999999999999</v>
      </c>
      <c r="JN13" s="32">
        <f t="shared" si="59"/>
        <v>977.8</v>
      </c>
      <c r="JO13" s="32">
        <f t="shared" si="59"/>
        <v>972</v>
      </c>
      <c r="JP13" s="32">
        <f t="shared" si="59"/>
        <v>1219.6000000000001</v>
      </c>
      <c r="JQ13" s="32">
        <f t="shared" si="59"/>
        <v>1104.2000000000003</v>
      </c>
      <c r="JR13" s="32">
        <f t="shared" si="59"/>
        <v>1289</v>
      </c>
      <c r="JS13" s="32">
        <f t="shared" si="59"/>
        <v>981.6</v>
      </c>
      <c r="JT13" s="32">
        <f t="shared" si="59"/>
        <v>1171.8000000000002</v>
      </c>
      <c r="JU13" s="112">
        <f t="shared" si="4"/>
        <v>13388.800000000003</v>
      </c>
      <c r="JV13" s="36">
        <f t="shared" si="28"/>
        <v>16800.800000000003</v>
      </c>
      <c r="JW13" s="26"/>
      <c r="JX13" s="32">
        <f>SUM(JX10:JX12)</f>
        <v>0</v>
      </c>
      <c r="JY13" s="32">
        <f t="shared" ref="JY13:KI13" si="60">SUM(JY10:JY12)</f>
        <v>0</v>
      </c>
      <c r="JZ13" s="32">
        <f t="shared" si="60"/>
        <v>0</v>
      </c>
      <c r="KA13" s="32">
        <f t="shared" si="60"/>
        <v>0</v>
      </c>
      <c r="KB13" s="32">
        <f t="shared" si="60"/>
        <v>0</v>
      </c>
      <c r="KC13" s="32">
        <f t="shared" si="60"/>
        <v>0</v>
      </c>
      <c r="KD13" s="32">
        <f t="shared" si="60"/>
        <v>0</v>
      </c>
      <c r="KE13" s="32">
        <f t="shared" si="60"/>
        <v>0</v>
      </c>
      <c r="KF13" s="32">
        <f t="shared" si="60"/>
        <v>0</v>
      </c>
      <c r="KG13" s="32">
        <f t="shared" si="60"/>
        <v>0</v>
      </c>
      <c r="KH13" s="32">
        <f t="shared" si="60"/>
        <v>0</v>
      </c>
      <c r="KI13" s="32">
        <f t="shared" si="60"/>
        <v>0</v>
      </c>
      <c r="KJ13" s="38">
        <f t="shared" si="29"/>
        <v>0</v>
      </c>
      <c r="KK13" s="32">
        <f>SUM(KK10:KK12)</f>
        <v>756</v>
      </c>
      <c r="KL13" s="32">
        <f t="shared" ref="KL13:KV13" si="61">SUM(KL10:KL12)</f>
        <v>808</v>
      </c>
      <c r="KM13" s="32">
        <f t="shared" si="61"/>
        <v>833</v>
      </c>
      <c r="KN13" s="32">
        <f t="shared" si="61"/>
        <v>699</v>
      </c>
      <c r="KO13" s="32">
        <f t="shared" si="61"/>
        <v>579</v>
      </c>
      <c r="KP13" s="32">
        <f t="shared" si="61"/>
        <v>632</v>
      </c>
      <c r="KQ13" s="32">
        <f t="shared" si="61"/>
        <v>569</v>
      </c>
      <c r="KR13" s="32">
        <f t="shared" si="61"/>
        <v>652</v>
      </c>
      <c r="KS13" s="32">
        <f t="shared" si="61"/>
        <v>728</v>
      </c>
      <c r="KT13" s="32">
        <f t="shared" si="61"/>
        <v>579</v>
      </c>
      <c r="KU13" s="32">
        <f t="shared" si="61"/>
        <v>538</v>
      </c>
      <c r="KV13" s="32">
        <f t="shared" si="61"/>
        <v>536</v>
      </c>
      <c r="KW13" s="38">
        <f t="shared" si="5"/>
        <v>7909</v>
      </c>
      <c r="KX13" s="36">
        <f t="shared" si="30"/>
        <v>7909</v>
      </c>
      <c r="KY13" s="26"/>
      <c r="KZ13" s="101">
        <f>SUM(KZ10:KZ12)</f>
        <v>0</v>
      </c>
      <c r="LA13" s="101">
        <f t="shared" ref="LA13:LK13" si="62">SUM(LA10:LA12)</f>
        <v>0</v>
      </c>
      <c r="LB13" s="101">
        <f t="shared" si="62"/>
        <v>0</v>
      </c>
      <c r="LC13" s="101">
        <f t="shared" si="62"/>
        <v>0</v>
      </c>
      <c r="LD13" s="101">
        <f t="shared" si="62"/>
        <v>0</v>
      </c>
      <c r="LE13" s="101">
        <f t="shared" si="62"/>
        <v>0</v>
      </c>
      <c r="LF13" s="101">
        <f t="shared" si="62"/>
        <v>0</v>
      </c>
      <c r="LG13" s="101">
        <f t="shared" si="62"/>
        <v>0</v>
      </c>
      <c r="LH13" s="101">
        <f t="shared" si="62"/>
        <v>0</v>
      </c>
      <c r="LI13" s="101">
        <f t="shared" si="62"/>
        <v>0</v>
      </c>
      <c r="LJ13" s="101">
        <f t="shared" si="62"/>
        <v>0</v>
      </c>
      <c r="LK13" s="101">
        <f t="shared" si="62"/>
        <v>0</v>
      </c>
      <c r="LL13" s="38">
        <f t="shared" si="6"/>
        <v>0</v>
      </c>
      <c r="LM13" s="26"/>
      <c r="LN13" s="71">
        <f>SUM(LN10:LN12)</f>
        <v>1056</v>
      </c>
      <c r="LO13" s="71">
        <f t="shared" ref="LO13:LY13" si="63">SUM(LO10:LO12)</f>
        <v>1106</v>
      </c>
      <c r="LP13" s="71">
        <f t="shared" si="63"/>
        <v>722</v>
      </c>
      <c r="LQ13" s="71">
        <f t="shared" si="63"/>
        <v>843</v>
      </c>
      <c r="LR13" s="71">
        <f t="shared" si="63"/>
        <v>780</v>
      </c>
      <c r="LS13" s="71">
        <f t="shared" si="63"/>
        <v>910</v>
      </c>
      <c r="LT13" s="71">
        <f t="shared" si="63"/>
        <v>984</v>
      </c>
      <c r="LU13" s="71">
        <f t="shared" si="63"/>
        <v>982</v>
      </c>
      <c r="LV13" s="71">
        <f t="shared" si="63"/>
        <v>946</v>
      </c>
      <c r="LW13" s="71">
        <f t="shared" si="63"/>
        <v>985</v>
      </c>
      <c r="LX13" s="71">
        <f t="shared" si="63"/>
        <v>981</v>
      </c>
      <c r="LY13" s="71">
        <f t="shared" si="63"/>
        <v>990</v>
      </c>
      <c r="LZ13" s="38">
        <f t="shared" si="31"/>
        <v>11285</v>
      </c>
      <c r="MA13" s="26"/>
      <c r="MB13" s="45">
        <f>SUM(MB10:MB12)</f>
        <v>1359</v>
      </c>
      <c r="MC13" s="45">
        <f t="shared" ref="MC13:MM13" si="64">SUM(MC10:MC12)</f>
        <v>1562</v>
      </c>
      <c r="MD13" s="45">
        <f t="shared" si="64"/>
        <v>1192</v>
      </c>
      <c r="ME13" s="45">
        <f t="shared" si="64"/>
        <v>1436</v>
      </c>
      <c r="MF13" s="45">
        <f t="shared" si="64"/>
        <v>1218</v>
      </c>
      <c r="MG13" s="45">
        <f t="shared" si="64"/>
        <v>1623</v>
      </c>
      <c r="MH13" s="45">
        <f t="shared" si="64"/>
        <v>1425</v>
      </c>
      <c r="MI13" s="45">
        <f t="shared" si="64"/>
        <v>1612</v>
      </c>
      <c r="MJ13" s="45">
        <f t="shared" si="64"/>
        <v>1415</v>
      </c>
      <c r="MK13" s="45">
        <f t="shared" si="64"/>
        <v>1472</v>
      </c>
      <c r="ML13" s="45">
        <f t="shared" si="64"/>
        <v>1343</v>
      </c>
      <c r="MM13" s="45">
        <f t="shared" si="64"/>
        <v>1292</v>
      </c>
      <c r="MN13" s="38">
        <f t="shared" si="32"/>
        <v>16949</v>
      </c>
      <c r="MO13" s="32">
        <f>SUM(MO10:MO12)</f>
        <v>890</v>
      </c>
      <c r="MP13" s="32">
        <f t="shared" ref="MP13:MZ13" si="65">SUM(MP10:MP12)</f>
        <v>651</v>
      </c>
      <c r="MQ13" s="32">
        <f t="shared" si="65"/>
        <v>1024</v>
      </c>
      <c r="MR13" s="32">
        <f t="shared" si="65"/>
        <v>760</v>
      </c>
      <c r="MS13" s="32">
        <f t="shared" si="65"/>
        <v>983</v>
      </c>
      <c r="MT13" s="32">
        <f t="shared" si="65"/>
        <v>932</v>
      </c>
      <c r="MU13" s="32">
        <f t="shared" si="65"/>
        <v>1601</v>
      </c>
      <c r="MV13" s="32">
        <f t="shared" si="65"/>
        <v>1343</v>
      </c>
      <c r="MW13" s="32">
        <f t="shared" si="65"/>
        <v>2557</v>
      </c>
      <c r="MX13" s="32">
        <f t="shared" si="65"/>
        <v>1311</v>
      </c>
      <c r="MY13" s="32">
        <f t="shared" si="65"/>
        <v>885</v>
      </c>
      <c r="MZ13" s="32">
        <f t="shared" si="65"/>
        <v>600</v>
      </c>
      <c r="NA13" s="38">
        <f t="shared" si="33"/>
        <v>13537</v>
      </c>
      <c r="NB13" s="36">
        <f t="shared" si="34"/>
        <v>30486</v>
      </c>
      <c r="NC13" s="26"/>
      <c r="ND13" s="101">
        <f>SUM(ND10:ND12)</f>
        <v>246</v>
      </c>
      <c r="NE13" s="101">
        <f t="shared" ref="NE13:NO13" si="66">SUM(NE10:NE12)</f>
        <v>220</v>
      </c>
      <c r="NF13" s="101">
        <f t="shared" si="66"/>
        <v>170</v>
      </c>
      <c r="NG13" s="101">
        <f t="shared" si="66"/>
        <v>203</v>
      </c>
      <c r="NH13" s="101">
        <f t="shared" si="66"/>
        <v>211</v>
      </c>
      <c r="NI13" s="101">
        <f t="shared" si="66"/>
        <v>187</v>
      </c>
      <c r="NJ13" s="101">
        <f t="shared" si="66"/>
        <v>148</v>
      </c>
      <c r="NK13" s="101">
        <f t="shared" si="66"/>
        <v>199</v>
      </c>
      <c r="NL13" s="101">
        <f t="shared" si="66"/>
        <v>163</v>
      </c>
      <c r="NM13" s="101">
        <f t="shared" si="66"/>
        <v>214</v>
      </c>
      <c r="NN13" s="101">
        <f t="shared" si="66"/>
        <v>152</v>
      </c>
      <c r="NO13" s="101">
        <f t="shared" si="66"/>
        <v>136</v>
      </c>
      <c r="NP13" s="38">
        <f t="shared" si="35"/>
        <v>2249</v>
      </c>
      <c r="NQ13" s="36">
        <f t="shared" si="36"/>
        <v>29298.222222222223</v>
      </c>
      <c r="NR13" s="36">
        <f t="shared" si="37"/>
        <v>94288</v>
      </c>
      <c r="NS13" s="36">
        <f t="shared" si="38"/>
        <v>26925.800000000003</v>
      </c>
      <c r="NT13" s="36">
        <f t="shared" si="39"/>
        <v>150512.02222222224</v>
      </c>
      <c r="NU13" s="18"/>
      <c r="NV13" s="18"/>
      <c r="NW13" s="18"/>
      <c r="NX13" s="19"/>
      <c r="NY13" s="19"/>
      <c r="NZ13" s="19"/>
      <c r="OA13" s="19"/>
      <c r="OB13" s="19"/>
      <c r="OC13" s="19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8"/>
      <c r="OR13" s="18"/>
      <c r="OS13" s="18"/>
      <c r="OT13" s="18"/>
      <c r="OU13" s="18"/>
      <c r="OV13" s="18"/>
      <c r="OW13" s="18"/>
      <c r="OX13" s="19"/>
      <c r="OY13" s="19"/>
      <c r="OZ13" s="19"/>
      <c r="PA13" s="19"/>
      <c r="PB13" s="19"/>
      <c r="PC13" s="19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8"/>
      <c r="PR13" s="18"/>
      <c r="PS13" s="18"/>
      <c r="PT13" s="18"/>
      <c r="PU13" s="18"/>
      <c r="PV13" s="18"/>
      <c r="PW13" s="18"/>
      <c r="PX13" s="19"/>
      <c r="PY13" s="19"/>
      <c r="PZ13" s="19"/>
      <c r="QA13" s="19"/>
      <c r="QB13" s="19"/>
      <c r="QC13" s="19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</row>
    <row r="14" spans="1:458" s="1" customFormat="1" ht="50.1" customHeight="1" x14ac:dyDescent="0.25">
      <c r="A14" s="120"/>
      <c r="B14" s="6" t="s">
        <v>21</v>
      </c>
      <c r="C14" s="23"/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38">
        <f t="shared" si="7"/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38">
        <f t="shared" si="8"/>
        <v>0</v>
      </c>
      <c r="AD14" s="36">
        <f t="shared" si="9"/>
        <v>0</v>
      </c>
      <c r="AE14" s="26"/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8">
        <f t="shared" si="10"/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8">
        <f t="shared" si="11"/>
        <v>0</v>
      </c>
      <c r="BF14" s="36">
        <f t="shared" si="12"/>
        <v>0</v>
      </c>
      <c r="BG14" s="26"/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  <c r="BQ14" s="41">
        <v>0</v>
      </c>
      <c r="BR14" s="41">
        <v>0</v>
      </c>
      <c r="BS14" s="41">
        <v>0</v>
      </c>
      <c r="BT14" s="38">
        <f t="shared" si="13"/>
        <v>0</v>
      </c>
      <c r="BU14" s="56">
        <v>0</v>
      </c>
      <c r="BV14" s="56">
        <v>0</v>
      </c>
      <c r="BW14" s="56">
        <v>0</v>
      </c>
      <c r="BX14" s="56">
        <v>0</v>
      </c>
      <c r="BY14" s="56">
        <v>0</v>
      </c>
      <c r="BZ14" s="56">
        <v>0</v>
      </c>
      <c r="CA14" s="56">
        <v>0</v>
      </c>
      <c r="CB14" s="56">
        <v>0</v>
      </c>
      <c r="CC14" s="56">
        <v>0</v>
      </c>
      <c r="CD14" s="56">
        <v>0</v>
      </c>
      <c r="CE14" s="56">
        <v>0</v>
      </c>
      <c r="CF14" s="56">
        <v>0</v>
      </c>
      <c r="CG14" s="61">
        <f t="shared" si="14"/>
        <v>0</v>
      </c>
      <c r="CH14" s="57">
        <f t="shared" si="15"/>
        <v>0</v>
      </c>
      <c r="CI14" s="26"/>
      <c r="CJ14" s="32">
        <v>0</v>
      </c>
      <c r="CK14" s="32">
        <v>0</v>
      </c>
      <c r="CL14" s="32">
        <v>0</v>
      </c>
      <c r="CM14" s="32">
        <v>0</v>
      </c>
      <c r="CN14" s="32">
        <v>0</v>
      </c>
      <c r="CO14" s="32">
        <v>0</v>
      </c>
      <c r="CP14" s="32">
        <v>0</v>
      </c>
      <c r="CQ14" s="32">
        <v>0</v>
      </c>
      <c r="CR14" s="32">
        <v>0</v>
      </c>
      <c r="CS14" s="32">
        <v>0</v>
      </c>
      <c r="CT14" s="32">
        <v>0</v>
      </c>
      <c r="CU14" s="69">
        <v>0</v>
      </c>
      <c r="CV14" s="38">
        <f t="shared" si="16"/>
        <v>0</v>
      </c>
      <c r="CW14" s="45">
        <v>3</v>
      </c>
      <c r="CX14" s="45">
        <v>0</v>
      </c>
      <c r="CY14" s="45">
        <v>5</v>
      </c>
      <c r="CZ14" s="45">
        <v>0</v>
      </c>
      <c r="DA14" s="45">
        <v>2</v>
      </c>
      <c r="DB14" s="45">
        <v>0</v>
      </c>
      <c r="DC14" s="45">
        <v>4</v>
      </c>
      <c r="DD14" s="45">
        <v>0</v>
      </c>
      <c r="DE14" s="45">
        <v>2</v>
      </c>
      <c r="DF14" s="45">
        <v>0</v>
      </c>
      <c r="DG14" s="45">
        <v>5</v>
      </c>
      <c r="DH14" s="45">
        <v>0</v>
      </c>
      <c r="DI14" s="38">
        <f t="shared" si="0"/>
        <v>21</v>
      </c>
      <c r="DJ14" s="36">
        <f t="shared" si="17"/>
        <v>21</v>
      </c>
      <c r="DK14" s="26"/>
      <c r="DL14" s="75">
        <v>0</v>
      </c>
      <c r="DM14" s="75">
        <v>0</v>
      </c>
      <c r="DN14" s="75">
        <v>0</v>
      </c>
      <c r="DO14" s="75">
        <v>0</v>
      </c>
      <c r="DP14" s="75">
        <v>0</v>
      </c>
      <c r="DQ14" s="75">
        <v>0</v>
      </c>
      <c r="DR14" s="75">
        <v>0</v>
      </c>
      <c r="DS14" s="75">
        <v>0</v>
      </c>
      <c r="DT14" s="75">
        <v>0</v>
      </c>
      <c r="DU14" s="75">
        <v>0</v>
      </c>
      <c r="DV14" s="75">
        <v>0</v>
      </c>
      <c r="DW14" s="83">
        <v>0</v>
      </c>
      <c r="DX14" s="38">
        <f t="shared" si="1"/>
        <v>0</v>
      </c>
      <c r="DY14" s="65">
        <v>5</v>
      </c>
      <c r="DZ14" s="65">
        <v>1</v>
      </c>
      <c r="EA14" s="65">
        <v>2</v>
      </c>
      <c r="EB14" s="65">
        <v>1</v>
      </c>
      <c r="EC14" s="65">
        <v>1</v>
      </c>
      <c r="ED14" s="65">
        <v>2</v>
      </c>
      <c r="EE14" s="65">
        <v>1</v>
      </c>
      <c r="EF14" s="65">
        <v>2</v>
      </c>
      <c r="EG14" s="65">
        <v>2</v>
      </c>
      <c r="EH14" s="65">
        <v>3</v>
      </c>
      <c r="EI14" s="65">
        <v>3</v>
      </c>
      <c r="EJ14" s="65">
        <v>2</v>
      </c>
      <c r="EK14" s="38">
        <f t="shared" si="18"/>
        <v>25</v>
      </c>
      <c r="EL14" s="36">
        <f t="shared" si="19"/>
        <v>25</v>
      </c>
      <c r="EM14" s="26"/>
      <c r="EN14" s="32">
        <v>0</v>
      </c>
      <c r="EO14" s="32">
        <v>0</v>
      </c>
      <c r="EP14" s="32">
        <v>0</v>
      </c>
      <c r="EQ14" s="32">
        <v>0</v>
      </c>
      <c r="ER14" s="32">
        <v>0</v>
      </c>
      <c r="ES14" s="32">
        <v>0</v>
      </c>
      <c r="ET14" s="32">
        <v>0</v>
      </c>
      <c r="EU14" s="32">
        <v>0</v>
      </c>
      <c r="EV14" s="32">
        <v>0</v>
      </c>
      <c r="EW14" s="32">
        <v>0</v>
      </c>
      <c r="EX14" s="32">
        <v>0</v>
      </c>
      <c r="EY14" s="32">
        <v>0</v>
      </c>
      <c r="EZ14" s="38">
        <f t="shared" si="2"/>
        <v>0</v>
      </c>
      <c r="FA14" s="26"/>
      <c r="FB14" s="54">
        <v>0</v>
      </c>
      <c r="FC14" s="54">
        <v>0</v>
      </c>
      <c r="FD14" s="54">
        <v>0</v>
      </c>
      <c r="FE14" s="54">
        <v>0</v>
      </c>
      <c r="FF14" s="54">
        <v>0</v>
      </c>
      <c r="FG14" s="54">
        <v>0</v>
      </c>
      <c r="FH14" s="54">
        <v>0</v>
      </c>
      <c r="FI14" s="54">
        <v>0</v>
      </c>
      <c r="FJ14" s="54">
        <v>0</v>
      </c>
      <c r="FK14" s="54">
        <v>0</v>
      </c>
      <c r="FL14" s="54">
        <v>0</v>
      </c>
      <c r="FM14" s="54">
        <v>0</v>
      </c>
      <c r="FN14" s="38">
        <f t="shared" si="20"/>
        <v>0</v>
      </c>
      <c r="FO14" s="26"/>
      <c r="FP14" s="32">
        <v>0</v>
      </c>
      <c r="FQ14" s="32">
        <v>0</v>
      </c>
      <c r="FR14" s="32">
        <v>0</v>
      </c>
      <c r="FS14" s="32">
        <v>0</v>
      </c>
      <c r="FT14" s="32">
        <v>0</v>
      </c>
      <c r="FU14" s="32">
        <v>0</v>
      </c>
      <c r="FV14" s="32">
        <v>0</v>
      </c>
      <c r="FW14" s="32">
        <v>0</v>
      </c>
      <c r="FX14" s="32">
        <v>0</v>
      </c>
      <c r="FY14" s="32">
        <v>0</v>
      </c>
      <c r="FZ14" s="32">
        <v>0</v>
      </c>
      <c r="GA14" s="32">
        <v>0</v>
      </c>
      <c r="GB14" s="38">
        <f t="shared" si="21"/>
        <v>0</v>
      </c>
      <c r="GC14" s="26"/>
      <c r="GD14" s="32">
        <v>0</v>
      </c>
      <c r="GE14" s="32">
        <v>0</v>
      </c>
      <c r="GF14" s="32">
        <v>0</v>
      </c>
      <c r="GG14" s="32">
        <v>0</v>
      </c>
      <c r="GH14" s="32">
        <v>0</v>
      </c>
      <c r="GI14" s="32">
        <v>0</v>
      </c>
      <c r="GJ14" s="32">
        <v>0</v>
      </c>
      <c r="GK14" s="32">
        <v>0</v>
      </c>
      <c r="GL14" s="32">
        <v>0</v>
      </c>
      <c r="GM14" s="32">
        <v>0</v>
      </c>
      <c r="GN14" s="32">
        <v>0</v>
      </c>
      <c r="GO14" s="32">
        <v>0</v>
      </c>
      <c r="GP14" s="38">
        <f t="shared" si="22"/>
        <v>0</v>
      </c>
      <c r="GQ14" s="26"/>
      <c r="GR14" s="32">
        <v>0</v>
      </c>
      <c r="GS14" s="32">
        <v>0</v>
      </c>
      <c r="GT14" s="32">
        <v>0</v>
      </c>
      <c r="GU14" s="32">
        <v>0</v>
      </c>
      <c r="GV14" s="32">
        <v>0</v>
      </c>
      <c r="GW14" s="32">
        <v>0</v>
      </c>
      <c r="GX14" s="32">
        <v>0</v>
      </c>
      <c r="GY14" s="32">
        <v>0</v>
      </c>
      <c r="GZ14" s="32">
        <v>0</v>
      </c>
      <c r="HA14" s="32">
        <v>0</v>
      </c>
      <c r="HB14" s="32">
        <v>0</v>
      </c>
      <c r="HC14" s="32">
        <v>0</v>
      </c>
      <c r="HD14" s="38">
        <f t="shared" si="23"/>
        <v>0</v>
      </c>
      <c r="HE14" s="26"/>
      <c r="HF14" s="45">
        <v>0</v>
      </c>
      <c r="HG14" s="45">
        <v>0</v>
      </c>
      <c r="HH14" s="45">
        <v>0</v>
      </c>
      <c r="HI14" s="45">
        <v>0</v>
      </c>
      <c r="HJ14" s="45">
        <v>0</v>
      </c>
      <c r="HK14" s="45">
        <v>0</v>
      </c>
      <c r="HL14" s="45">
        <v>0</v>
      </c>
      <c r="HM14" s="45">
        <v>0</v>
      </c>
      <c r="HN14" s="45">
        <v>0</v>
      </c>
      <c r="HO14" s="45">
        <v>0</v>
      </c>
      <c r="HP14" s="45">
        <v>0</v>
      </c>
      <c r="HQ14" s="45">
        <v>0</v>
      </c>
      <c r="HR14" s="38">
        <f t="shared" si="24"/>
        <v>0</v>
      </c>
      <c r="HS14" s="26"/>
      <c r="HT14" s="32">
        <v>0</v>
      </c>
      <c r="HU14" s="32">
        <v>0</v>
      </c>
      <c r="HV14" s="32">
        <v>0</v>
      </c>
      <c r="HW14" s="32">
        <v>0</v>
      </c>
      <c r="HX14" s="32">
        <v>0</v>
      </c>
      <c r="HY14" s="32">
        <v>0</v>
      </c>
      <c r="HZ14" s="32">
        <v>0</v>
      </c>
      <c r="IA14" s="32">
        <v>0</v>
      </c>
      <c r="IB14" s="32">
        <v>0</v>
      </c>
      <c r="IC14" s="32">
        <v>0</v>
      </c>
      <c r="ID14" s="32">
        <v>0</v>
      </c>
      <c r="IE14" s="32">
        <v>0</v>
      </c>
      <c r="IF14" s="38">
        <f t="shared" si="3"/>
        <v>0</v>
      </c>
      <c r="IG14" s="104">
        <v>0</v>
      </c>
      <c r="IH14" s="104">
        <v>0</v>
      </c>
      <c r="II14" s="104">
        <v>0</v>
      </c>
      <c r="IJ14" s="104">
        <v>0</v>
      </c>
      <c r="IK14" s="104">
        <v>0</v>
      </c>
      <c r="IL14" s="104">
        <v>0</v>
      </c>
      <c r="IM14" s="104">
        <v>0</v>
      </c>
      <c r="IN14" s="104">
        <v>0</v>
      </c>
      <c r="IO14" s="104">
        <v>0</v>
      </c>
      <c r="IP14" s="104">
        <v>0</v>
      </c>
      <c r="IQ14" s="104">
        <v>0</v>
      </c>
      <c r="IR14" s="104">
        <v>0</v>
      </c>
      <c r="IS14" s="38">
        <f t="shared" si="25"/>
        <v>0</v>
      </c>
      <c r="IT14" s="36">
        <f t="shared" si="26"/>
        <v>0</v>
      </c>
      <c r="IU14" s="26"/>
      <c r="IV14" s="32">
        <v>2</v>
      </c>
      <c r="IW14" s="32">
        <v>2</v>
      </c>
      <c r="IX14" s="32">
        <v>1</v>
      </c>
      <c r="IY14" s="32">
        <v>3</v>
      </c>
      <c r="IZ14" s="32">
        <v>2</v>
      </c>
      <c r="JA14" s="32">
        <v>3</v>
      </c>
      <c r="JB14" s="32">
        <v>2</v>
      </c>
      <c r="JC14" s="32">
        <v>1</v>
      </c>
      <c r="JD14" s="32">
        <v>2</v>
      </c>
      <c r="JE14" s="32">
        <v>3</v>
      </c>
      <c r="JF14" s="32">
        <v>4</v>
      </c>
      <c r="JG14" s="32">
        <v>2</v>
      </c>
      <c r="JH14" s="38">
        <f t="shared" si="27"/>
        <v>27</v>
      </c>
      <c r="JI14" s="32">
        <v>0</v>
      </c>
      <c r="JJ14" s="32">
        <v>0</v>
      </c>
      <c r="JK14" s="32">
        <v>2</v>
      </c>
      <c r="JL14" s="32">
        <v>0</v>
      </c>
      <c r="JM14" s="32">
        <v>1</v>
      </c>
      <c r="JN14" s="32">
        <v>0</v>
      </c>
      <c r="JO14" s="32">
        <v>2</v>
      </c>
      <c r="JP14" s="32">
        <v>1</v>
      </c>
      <c r="JQ14" s="32">
        <v>3</v>
      </c>
      <c r="JR14" s="32">
        <v>0</v>
      </c>
      <c r="JS14" s="32">
        <v>0</v>
      </c>
      <c r="JT14" s="32">
        <v>1</v>
      </c>
      <c r="JU14" s="112">
        <f t="shared" si="4"/>
        <v>10</v>
      </c>
      <c r="JV14" s="36">
        <f t="shared" si="28"/>
        <v>37</v>
      </c>
      <c r="JW14" s="26"/>
      <c r="JX14" s="32">
        <v>0</v>
      </c>
      <c r="JY14" s="32">
        <v>0</v>
      </c>
      <c r="JZ14" s="32">
        <v>0</v>
      </c>
      <c r="KA14" s="32">
        <v>0</v>
      </c>
      <c r="KB14" s="32">
        <v>0</v>
      </c>
      <c r="KC14" s="32">
        <v>0</v>
      </c>
      <c r="KD14" s="32">
        <v>0</v>
      </c>
      <c r="KE14" s="32">
        <v>0</v>
      </c>
      <c r="KF14" s="32">
        <v>0</v>
      </c>
      <c r="KG14" s="32">
        <v>0</v>
      </c>
      <c r="KH14" s="32">
        <v>0</v>
      </c>
      <c r="KI14" s="32">
        <v>0</v>
      </c>
      <c r="KJ14" s="38">
        <f t="shared" si="29"/>
        <v>0</v>
      </c>
      <c r="KK14" s="114">
        <v>17</v>
      </c>
      <c r="KL14" s="114">
        <v>20</v>
      </c>
      <c r="KM14" s="114">
        <v>31</v>
      </c>
      <c r="KN14" s="114">
        <v>47</v>
      </c>
      <c r="KO14" s="114">
        <v>23</v>
      </c>
      <c r="KP14" s="114">
        <v>12</v>
      </c>
      <c r="KQ14" s="114">
        <v>3</v>
      </c>
      <c r="KR14" s="114">
        <v>19</v>
      </c>
      <c r="KS14" s="114">
        <v>12</v>
      </c>
      <c r="KT14" s="114">
        <v>15</v>
      </c>
      <c r="KU14" s="114">
        <v>24</v>
      </c>
      <c r="KV14" s="114">
        <v>8</v>
      </c>
      <c r="KW14" s="38">
        <f t="shared" si="5"/>
        <v>231</v>
      </c>
      <c r="KX14" s="36">
        <f t="shared" si="30"/>
        <v>231</v>
      </c>
      <c r="KY14" s="26"/>
      <c r="KZ14" s="32">
        <v>0</v>
      </c>
      <c r="LA14" s="32">
        <v>0</v>
      </c>
      <c r="LB14" s="32">
        <v>0</v>
      </c>
      <c r="LC14" s="32">
        <v>0</v>
      </c>
      <c r="LD14" s="32">
        <v>0</v>
      </c>
      <c r="LE14" s="32">
        <v>0</v>
      </c>
      <c r="LF14" s="32">
        <v>0</v>
      </c>
      <c r="LG14" s="32">
        <v>0</v>
      </c>
      <c r="LH14" s="32">
        <v>0</v>
      </c>
      <c r="LI14" s="32">
        <v>0</v>
      </c>
      <c r="LJ14" s="32">
        <v>0</v>
      </c>
      <c r="LK14" s="32">
        <v>0</v>
      </c>
      <c r="LL14" s="38">
        <f t="shared" si="6"/>
        <v>0</v>
      </c>
      <c r="LM14" s="26"/>
      <c r="LN14" s="71">
        <v>5</v>
      </c>
      <c r="LO14" s="71">
        <v>3</v>
      </c>
      <c r="LP14" s="71">
        <v>2</v>
      </c>
      <c r="LQ14" s="71">
        <v>4</v>
      </c>
      <c r="LR14" s="71">
        <v>4</v>
      </c>
      <c r="LS14" s="71">
        <v>4</v>
      </c>
      <c r="LT14" s="71">
        <v>2</v>
      </c>
      <c r="LU14" s="45">
        <v>6</v>
      </c>
      <c r="LV14" s="45">
        <v>4</v>
      </c>
      <c r="LW14" s="45">
        <v>5</v>
      </c>
      <c r="LX14" s="45">
        <v>3</v>
      </c>
      <c r="LY14" s="45">
        <v>3</v>
      </c>
      <c r="LZ14" s="38">
        <f t="shared" si="31"/>
        <v>45</v>
      </c>
      <c r="MA14" s="26"/>
      <c r="MB14" s="45">
        <v>0</v>
      </c>
      <c r="MC14" s="45">
        <v>0</v>
      </c>
      <c r="MD14" s="45">
        <v>0</v>
      </c>
      <c r="ME14" s="45">
        <v>0</v>
      </c>
      <c r="MF14" s="45">
        <v>0</v>
      </c>
      <c r="MG14" s="45">
        <v>0</v>
      </c>
      <c r="MH14" s="45">
        <v>0</v>
      </c>
      <c r="MI14" s="45">
        <v>0</v>
      </c>
      <c r="MJ14" s="45">
        <v>0</v>
      </c>
      <c r="MK14" s="45">
        <v>0</v>
      </c>
      <c r="ML14" s="45">
        <v>0</v>
      </c>
      <c r="MM14" s="45">
        <v>0</v>
      </c>
      <c r="MN14" s="38">
        <f t="shared" si="32"/>
        <v>0</v>
      </c>
      <c r="MO14" s="32">
        <v>3</v>
      </c>
      <c r="MP14" s="32">
        <v>4</v>
      </c>
      <c r="MQ14" s="32">
        <v>10</v>
      </c>
      <c r="MR14" s="32">
        <v>5</v>
      </c>
      <c r="MS14" s="32">
        <v>9</v>
      </c>
      <c r="MT14" s="32">
        <v>7</v>
      </c>
      <c r="MU14" s="32">
        <v>9</v>
      </c>
      <c r="MV14" s="32">
        <v>6</v>
      </c>
      <c r="MW14" s="32">
        <v>7</v>
      </c>
      <c r="MX14" s="32">
        <v>7</v>
      </c>
      <c r="MY14" s="32">
        <v>2</v>
      </c>
      <c r="MZ14" s="32">
        <v>3</v>
      </c>
      <c r="NA14" s="38">
        <f t="shared" si="33"/>
        <v>72</v>
      </c>
      <c r="NB14" s="36">
        <f t="shared" si="34"/>
        <v>72</v>
      </c>
      <c r="NC14" s="26"/>
      <c r="ND14" s="32">
        <v>0</v>
      </c>
      <c r="NE14" s="32">
        <v>0</v>
      </c>
      <c r="NF14" s="32">
        <v>0</v>
      </c>
      <c r="NG14" s="32">
        <v>0</v>
      </c>
      <c r="NH14" s="32">
        <v>0</v>
      </c>
      <c r="NI14" s="32">
        <v>0</v>
      </c>
      <c r="NJ14" s="32">
        <v>0</v>
      </c>
      <c r="NK14" s="32">
        <v>0</v>
      </c>
      <c r="NL14" s="32">
        <v>0</v>
      </c>
      <c r="NM14" s="32">
        <v>0</v>
      </c>
      <c r="NN14" s="32">
        <v>0</v>
      </c>
      <c r="NO14" s="32">
        <v>0</v>
      </c>
      <c r="NP14" s="38">
        <f t="shared" si="35"/>
        <v>0</v>
      </c>
      <c r="NQ14" s="36">
        <f t="shared" si="36"/>
        <v>0</v>
      </c>
      <c r="NR14" s="36">
        <f t="shared" si="37"/>
        <v>349</v>
      </c>
      <c r="NS14" s="36">
        <f t="shared" si="38"/>
        <v>82</v>
      </c>
      <c r="NT14" s="36">
        <f t="shared" si="39"/>
        <v>431</v>
      </c>
      <c r="NU14" s="18"/>
      <c r="NV14" s="18"/>
      <c r="NW14" s="18"/>
      <c r="NX14" s="19"/>
      <c r="NY14" s="19"/>
      <c r="NZ14" s="19"/>
      <c r="OA14" s="19"/>
      <c r="OB14" s="19"/>
      <c r="OC14" s="19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8"/>
      <c r="OR14" s="18"/>
      <c r="OS14" s="18"/>
      <c r="OT14" s="18"/>
      <c r="OU14" s="18"/>
      <c r="OV14" s="18"/>
      <c r="OW14" s="18"/>
      <c r="OX14" s="19"/>
      <c r="OY14" s="19"/>
      <c r="OZ14" s="19"/>
      <c r="PA14" s="19"/>
      <c r="PB14" s="19"/>
      <c r="PC14" s="19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8"/>
      <c r="PR14" s="18"/>
      <c r="PS14" s="18"/>
      <c r="PT14" s="18"/>
      <c r="PU14" s="18"/>
      <c r="PV14" s="18"/>
      <c r="PW14" s="18"/>
      <c r="PX14" s="19"/>
      <c r="PY14" s="19"/>
      <c r="PZ14" s="19"/>
      <c r="QA14" s="19"/>
      <c r="QB14" s="19"/>
      <c r="QC14" s="19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</row>
    <row r="15" spans="1:458" s="1" customFormat="1" ht="50.1" customHeight="1" x14ac:dyDescent="0.25">
      <c r="A15" s="120"/>
      <c r="B15" s="6" t="s">
        <v>22</v>
      </c>
      <c r="C15" s="23"/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38">
        <f t="shared" si="7"/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38">
        <f t="shared" si="8"/>
        <v>0</v>
      </c>
      <c r="AD15" s="36">
        <f t="shared" si="9"/>
        <v>0</v>
      </c>
      <c r="AE15" s="26"/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8">
        <f t="shared" si="10"/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0</v>
      </c>
      <c r="BE15" s="38">
        <f t="shared" si="11"/>
        <v>0</v>
      </c>
      <c r="BF15" s="36">
        <f t="shared" si="12"/>
        <v>0</v>
      </c>
      <c r="BG15" s="26"/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  <c r="BQ15" s="41">
        <v>0</v>
      </c>
      <c r="BR15" s="41">
        <v>0</v>
      </c>
      <c r="BS15" s="41">
        <v>0</v>
      </c>
      <c r="BT15" s="38">
        <f t="shared" si="13"/>
        <v>0</v>
      </c>
      <c r="BU15" s="56">
        <v>0</v>
      </c>
      <c r="BV15" s="56">
        <v>0</v>
      </c>
      <c r="BW15" s="56">
        <v>0</v>
      </c>
      <c r="BX15" s="56">
        <v>0</v>
      </c>
      <c r="BY15" s="56">
        <v>0</v>
      </c>
      <c r="BZ15" s="56">
        <v>0</v>
      </c>
      <c r="CA15" s="56">
        <v>0</v>
      </c>
      <c r="CB15" s="56">
        <v>0</v>
      </c>
      <c r="CC15" s="56">
        <v>0</v>
      </c>
      <c r="CD15" s="56">
        <v>0</v>
      </c>
      <c r="CE15" s="56">
        <v>0</v>
      </c>
      <c r="CF15" s="56">
        <v>0</v>
      </c>
      <c r="CG15" s="61">
        <f t="shared" si="14"/>
        <v>0</v>
      </c>
      <c r="CH15" s="57">
        <f t="shared" si="15"/>
        <v>0</v>
      </c>
      <c r="CI15" s="26"/>
      <c r="CJ15" s="32">
        <v>0</v>
      </c>
      <c r="CK15" s="32">
        <v>0</v>
      </c>
      <c r="CL15" s="32">
        <v>0</v>
      </c>
      <c r="CM15" s="32">
        <v>0</v>
      </c>
      <c r="CN15" s="32">
        <v>0</v>
      </c>
      <c r="CO15" s="32">
        <v>0</v>
      </c>
      <c r="CP15" s="32">
        <v>0</v>
      </c>
      <c r="CQ15" s="32">
        <v>0</v>
      </c>
      <c r="CR15" s="32">
        <v>0</v>
      </c>
      <c r="CS15" s="32">
        <v>0</v>
      </c>
      <c r="CT15" s="32">
        <v>0</v>
      </c>
      <c r="CU15" s="69">
        <v>0</v>
      </c>
      <c r="CV15" s="38">
        <f t="shared" si="16"/>
        <v>0</v>
      </c>
      <c r="CW15" s="45">
        <v>0</v>
      </c>
      <c r="CX15" s="45">
        <v>0</v>
      </c>
      <c r="CY15" s="45">
        <v>0</v>
      </c>
      <c r="CZ15" s="45">
        <v>0</v>
      </c>
      <c r="DA15" s="45">
        <v>0</v>
      </c>
      <c r="DB15" s="45">
        <v>0</v>
      </c>
      <c r="DC15" s="45">
        <v>0</v>
      </c>
      <c r="DD15" s="45">
        <v>0</v>
      </c>
      <c r="DE15" s="45">
        <v>0</v>
      </c>
      <c r="DF15" s="45">
        <v>0</v>
      </c>
      <c r="DG15" s="45">
        <v>0</v>
      </c>
      <c r="DH15" s="45">
        <v>0</v>
      </c>
      <c r="DI15" s="38">
        <f t="shared" si="0"/>
        <v>0</v>
      </c>
      <c r="DJ15" s="36">
        <f t="shared" si="17"/>
        <v>0</v>
      </c>
      <c r="DK15" s="26"/>
      <c r="DL15" s="75">
        <v>0</v>
      </c>
      <c r="DM15" s="75">
        <v>0</v>
      </c>
      <c r="DN15" s="75">
        <v>0</v>
      </c>
      <c r="DO15" s="75">
        <v>0</v>
      </c>
      <c r="DP15" s="75">
        <v>0</v>
      </c>
      <c r="DQ15" s="75">
        <v>0</v>
      </c>
      <c r="DR15" s="75">
        <v>0</v>
      </c>
      <c r="DS15" s="75">
        <v>0</v>
      </c>
      <c r="DT15" s="75">
        <v>0</v>
      </c>
      <c r="DU15" s="75">
        <v>0</v>
      </c>
      <c r="DV15" s="75">
        <v>0</v>
      </c>
      <c r="DW15" s="83">
        <v>0</v>
      </c>
      <c r="DX15" s="38">
        <f t="shared" si="1"/>
        <v>0</v>
      </c>
      <c r="DY15" s="63">
        <v>0</v>
      </c>
      <c r="DZ15" s="63">
        <v>0</v>
      </c>
      <c r="EA15" s="63">
        <v>0</v>
      </c>
      <c r="EB15" s="63">
        <v>0</v>
      </c>
      <c r="EC15" s="63">
        <v>0</v>
      </c>
      <c r="ED15" s="63">
        <v>0</v>
      </c>
      <c r="EE15" s="63">
        <v>0</v>
      </c>
      <c r="EF15" s="63">
        <v>0</v>
      </c>
      <c r="EG15" s="63">
        <v>0</v>
      </c>
      <c r="EH15" s="63">
        <v>0</v>
      </c>
      <c r="EI15" s="63">
        <v>0</v>
      </c>
      <c r="EJ15" s="63">
        <v>0</v>
      </c>
      <c r="EK15" s="38">
        <f t="shared" si="18"/>
        <v>0</v>
      </c>
      <c r="EL15" s="36">
        <f t="shared" si="19"/>
        <v>0</v>
      </c>
      <c r="EM15" s="26"/>
      <c r="EN15" s="32">
        <v>0</v>
      </c>
      <c r="EO15" s="32">
        <v>0</v>
      </c>
      <c r="EP15" s="32">
        <v>0</v>
      </c>
      <c r="EQ15" s="32">
        <v>0</v>
      </c>
      <c r="ER15" s="32">
        <v>0</v>
      </c>
      <c r="ES15" s="32">
        <v>0</v>
      </c>
      <c r="ET15" s="32">
        <v>0</v>
      </c>
      <c r="EU15" s="32">
        <v>0</v>
      </c>
      <c r="EV15" s="32">
        <v>0</v>
      </c>
      <c r="EW15" s="32">
        <v>0</v>
      </c>
      <c r="EX15" s="32">
        <v>0</v>
      </c>
      <c r="EY15" s="32">
        <v>0</v>
      </c>
      <c r="EZ15" s="38">
        <f t="shared" si="2"/>
        <v>0</v>
      </c>
      <c r="FA15" s="26"/>
      <c r="FB15" s="54">
        <v>0</v>
      </c>
      <c r="FC15" s="54">
        <v>0</v>
      </c>
      <c r="FD15" s="54">
        <v>0</v>
      </c>
      <c r="FE15" s="54">
        <v>0</v>
      </c>
      <c r="FF15" s="54">
        <v>0</v>
      </c>
      <c r="FG15" s="54">
        <v>0</v>
      </c>
      <c r="FH15" s="54">
        <v>0</v>
      </c>
      <c r="FI15" s="54">
        <v>0</v>
      </c>
      <c r="FJ15" s="54">
        <v>0</v>
      </c>
      <c r="FK15" s="54">
        <v>0</v>
      </c>
      <c r="FL15" s="54">
        <v>0</v>
      </c>
      <c r="FM15" s="54">
        <v>0</v>
      </c>
      <c r="FN15" s="38">
        <f t="shared" si="20"/>
        <v>0</v>
      </c>
      <c r="FO15" s="26"/>
      <c r="FP15" s="32">
        <v>0</v>
      </c>
      <c r="FQ15" s="32">
        <v>0</v>
      </c>
      <c r="FR15" s="32">
        <v>0</v>
      </c>
      <c r="FS15" s="32">
        <v>0</v>
      </c>
      <c r="FT15" s="32">
        <v>0</v>
      </c>
      <c r="FU15" s="32">
        <v>0</v>
      </c>
      <c r="FV15" s="32">
        <v>0</v>
      </c>
      <c r="FW15" s="32">
        <v>0</v>
      </c>
      <c r="FX15" s="32">
        <v>0</v>
      </c>
      <c r="FY15" s="32">
        <v>0</v>
      </c>
      <c r="FZ15" s="32">
        <v>0</v>
      </c>
      <c r="GA15" s="32">
        <v>0</v>
      </c>
      <c r="GB15" s="38">
        <f t="shared" si="21"/>
        <v>0</v>
      </c>
      <c r="GC15" s="26"/>
      <c r="GD15" s="32">
        <v>0</v>
      </c>
      <c r="GE15" s="32">
        <v>0</v>
      </c>
      <c r="GF15" s="32">
        <v>0</v>
      </c>
      <c r="GG15" s="32">
        <v>0</v>
      </c>
      <c r="GH15" s="32">
        <v>0</v>
      </c>
      <c r="GI15" s="32">
        <v>0</v>
      </c>
      <c r="GJ15" s="32">
        <v>0</v>
      </c>
      <c r="GK15" s="32">
        <v>0</v>
      </c>
      <c r="GL15" s="32">
        <v>0</v>
      </c>
      <c r="GM15" s="32">
        <v>0</v>
      </c>
      <c r="GN15" s="32">
        <v>0</v>
      </c>
      <c r="GO15" s="32">
        <v>0</v>
      </c>
      <c r="GP15" s="38">
        <f t="shared" si="22"/>
        <v>0</v>
      </c>
      <c r="GQ15" s="26"/>
      <c r="GR15" s="32">
        <v>0</v>
      </c>
      <c r="GS15" s="32">
        <v>0</v>
      </c>
      <c r="GT15" s="32">
        <v>0</v>
      </c>
      <c r="GU15" s="32">
        <v>0</v>
      </c>
      <c r="GV15" s="32">
        <v>0</v>
      </c>
      <c r="GW15" s="32">
        <v>0</v>
      </c>
      <c r="GX15" s="32">
        <v>0</v>
      </c>
      <c r="GY15" s="32">
        <v>0</v>
      </c>
      <c r="GZ15" s="32">
        <v>0</v>
      </c>
      <c r="HA15" s="32">
        <v>0</v>
      </c>
      <c r="HB15" s="32">
        <v>0</v>
      </c>
      <c r="HC15" s="32">
        <v>0</v>
      </c>
      <c r="HD15" s="38">
        <f t="shared" si="23"/>
        <v>0</v>
      </c>
      <c r="HE15" s="26"/>
      <c r="HF15" s="45">
        <v>0</v>
      </c>
      <c r="HG15" s="45">
        <v>0</v>
      </c>
      <c r="HH15" s="45">
        <v>0</v>
      </c>
      <c r="HI15" s="45">
        <v>0</v>
      </c>
      <c r="HJ15" s="45">
        <v>0</v>
      </c>
      <c r="HK15" s="45">
        <v>0</v>
      </c>
      <c r="HL15" s="45">
        <v>0</v>
      </c>
      <c r="HM15" s="45">
        <v>0</v>
      </c>
      <c r="HN15" s="45">
        <v>0</v>
      </c>
      <c r="HO15" s="45">
        <v>0</v>
      </c>
      <c r="HP15" s="45">
        <v>0</v>
      </c>
      <c r="HQ15" s="45">
        <v>0</v>
      </c>
      <c r="HR15" s="38">
        <f t="shared" si="24"/>
        <v>0</v>
      </c>
      <c r="HS15" s="26"/>
      <c r="HT15" s="32">
        <v>0</v>
      </c>
      <c r="HU15" s="32">
        <v>0</v>
      </c>
      <c r="HV15" s="32">
        <v>0</v>
      </c>
      <c r="HW15" s="32">
        <v>0</v>
      </c>
      <c r="HX15" s="32">
        <v>0</v>
      </c>
      <c r="HY15" s="32">
        <v>0</v>
      </c>
      <c r="HZ15" s="32">
        <v>0</v>
      </c>
      <c r="IA15" s="32">
        <v>0</v>
      </c>
      <c r="IB15" s="32">
        <v>0</v>
      </c>
      <c r="IC15" s="32">
        <v>0</v>
      </c>
      <c r="ID15" s="32">
        <v>0</v>
      </c>
      <c r="IE15" s="32">
        <v>0</v>
      </c>
      <c r="IF15" s="38">
        <f t="shared" si="3"/>
        <v>0</v>
      </c>
      <c r="IG15" s="104">
        <v>0</v>
      </c>
      <c r="IH15" s="104">
        <v>0</v>
      </c>
      <c r="II15" s="104">
        <v>0</v>
      </c>
      <c r="IJ15" s="104">
        <v>0</v>
      </c>
      <c r="IK15" s="104">
        <v>0</v>
      </c>
      <c r="IL15" s="104">
        <v>0</v>
      </c>
      <c r="IM15" s="104">
        <v>0</v>
      </c>
      <c r="IN15" s="104">
        <v>0</v>
      </c>
      <c r="IO15" s="104">
        <v>0</v>
      </c>
      <c r="IP15" s="104">
        <v>0</v>
      </c>
      <c r="IQ15" s="104">
        <v>0</v>
      </c>
      <c r="IR15" s="104">
        <v>0</v>
      </c>
      <c r="IS15" s="38">
        <f t="shared" si="25"/>
        <v>0</v>
      </c>
      <c r="IT15" s="36">
        <f t="shared" si="26"/>
        <v>0</v>
      </c>
      <c r="IU15" s="26"/>
      <c r="IV15" s="32">
        <v>0</v>
      </c>
      <c r="IW15" s="32">
        <v>0</v>
      </c>
      <c r="IX15" s="32">
        <v>0</v>
      </c>
      <c r="IY15" s="32">
        <v>0</v>
      </c>
      <c r="IZ15" s="32">
        <v>0</v>
      </c>
      <c r="JA15" s="32">
        <v>0</v>
      </c>
      <c r="JB15" s="32">
        <v>0</v>
      </c>
      <c r="JC15" s="32">
        <v>0</v>
      </c>
      <c r="JD15" s="32">
        <v>0</v>
      </c>
      <c r="JE15" s="32">
        <v>0</v>
      </c>
      <c r="JF15" s="32">
        <v>0</v>
      </c>
      <c r="JG15" s="32">
        <v>0</v>
      </c>
      <c r="JH15" s="38">
        <f t="shared" si="27"/>
        <v>0</v>
      </c>
      <c r="JI15" s="32">
        <v>0</v>
      </c>
      <c r="JJ15" s="32">
        <v>0</v>
      </c>
      <c r="JK15" s="32">
        <v>0</v>
      </c>
      <c r="JL15" s="32">
        <v>0</v>
      </c>
      <c r="JM15" s="32">
        <v>0</v>
      </c>
      <c r="JN15" s="32">
        <v>0</v>
      </c>
      <c r="JO15" s="32">
        <v>0</v>
      </c>
      <c r="JP15" s="32">
        <v>0</v>
      </c>
      <c r="JQ15" s="32">
        <v>0</v>
      </c>
      <c r="JR15" s="32">
        <v>0</v>
      </c>
      <c r="JS15" s="32">
        <v>0</v>
      </c>
      <c r="JT15" s="32">
        <v>0</v>
      </c>
      <c r="JU15" s="112">
        <f t="shared" si="4"/>
        <v>0</v>
      </c>
      <c r="JV15" s="36">
        <f t="shared" si="28"/>
        <v>0</v>
      </c>
      <c r="JW15" s="26"/>
      <c r="JX15" s="32">
        <v>0</v>
      </c>
      <c r="JY15" s="32">
        <v>0</v>
      </c>
      <c r="JZ15" s="32">
        <v>0</v>
      </c>
      <c r="KA15" s="32">
        <v>0</v>
      </c>
      <c r="KB15" s="32">
        <v>0</v>
      </c>
      <c r="KC15" s="32">
        <v>0</v>
      </c>
      <c r="KD15" s="32">
        <v>0</v>
      </c>
      <c r="KE15" s="32">
        <v>0</v>
      </c>
      <c r="KF15" s="32">
        <v>0</v>
      </c>
      <c r="KG15" s="32">
        <v>0</v>
      </c>
      <c r="KH15" s="32">
        <v>0</v>
      </c>
      <c r="KI15" s="32">
        <v>0</v>
      </c>
      <c r="KJ15" s="38">
        <f t="shared" si="29"/>
        <v>0</v>
      </c>
      <c r="KK15" s="32">
        <v>0</v>
      </c>
      <c r="KL15" s="32">
        <v>0</v>
      </c>
      <c r="KM15" s="32">
        <v>0</v>
      </c>
      <c r="KN15" s="32">
        <v>0</v>
      </c>
      <c r="KO15" s="32">
        <v>0</v>
      </c>
      <c r="KP15" s="32">
        <v>0</v>
      </c>
      <c r="KQ15" s="32">
        <v>0</v>
      </c>
      <c r="KR15" s="32">
        <v>0</v>
      </c>
      <c r="KS15" s="32">
        <v>0</v>
      </c>
      <c r="KT15" s="32">
        <v>0</v>
      </c>
      <c r="KU15" s="32">
        <v>0</v>
      </c>
      <c r="KV15" s="32">
        <v>0</v>
      </c>
      <c r="KW15" s="38">
        <f t="shared" si="5"/>
        <v>0</v>
      </c>
      <c r="KX15" s="36">
        <f t="shared" si="30"/>
        <v>0</v>
      </c>
      <c r="KY15" s="26"/>
      <c r="KZ15" s="32">
        <v>0</v>
      </c>
      <c r="LA15" s="32">
        <v>0</v>
      </c>
      <c r="LB15" s="32">
        <v>0</v>
      </c>
      <c r="LC15" s="32">
        <v>0</v>
      </c>
      <c r="LD15" s="32">
        <v>0</v>
      </c>
      <c r="LE15" s="32">
        <v>0</v>
      </c>
      <c r="LF15" s="32">
        <v>0</v>
      </c>
      <c r="LG15" s="32">
        <v>0</v>
      </c>
      <c r="LH15" s="32">
        <v>0</v>
      </c>
      <c r="LI15" s="32">
        <v>0</v>
      </c>
      <c r="LJ15" s="32">
        <v>0</v>
      </c>
      <c r="LK15" s="32">
        <v>0</v>
      </c>
      <c r="LL15" s="38">
        <f t="shared" si="6"/>
        <v>0</v>
      </c>
      <c r="LM15" s="26"/>
      <c r="LN15" s="71">
        <v>0</v>
      </c>
      <c r="LO15" s="71">
        <v>0</v>
      </c>
      <c r="LP15" s="71">
        <v>0</v>
      </c>
      <c r="LQ15" s="71">
        <v>0</v>
      </c>
      <c r="LR15" s="71">
        <v>0</v>
      </c>
      <c r="LS15" s="71">
        <v>0</v>
      </c>
      <c r="LT15" s="71">
        <v>0</v>
      </c>
      <c r="LU15" s="45">
        <v>0</v>
      </c>
      <c r="LV15" s="45">
        <v>0</v>
      </c>
      <c r="LW15" s="45">
        <v>0</v>
      </c>
      <c r="LX15" s="45">
        <v>0</v>
      </c>
      <c r="LY15" s="45">
        <v>0</v>
      </c>
      <c r="LZ15" s="38">
        <f t="shared" si="31"/>
        <v>0</v>
      </c>
      <c r="MA15" s="26"/>
      <c r="MB15" s="45">
        <v>0</v>
      </c>
      <c r="MC15" s="45">
        <v>0</v>
      </c>
      <c r="MD15" s="45">
        <v>0</v>
      </c>
      <c r="ME15" s="45">
        <v>0</v>
      </c>
      <c r="MF15" s="45">
        <v>0</v>
      </c>
      <c r="MG15" s="45">
        <v>0</v>
      </c>
      <c r="MH15" s="45">
        <v>0</v>
      </c>
      <c r="MI15" s="45">
        <v>0</v>
      </c>
      <c r="MJ15" s="45">
        <v>0</v>
      </c>
      <c r="MK15" s="45">
        <v>0</v>
      </c>
      <c r="ML15" s="45">
        <v>0</v>
      </c>
      <c r="MM15" s="45">
        <v>0</v>
      </c>
      <c r="MN15" s="38">
        <f t="shared" si="32"/>
        <v>0</v>
      </c>
      <c r="MO15" s="32">
        <v>0</v>
      </c>
      <c r="MP15" s="32">
        <v>0</v>
      </c>
      <c r="MQ15" s="32">
        <v>0</v>
      </c>
      <c r="MR15" s="32">
        <v>0</v>
      </c>
      <c r="MS15" s="32">
        <v>0</v>
      </c>
      <c r="MT15" s="32">
        <v>0</v>
      </c>
      <c r="MU15" s="32">
        <v>0</v>
      </c>
      <c r="MV15" s="32">
        <v>0</v>
      </c>
      <c r="MW15" s="32">
        <v>0</v>
      </c>
      <c r="MX15" s="32">
        <v>0</v>
      </c>
      <c r="MY15" s="32">
        <v>0</v>
      </c>
      <c r="MZ15" s="32">
        <v>0</v>
      </c>
      <c r="NA15" s="38">
        <f t="shared" si="33"/>
        <v>0</v>
      </c>
      <c r="NB15" s="36">
        <f t="shared" si="34"/>
        <v>0</v>
      </c>
      <c r="NC15" s="26"/>
      <c r="ND15" s="32">
        <v>0</v>
      </c>
      <c r="NE15" s="32">
        <v>0</v>
      </c>
      <c r="NF15" s="32">
        <v>0</v>
      </c>
      <c r="NG15" s="32">
        <v>0</v>
      </c>
      <c r="NH15" s="32">
        <v>0</v>
      </c>
      <c r="NI15" s="32">
        <v>0</v>
      </c>
      <c r="NJ15" s="32">
        <v>0</v>
      </c>
      <c r="NK15" s="32">
        <v>0</v>
      </c>
      <c r="NL15" s="32">
        <v>0</v>
      </c>
      <c r="NM15" s="32">
        <v>0</v>
      </c>
      <c r="NN15" s="32">
        <v>0</v>
      </c>
      <c r="NO15" s="32">
        <v>0</v>
      </c>
      <c r="NP15" s="38">
        <f t="shared" si="35"/>
        <v>0</v>
      </c>
      <c r="NQ15" s="36">
        <f t="shared" si="36"/>
        <v>0</v>
      </c>
      <c r="NR15" s="36">
        <f t="shared" si="37"/>
        <v>0</v>
      </c>
      <c r="NS15" s="36">
        <f t="shared" si="38"/>
        <v>0</v>
      </c>
      <c r="NT15" s="36">
        <f t="shared" si="39"/>
        <v>0</v>
      </c>
      <c r="NU15" s="18"/>
      <c r="NV15" s="18"/>
      <c r="NW15" s="18"/>
      <c r="NX15" s="19"/>
      <c r="NY15" s="19"/>
      <c r="NZ15" s="19"/>
      <c r="OA15" s="19"/>
      <c r="OB15" s="19"/>
      <c r="OC15" s="19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8"/>
      <c r="OR15" s="18"/>
      <c r="OS15" s="18"/>
      <c r="OT15" s="18"/>
      <c r="OU15" s="18"/>
      <c r="OV15" s="18"/>
      <c r="OW15" s="18"/>
      <c r="OX15" s="19"/>
      <c r="OY15" s="19"/>
      <c r="OZ15" s="19"/>
      <c r="PA15" s="19"/>
      <c r="PB15" s="19"/>
      <c r="PC15" s="19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8"/>
      <c r="PR15" s="18"/>
      <c r="PS15" s="18"/>
      <c r="PT15" s="18"/>
      <c r="PU15" s="18"/>
      <c r="PV15" s="18"/>
      <c r="PW15" s="18"/>
      <c r="PX15" s="19"/>
      <c r="PY15" s="19"/>
      <c r="PZ15" s="19"/>
      <c r="QA15" s="19"/>
      <c r="QB15" s="19"/>
      <c r="QC15" s="19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</row>
    <row r="16" spans="1:458" s="1" customFormat="1" ht="50.1" customHeight="1" x14ac:dyDescent="0.25">
      <c r="A16" s="120">
        <v>2018</v>
      </c>
      <c r="B16" s="6" t="s">
        <v>17</v>
      </c>
      <c r="C16" s="23"/>
      <c r="D16" s="41">
        <v>2914</v>
      </c>
      <c r="E16" s="41">
        <v>2130</v>
      </c>
      <c r="F16" s="41">
        <v>2142</v>
      </c>
      <c r="G16" s="41">
        <v>1539</v>
      </c>
      <c r="H16" s="41">
        <v>2239</v>
      </c>
      <c r="I16" s="41">
        <v>2138</v>
      </c>
      <c r="J16" s="41">
        <v>2331</v>
      </c>
      <c r="K16" s="41">
        <v>2058</v>
      </c>
      <c r="L16" s="41">
        <v>2014</v>
      </c>
      <c r="M16" s="41">
        <v>2266</v>
      </c>
      <c r="N16" s="41">
        <v>1451</v>
      </c>
      <c r="O16" s="41">
        <v>1804</v>
      </c>
      <c r="P16" s="38">
        <f t="shared" si="7"/>
        <v>25026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38">
        <f t="shared" si="8"/>
        <v>0</v>
      </c>
      <c r="AD16" s="36">
        <f t="shared" si="9"/>
        <v>25026</v>
      </c>
      <c r="AE16" s="26"/>
      <c r="AF16" s="32">
        <v>92</v>
      </c>
      <c r="AG16" s="32">
        <v>60</v>
      </c>
      <c r="AH16" s="32">
        <v>130</v>
      </c>
      <c r="AI16" s="32">
        <v>268</v>
      </c>
      <c r="AJ16" s="32">
        <v>180</v>
      </c>
      <c r="AK16" s="32">
        <v>99</v>
      </c>
      <c r="AL16" s="32">
        <v>167</v>
      </c>
      <c r="AM16" s="32">
        <v>194</v>
      </c>
      <c r="AN16" s="32">
        <v>145</v>
      </c>
      <c r="AO16" s="32">
        <v>165</v>
      </c>
      <c r="AP16" s="32">
        <v>124</v>
      </c>
      <c r="AQ16" s="32">
        <v>135</v>
      </c>
      <c r="AR16" s="38">
        <f t="shared" si="10"/>
        <v>1759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8">
        <f t="shared" si="11"/>
        <v>0</v>
      </c>
      <c r="BF16" s="36">
        <f t="shared" si="12"/>
        <v>1759</v>
      </c>
      <c r="BG16" s="26"/>
      <c r="BH16" s="41">
        <v>208</v>
      </c>
      <c r="BI16" s="41">
        <v>146</v>
      </c>
      <c r="BJ16" s="41">
        <v>199</v>
      </c>
      <c r="BK16" s="41">
        <v>143</v>
      </c>
      <c r="BL16" s="41">
        <v>164</v>
      </c>
      <c r="BM16" s="41">
        <v>163</v>
      </c>
      <c r="BN16" s="41">
        <v>111</v>
      </c>
      <c r="BO16" s="41">
        <v>148</v>
      </c>
      <c r="BP16" s="41">
        <v>159</v>
      </c>
      <c r="BQ16" s="41">
        <v>63</v>
      </c>
      <c r="BR16" s="41">
        <v>32</v>
      </c>
      <c r="BS16" s="41">
        <v>54</v>
      </c>
      <c r="BT16" s="38">
        <f t="shared" si="13"/>
        <v>1590</v>
      </c>
      <c r="BU16" s="56">
        <v>149</v>
      </c>
      <c r="BV16" s="56">
        <v>167</v>
      </c>
      <c r="BW16" s="56">
        <v>210</v>
      </c>
      <c r="BX16" s="56">
        <v>213</v>
      </c>
      <c r="BY16" s="56">
        <v>154</v>
      </c>
      <c r="BZ16" s="56">
        <v>170</v>
      </c>
      <c r="CA16" s="56">
        <v>240</v>
      </c>
      <c r="CB16" s="56">
        <v>166</v>
      </c>
      <c r="CC16" s="56">
        <v>165</v>
      </c>
      <c r="CD16" s="56">
        <v>340</v>
      </c>
      <c r="CE16" s="56">
        <v>161</v>
      </c>
      <c r="CF16" s="56">
        <v>150</v>
      </c>
      <c r="CG16" s="61">
        <f t="shared" si="14"/>
        <v>2285</v>
      </c>
      <c r="CH16" s="57">
        <f t="shared" si="15"/>
        <v>3875</v>
      </c>
      <c r="CI16" s="26"/>
      <c r="CJ16" s="32">
        <v>0</v>
      </c>
      <c r="CK16" s="32">
        <v>0</v>
      </c>
      <c r="CL16" s="32">
        <v>0</v>
      </c>
      <c r="CM16" s="32">
        <v>0</v>
      </c>
      <c r="CN16" s="32">
        <v>0</v>
      </c>
      <c r="CO16" s="32">
        <v>0</v>
      </c>
      <c r="CP16" s="32">
        <v>0</v>
      </c>
      <c r="CQ16" s="32">
        <v>0</v>
      </c>
      <c r="CR16" s="32">
        <v>0</v>
      </c>
      <c r="CS16" s="32">
        <v>0</v>
      </c>
      <c r="CT16" s="32">
        <v>0</v>
      </c>
      <c r="CU16" s="69">
        <v>0</v>
      </c>
      <c r="CV16" s="38">
        <f t="shared" si="16"/>
        <v>0</v>
      </c>
      <c r="CW16" s="45">
        <v>731</v>
      </c>
      <c r="CX16" s="45">
        <v>615</v>
      </c>
      <c r="CY16" s="45">
        <v>976</v>
      </c>
      <c r="CZ16" s="45">
        <v>994</v>
      </c>
      <c r="DA16" s="45">
        <v>898</v>
      </c>
      <c r="DB16" s="45">
        <v>649</v>
      </c>
      <c r="DC16" s="45">
        <v>789</v>
      </c>
      <c r="DD16" s="45">
        <v>744</v>
      </c>
      <c r="DE16" s="45">
        <v>706</v>
      </c>
      <c r="DF16" s="45">
        <v>733</v>
      </c>
      <c r="DG16" s="45">
        <v>718</v>
      </c>
      <c r="DH16" s="45">
        <v>691</v>
      </c>
      <c r="DI16" s="38">
        <f t="shared" si="0"/>
        <v>9244</v>
      </c>
      <c r="DJ16" s="36">
        <f t="shared" si="17"/>
        <v>9244</v>
      </c>
      <c r="DK16" s="26"/>
      <c r="DL16" s="75">
        <v>20</v>
      </c>
      <c r="DM16" s="75">
        <v>30</v>
      </c>
      <c r="DN16" s="75">
        <v>15</v>
      </c>
      <c r="DO16" s="75">
        <v>52</v>
      </c>
      <c r="DP16" s="75">
        <v>38</v>
      </c>
      <c r="DQ16" s="75">
        <v>9</v>
      </c>
      <c r="DR16" s="75">
        <v>31</v>
      </c>
      <c r="DS16" s="75">
        <v>23</v>
      </c>
      <c r="DT16" s="75">
        <v>18</v>
      </c>
      <c r="DU16" s="75">
        <v>10</v>
      </c>
      <c r="DV16" s="75">
        <v>25</v>
      </c>
      <c r="DW16" s="83">
        <v>16</v>
      </c>
      <c r="DX16" s="38">
        <f t="shared" si="1"/>
        <v>287</v>
      </c>
      <c r="DY16" s="65">
        <v>715</v>
      </c>
      <c r="DZ16" s="65">
        <v>715</v>
      </c>
      <c r="EA16" s="65">
        <v>619</v>
      </c>
      <c r="EB16" s="65">
        <v>612</v>
      </c>
      <c r="EC16" s="65">
        <v>561</v>
      </c>
      <c r="ED16" s="65">
        <v>704</v>
      </c>
      <c r="EE16" s="65">
        <v>662</v>
      </c>
      <c r="EF16" s="65">
        <v>530</v>
      </c>
      <c r="EG16" s="65">
        <v>378</v>
      </c>
      <c r="EH16" s="65">
        <v>612</v>
      </c>
      <c r="EI16" s="65">
        <v>591</v>
      </c>
      <c r="EJ16" s="65">
        <v>435</v>
      </c>
      <c r="EK16" s="38">
        <f t="shared" si="18"/>
        <v>7134</v>
      </c>
      <c r="EL16" s="36">
        <f t="shared" si="19"/>
        <v>7421</v>
      </c>
      <c r="EM16" s="26"/>
      <c r="EN16" s="101">
        <v>804</v>
      </c>
      <c r="EO16" s="101">
        <v>820</v>
      </c>
      <c r="EP16" s="101">
        <v>880</v>
      </c>
      <c r="EQ16" s="101">
        <v>946</v>
      </c>
      <c r="ER16" s="101">
        <v>596</v>
      </c>
      <c r="ES16" s="101">
        <v>632</v>
      </c>
      <c r="ET16" s="101">
        <v>830</v>
      </c>
      <c r="EU16" s="101">
        <v>764</v>
      </c>
      <c r="EV16" s="101">
        <v>646</v>
      </c>
      <c r="EW16" s="101">
        <v>718</v>
      </c>
      <c r="EX16" s="101">
        <v>594</v>
      </c>
      <c r="EY16" s="101">
        <v>538</v>
      </c>
      <c r="EZ16" s="38">
        <f t="shared" si="2"/>
        <v>8768</v>
      </c>
      <c r="FA16" s="26"/>
      <c r="FB16" s="54">
        <v>425</v>
      </c>
      <c r="FC16" s="54">
        <v>397</v>
      </c>
      <c r="FD16" s="54">
        <v>291</v>
      </c>
      <c r="FE16" s="54">
        <v>452</v>
      </c>
      <c r="FF16" s="54">
        <v>229</v>
      </c>
      <c r="FG16" s="54">
        <v>318</v>
      </c>
      <c r="FH16" s="54">
        <v>389</v>
      </c>
      <c r="FI16" s="54">
        <v>323</v>
      </c>
      <c r="FJ16" s="54">
        <v>220</v>
      </c>
      <c r="FK16" s="54">
        <v>362</v>
      </c>
      <c r="FL16" s="54">
        <v>250</v>
      </c>
      <c r="FM16" s="54">
        <v>180</v>
      </c>
      <c r="FN16" s="38">
        <f t="shared" si="20"/>
        <v>3836</v>
      </c>
      <c r="FO16" s="26"/>
      <c r="FP16" s="32">
        <v>258</v>
      </c>
      <c r="FQ16" s="32">
        <v>286</v>
      </c>
      <c r="FR16" s="32">
        <v>305</v>
      </c>
      <c r="FS16" s="32">
        <v>249</v>
      </c>
      <c r="FT16" s="32">
        <v>194</v>
      </c>
      <c r="FU16" s="32">
        <v>188</v>
      </c>
      <c r="FV16" s="32">
        <v>193</v>
      </c>
      <c r="FW16" s="32">
        <v>203</v>
      </c>
      <c r="FX16" s="32">
        <v>162</v>
      </c>
      <c r="FY16" s="32">
        <v>163</v>
      </c>
      <c r="FZ16" s="32">
        <v>153</v>
      </c>
      <c r="GA16" s="32">
        <v>113</v>
      </c>
      <c r="GB16" s="38">
        <f t="shared" si="21"/>
        <v>2467</v>
      </c>
      <c r="GC16" s="26"/>
      <c r="GD16" s="101">
        <v>59</v>
      </c>
      <c r="GE16" s="101">
        <v>54</v>
      </c>
      <c r="GF16" s="101">
        <v>72</v>
      </c>
      <c r="GG16" s="101">
        <v>87</v>
      </c>
      <c r="GH16" s="101">
        <v>96</v>
      </c>
      <c r="GI16" s="101">
        <v>49</v>
      </c>
      <c r="GJ16" s="101">
        <v>72</v>
      </c>
      <c r="GK16" s="101">
        <v>139</v>
      </c>
      <c r="GL16" s="101">
        <v>3</v>
      </c>
      <c r="GM16" s="101">
        <v>53</v>
      </c>
      <c r="GN16" s="101">
        <v>74</v>
      </c>
      <c r="GO16" s="101">
        <v>187</v>
      </c>
      <c r="GP16" s="38">
        <f t="shared" si="22"/>
        <v>945</v>
      </c>
      <c r="GQ16" s="26"/>
      <c r="GR16" s="32">
        <v>10</v>
      </c>
      <c r="GS16" s="32">
        <v>15</v>
      </c>
      <c r="GT16" s="32">
        <v>9</v>
      </c>
      <c r="GU16" s="32">
        <v>12</v>
      </c>
      <c r="GV16" s="32">
        <v>10</v>
      </c>
      <c r="GW16" s="32">
        <v>13</v>
      </c>
      <c r="GX16" s="32">
        <v>11</v>
      </c>
      <c r="GY16" s="32">
        <v>7</v>
      </c>
      <c r="GZ16" s="32">
        <v>11</v>
      </c>
      <c r="HA16" s="32">
        <v>5</v>
      </c>
      <c r="HB16" s="32">
        <v>9</v>
      </c>
      <c r="HC16" s="32">
        <v>7</v>
      </c>
      <c r="HD16" s="38">
        <f t="shared" si="23"/>
        <v>119</v>
      </c>
      <c r="HE16" s="26"/>
      <c r="HF16" s="45">
        <v>435</v>
      </c>
      <c r="HG16" s="45">
        <v>419</v>
      </c>
      <c r="HH16" s="45">
        <v>386</v>
      </c>
      <c r="HI16" s="45">
        <v>501</v>
      </c>
      <c r="HJ16" s="45">
        <v>518</v>
      </c>
      <c r="HK16" s="45">
        <v>486</v>
      </c>
      <c r="HL16" s="45">
        <v>772</v>
      </c>
      <c r="HM16" s="45">
        <v>593</v>
      </c>
      <c r="HN16" s="45">
        <v>593</v>
      </c>
      <c r="HO16" s="45">
        <v>560</v>
      </c>
      <c r="HP16" s="45">
        <v>634</v>
      </c>
      <c r="HQ16" s="45">
        <v>560</v>
      </c>
      <c r="HR16" s="38">
        <f t="shared" si="24"/>
        <v>6457</v>
      </c>
      <c r="HS16" s="26"/>
      <c r="HT16" s="32">
        <v>292</v>
      </c>
      <c r="HU16" s="32">
        <v>305</v>
      </c>
      <c r="HV16" s="32">
        <v>298</v>
      </c>
      <c r="HW16" s="32">
        <v>310</v>
      </c>
      <c r="HX16" s="32">
        <v>328</v>
      </c>
      <c r="HY16" s="32">
        <v>297</v>
      </c>
      <c r="HZ16" s="32">
        <v>278</v>
      </c>
      <c r="IA16" s="32">
        <v>325</v>
      </c>
      <c r="IB16" s="32">
        <v>301</v>
      </c>
      <c r="IC16" s="32">
        <v>295</v>
      </c>
      <c r="ID16" s="32">
        <v>332</v>
      </c>
      <c r="IE16" s="32">
        <v>179</v>
      </c>
      <c r="IF16" s="38">
        <f t="shared" si="3"/>
        <v>3540</v>
      </c>
      <c r="IG16" s="104">
        <v>154</v>
      </c>
      <c r="IH16" s="104">
        <v>103</v>
      </c>
      <c r="II16" s="104">
        <v>109</v>
      </c>
      <c r="IJ16" s="104">
        <v>97</v>
      </c>
      <c r="IK16" s="104">
        <v>121</v>
      </c>
      <c r="IL16" s="104">
        <v>194</v>
      </c>
      <c r="IM16" s="104">
        <v>177</v>
      </c>
      <c r="IN16" s="104">
        <v>113</v>
      </c>
      <c r="IO16" s="104">
        <v>121</v>
      </c>
      <c r="IP16" s="104">
        <v>188</v>
      </c>
      <c r="IQ16" s="104">
        <v>145</v>
      </c>
      <c r="IR16" s="104">
        <v>138</v>
      </c>
      <c r="IS16" s="38">
        <f t="shared" si="25"/>
        <v>1660</v>
      </c>
      <c r="IT16" s="36">
        <f t="shared" si="26"/>
        <v>5200</v>
      </c>
      <c r="IU16" s="26"/>
      <c r="IV16" s="32">
        <v>206</v>
      </c>
      <c r="IW16" s="32">
        <v>220</v>
      </c>
      <c r="IX16" s="32">
        <v>250</v>
      </c>
      <c r="IY16" s="32">
        <v>246</v>
      </c>
      <c r="IZ16" s="32">
        <v>208</v>
      </c>
      <c r="JA16" s="32">
        <v>199</v>
      </c>
      <c r="JB16" s="32">
        <v>208</v>
      </c>
      <c r="JC16" s="32">
        <v>215</v>
      </c>
      <c r="JD16" s="32">
        <v>236</v>
      </c>
      <c r="JE16" s="32">
        <v>226</v>
      </c>
      <c r="JF16" s="32">
        <v>251</v>
      </c>
      <c r="JG16" s="32">
        <v>235</v>
      </c>
      <c r="JH16" s="38">
        <f t="shared" si="27"/>
        <v>2700</v>
      </c>
      <c r="JI16" s="97">
        <v>1197.8</v>
      </c>
      <c r="JJ16" s="97">
        <v>889</v>
      </c>
      <c r="JK16" s="97">
        <v>736.80000000000007</v>
      </c>
      <c r="JL16" s="97">
        <v>1010</v>
      </c>
      <c r="JM16" s="97">
        <v>609.20000000000005</v>
      </c>
      <c r="JN16" s="97">
        <v>880.80000000000007</v>
      </c>
      <c r="JO16" s="97">
        <v>951.6</v>
      </c>
      <c r="JP16" s="97">
        <v>856.80000000000007</v>
      </c>
      <c r="JQ16" s="97">
        <v>770.80000000000007</v>
      </c>
      <c r="JR16" s="97">
        <v>1000.4000000000001</v>
      </c>
      <c r="JS16" s="97">
        <v>924.6</v>
      </c>
      <c r="JT16" s="97">
        <v>890</v>
      </c>
      <c r="JU16" s="112">
        <f t="shared" si="4"/>
        <v>10717.800000000001</v>
      </c>
      <c r="JV16" s="36">
        <f t="shared" si="28"/>
        <v>13417.800000000001</v>
      </c>
      <c r="JW16" s="26"/>
      <c r="JX16" s="32">
        <v>0</v>
      </c>
      <c r="JY16" s="32">
        <v>0</v>
      </c>
      <c r="JZ16" s="32">
        <v>0</v>
      </c>
      <c r="KA16" s="32">
        <v>0</v>
      </c>
      <c r="KB16" s="32">
        <v>0</v>
      </c>
      <c r="KC16" s="32">
        <v>0</v>
      </c>
      <c r="KD16" s="32">
        <v>0</v>
      </c>
      <c r="KE16" s="32">
        <v>0</v>
      </c>
      <c r="KF16" s="32">
        <v>7</v>
      </c>
      <c r="KG16" s="32">
        <v>48</v>
      </c>
      <c r="KH16" s="32">
        <v>63</v>
      </c>
      <c r="KI16" s="32">
        <v>28</v>
      </c>
      <c r="KJ16" s="38">
        <f t="shared" si="29"/>
        <v>146</v>
      </c>
      <c r="KK16" s="114">
        <v>981</v>
      </c>
      <c r="KL16" s="114">
        <v>610</v>
      </c>
      <c r="KM16" s="114">
        <v>548</v>
      </c>
      <c r="KN16" s="114">
        <v>383</v>
      </c>
      <c r="KO16" s="114">
        <v>356</v>
      </c>
      <c r="KP16" s="114">
        <v>456</v>
      </c>
      <c r="KQ16" s="114">
        <v>660</v>
      </c>
      <c r="KR16" s="114">
        <v>431</v>
      </c>
      <c r="KS16" s="114">
        <v>407</v>
      </c>
      <c r="KT16" s="114">
        <v>458</v>
      </c>
      <c r="KU16" s="114">
        <v>377</v>
      </c>
      <c r="KV16" s="114">
        <v>358</v>
      </c>
      <c r="KW16" s="38">
        <f>SUM(KK16:KV16)</f>
        <v>6025</v>
      </c>
      <c r="KX16" s="36">
        <f t="shared" si="30"/>
        <v>6171</v>
      </c>
      <c r="KY16" s="26"/>
      <c r="KZ16" s="32">
        <v>0</v>
      </c>
      <c r="LA16" s="32">
        <v>0</v>
      </c>
      <c r="LB16" s="32">
        <v>0</v>
      </c>
      <c r="LC16" s="32">
        <v>0</v>
      </c>
      <c r="LD16" s="32">
        <v>0</v>
      </c>
      <c r="LE16" s="32">
        <v>0</v>
      </c>
      <c r="LF16" s="32">
        <v>0</v>
      </c>
      <c r="LG16" s="32">
        <v>0</v>
      </c>
      <c r="LH16" s="32">
        <v>0</v>
      </c>
      <c r="LI16" s="32">
        <v>0</v>
      </c>
      <c r="LJ16" s="32">
        <v>0</v>
      </c>
      <c r="LK16" s="32">
        <v>0</v>
      </c>
      <c r="LL16" s="38">
        <f t="shared" si="6"/>
        <v>0</v>
      </c>
      <c r="LM16" s="26"/>
      <c r="LN16" s="71">
        <v>812</v>
      </c>
      <c r="LO16" s="71">
        <v>679</v>
      </c>
      <c r="LP16" s="71">
        <v>612</v>
      </c>
      <c r="LQ16" s="71">
        <v>750</v>
      </c>
      <c r="LR16" s="71">
        <v>711</v>
      </c>
      <c r="LS16" s="71">
        <v>682</v>
      </c>
      <c r="LT16" s="71">
        <v>776</v>
      </c>
      <c r="LU16" s="45">
        <v>684</v>
      </c>
      <c r="LV16" s="45">
        <v>673</v>
      </c>
      <c r="LW16" s="45">
        <v>840</v>
      </c>
      <c r="LX16" s="45">
        <v>590</v>
      </c>
      <c r="LY16" s="45">
        <v>697</v>
      </c>
      <c r="LZ16" s="38">
        <f t="shared" si="31"/>
        <v>8506</v>
      </c>
      <c r="MA16" s="26"/>
      <c r="MB16" s="45">
        <v>740</v>
      </c>
      <c r="MC16" s="45">
        <v>831</v>
      </c>
      <c r="MD16" s="45">
        <v>660</v>
      </c>
      <c r="ME16" s="45">
        <v>665</v>
      </c>
      <c r="MF16" s="45">
        <v>579</v>
      </c>
      <c r="MG16" s="45">
        <v>801</v>
      </c>
      <c r="MH16" s="45">
        <v>1062</v>
      </c>
      <c r="MI16" s="45">
        <v>826</v>
      </c>
      <c r="MJ16" s="45">
        <v>589</v>
      </c>
      <c r="MK16" s="45">
        <v>841</v>
      </c>
      <c r="ML16" s="45">
        <v>861</v>
      </c>
      <c r="MM16" s="45">
        <v>518</v>
      </c>
      <c r="MN16" s="38">
        <f t="shared" si="32"/>
        <v>8973</v>
      </c>
      <c r="MO16" s="32">
        <v>1534</v>
      </c>
      <c r="MP16" s="32">
        <v>799</v>
      </c>
      <c r="MQ16" s="32">
        <v>683</v>
      </c>
      <c r="MR16" s="32">
        <v>853</v>
      </c>
      <c r="MS16" s="32">
        <v>1070</v>
      </c>
      <c r="MT16" s="32">
        <v>966</v>
      </c>
      <c r="MU16" s="32">
        <v>1778</v>
      </c>
      <c r="MV16" s="32">
        <v>1560</v>
      </c>
      <c r="MW16" s="32">
        <v>1425</v>
      </c>
      <c r="MX16" s="32">
        <v>2215</v>
      </c>
      <c r="MY16" s="32">
        <v>2288</v>
      </c>
      <c r="MZ16" s="32">
        <v>1183</v>
      </c>
      <c r="NA16" s="38">
        <f t="shared" si="33"/>
        <v>16354</v>
      </c>
      <c r="NB16" s="36">
        <f t="shared" si="34"/>
        <v>25327</v>
      </c>
      <c r="NC16" s="26"/>
      <c r="ND16" s="101">
        <v>177</v>
      </c>
      <c r="NE16" s="101">
        <v>156</v>
      </c>
      <c r="NF16" s="101">
        <v>171</v>
      </c>
      <c r="NG16" s="101">
        <v>152</v>
      </c>
      <c r="NH16" s="101">
        <v>103</v>
      </c>
      <c r="NI16" s="101">
        <v>95</v>
      </c>
      <c r="NJ16" s="101">
        <v>175</v>
      </c>
      <c r="NK16" s="101">
        <v>92</v>
      </c>
      <c r="NL16" s="101">
        <v>88</v>
      </c>
      <c r="NM16" s="101">
        <v>89</v>
      </c>
      <c r="NN16" s="101">
        <v>49</v>
      </c>
      <c r="NO16" s="101">
        <v>59</v>
      </c>
      <c r="NP16" s="38">
        <f t="shared" si="35"/>
        <v>1406</v>
      </c>
      <c r="NQ16" s="36">
        <f t="shared" si="36"/>
        <v>32467</v>
      </c>
      <c r="NR16" s="36">
        <f t="shared" si="37"/>
        <v>70406</v>
      </c>
      <c r="NS16" s="36">
        <f t="shared" si="38"/>
        <v>27071.800000000003</v>
      </c>
      <c r="NT16" s="36">
        <f t="shared" si="39"/>
        <v>129944.8</v>
      </c>
      <c r="NU16" s="18"/>
      <c r="NV16" s="18"/>
      <c r="NW16" s="18"/>
      <c r="NX16" s="19"/>
      <c r="NY16" s="19"/>
      <c r="NZ16" s="19"/>
      <c r="OA16" s="19"/>
      <c r="OB16" s="19"/>
      <c r="OC16" s="19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8"/>
      <c r="OR16" s="18"/>
      <c r="OS16" s="18"/>
      <c r="OT16" s="18"/>
      <c r="OU16" s="18"/>
      <c r="OV16" s="18"/>
      <c r="OW16" s="18"/>
      <c r="OX16" s="19"/>
      <c r="OY16" s="19"/>
      <c r="OZ16" s="19"/>
      <c r="PA16" s="19"/>
      <c r="PB16" s="19"/>
      <c r="PC16" s="19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8"/>
      <c r="PR16" s="18"/>
      <c r="PS16" s="18"/>
      <c r="PT16" s="18"/>
      <c r="PU16" s="18"/>
      <c r="PV16" s="18"/>
      <c r="PW16" s="18"/>
      <c r="PX16" s="19"/>
      <c r="PY16" s="19"/>
      <c r="PZ16" s="19"/>
      <c r="QA16" s="19"/>
      <c r="QB16" s="19"/>
      <c r="QC16" s="19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</row>
    <row r="17" spans="1:458" s="1" customFormat="1" ht="50.1" customHeight="1" x14ac:dyDescent="0.25">
      <c r="A17" s="120"/>
      <c r="B17" s="6" t="s">
        <v>18</v>
      </c>
      <c r="C17" s="23"/>
      <c r="D17" s="41">
        <v>81</v>
      </c>
      <c r="E17" s="41">
        <v>85</v>
      </c>
      <c r="F17" s="41">
        <v>78</v>
      </c>
      <c r="G17" s="41">
        <v>49</v>
      </c>
      <c r="H17" s="41">
        <v>114</v>
      </c>
      <c r="I17" s="41">
        <v>43</v>
      </c>
      <c r="J17" s="41">
        <v>58</v>
      </c>
      <c r="K17" s="41">
        <v>89</v>
      </c>
      <c r="L17" s="41">
        <v>105</v>
      </c>
      <c r="M17" s="41">
        <v>53</v>
      </c>
      <c r="N17" s="41">
        <v>50</v>
      </c>
      <c r="O17" s="41">
        <v>31</v>
      </c>
      <c r="P17" s="38">
        <f t="shared" si="7"/>
        <v>836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38">
        <f t="shared" si="8"/>
        <v>0</v>
      </c>
      <c r="AD17" s="36">
        <f t="shared" si="9"/>
        <v>836</v>
      </c>
      <c r="AE17" s="26"/>
      <c r="AF17" s="32">
        <v>0</v>
      </c>
      <c r="AG17" s="32">
        <v>4</v>
      </c>
      <c r="AH17" s="32">
        <v>2</v>
      </c>
      <c r="AI17" s="32">
        <v>6</v>
      </c>
      <c r="AJ17" s="32">
        <v>4</v>
      </c>
      <c r="AK17" s="32">
        <v>2</v>
      </c>
      <c r="AL17" s="32">
        <v>1</v>
      </c>
      <c r="AM17" s="32">
        <v>0</v>
      </c>
      <c r="AN17" s="32">
        <v>0</v>
      </c>
      <c r="AO17" s="32">
        <v>0</v>
      </c>
      <c r="AP17" s="32">
        <v>1</v>
      </c>
      <c r="AQ17" s="32">
        <v>5</v>
      </c>
      <c r="AR17" s="38">
        <f t="shared" si="10"/>
        <v>25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8">
        <f t="shared" si="11"/>
        <v>0</v>
      </c>
      <c r="BF17" s="36">
        <f t="shared" si="12"/>
        <v>25</v>
      </c>
      <c r="BG17" s="26"/>
      <c r="BH17" s="41">
        <v>61</v>
      </c>
      <c r="BI17" s="41">
        <v>47</v>
      </c>
      <c r="BJ17" s="41">
        <v>35</v>
      </c>
      <c r="BK17" s="41">
        <v>23</v>
      </c>
      <c r="BL17" s="41">
        <v>24</v>
      </c>
      <c r="BM17" s="41">
        <v>18</v>
      </c>
      <c r="BN17" s="41">
        <v>23</v>
      </c>
      <c r="BO17" s="41">
        <v>19</v>
      </c>
      <c r="BP17" s="41">
        <v>23</v>
      </c>
      <c r="BQ17" s="41">
        <v>8</v>
      </c>
      <c r="BR17" s="41">
        <v>7</v>
      </c>
      <c r="BS17" s="41">
        <v>3</v>
      </c>
      <c r="BT17" s="38">
        <f t="shared" si="13"/>
        <v>291</v>
      </c>
      <c r="BU17" s="56">
        <v>29</v>
      </c>
      <c r="BV17" s="56">
        <v>16</v>
      </c>
      <c r="BW17" s="56">
        <v>42</v>
      </c>
      <c r="BX17" s="56">
        <v>38</v>
      </c>
      <c r="BY17" s="56">
        <v>42</v>
      </c>
      <c r="BZ17" s="56">
        <v>27</v>
      </c>
      <c r="CA17" s="56">
        <v>44</v>
      </c>
      <c r="CB17" s="56">
        <v>50</v>
      </c>
      <c r="CC17" s="56">
        <v>73</v>
      </c>
      <c r="CD17" s="56">
        <v>48</v>
      </c>
      <c r="CE17" s="56">
        <v>27</v>
      </c>
      <c r="CF17" s="56">
        <v>51</v>
      </c>
      <c r="CG17" s="61">
        <f t="shared" si="14"/>
        <v>487</v>
      </c>
      <c r="CH17" s="57">
        <f t="shared" si="15"/>
        <v>778</v>
      </c>
      <c r="CI17" s="26"/>
      <c r="CJ17" s="32">
        <v>0</v>
      </c>
      <c r="CK17" s="32">
        <v>0</v>
      </c>
      <c r="CL17" s="32">
        <v>0</v>
      </c>
      <c r="CM17" s="32">
        <v>0</v>
      </c>
      <c r="CN17" s="32">
        <v>0</v>
      </c>
      <c r="CO17" s="32">
        <v>0</v>
      </c>
      <c r="CP17" s="32">
        <v>0</v>
      </c>
      <c r="CQ17" s="32">
        <v>0</v>
      </c>
      <c r="CR17" s="32">
        <v>0</v>
      </c>
      <c r="CS17" s="32">
        <v>0</v>
      </c>
      <c r="CT17" s="32">
        <v>0</v>
      </c>
      <c r="CU17" s="69">
        <v>0</v>
      </c>
      <c r="CV17" s="38">
        <f t="shared" si="16"/>
        <v>0</v>
      </c>
      <c r="CW17" s="45">
        <v>76</v>
      </c>
      <c r="CX17" s="45">
        <v>114</v>
      </c>
      <c r="CY17" s="45">
        <v>78</v>
      </c>
      <c r="CZ17" s="45">
        <v>75</v>
      </c>
      <c r="DA17" s="45">
        <v>98</v>
      </c>
      <c r="DB17" s="45">
        <v>118</v>
      </c>
      <c r="DC17" s="45">
        <v>103</v>
      </c>
      <c r="DD17" s="45">
        <v>122</v>
      </c>
      <c r="DE17" s="45">
        <v>105</v>
      </c>
      <c r="DF17" s="45">
        <v>87</v>
      </c>
      <c r="DG17" s="45">
        <v>87</v>
      </c>
      <c r="DH17" s="45">
        <v>89</v>
      </c>
      <c r="DI17" s="38">
        <f t="shared" si="0"/>
        <v>1152</v>
      </c>
      <c r="DJ17" s="36">
        <f t="shared" si="17"/>
        <v>1152</v>
      </c>
      <c r="DK17" s="26"/>
      <c r="DL17" s="75">
        <v>0</v>
      </c>
      <c r="DM17" s="75">
        <v>0</v>
      </c>
      <c r="DN17" s="75">
        <v>0</v>
      </c>
      <c r="DO17" s="75">
        <v>0</v>
      </c>
      <c r="DP17" s="75">
        <v>0</v>
      </c>
      <c r="DQ17" s="75">
        <v>0</v>
      </c>
      <c r="DR17" s="75">
        <v>0</v>
      </c>
      <c r="DS17" s="75">
        <v>0</v>
      </c>
      <c r="DT17" s="75">
        <v>0</v>
      </c>
      <c r="DU17" s="75">
        <v>0</v>
      </c>
      <c r="DV17" s="75">
        <v>0</v>
      </c>
      <c r="DW17" s="83">
        <v>0</v>
      </c>
      <c r="DX17" s="38">
        <f t="shared" si="1"/>
        <v>0</v>
      </c>
      <c r="DY17" s="65">
        <v>63</v>
      </c>
      <c r="DZ17" s="65">
        <v>63</v>
      </c>
      <c r="EA17" s="65">
        <v>48</v>
      </c>
      <c r="EB17" s="65">
        <v>59</v>
      </c>
      <c r="EC17" s="65">
        <v>90</v>
      </c>
      <c r="ED17" s="65">
        <v>47</v>
      </c>
      <c r="EE17" s="65">
        <v>49</v>
      </c>
      <c r="EF17" s="65">
        <v>85</v>
      </c>
      <c r="EG17" s="65">
        <v>64</v>
      </c>
      <c r="EH17" s="65">
        <v>29</v>
      </c>
      <c r="EI17" s="65">
        <v>20</v>
      </c>
      <c r="EJ17" s="65">
        <v>49</v>
      </c>
      <c r="EK17" s="38">
        <f t="shared" si="18"/>
        <v>666</v>
      </c>
      <c r="EL17" s="36">
        <f t="shared" si="19"/>
        <v>666</v>
      </c>
      <c r="EM17" s="26"/>
      <c r="EN17" s="101">
        <v>230</v>
      </c>
      <c r="EO17" s="101">
        <v>158</v>
      </c>
      <c r="EP17" s="101">
        <v>398</v>
      </c>
      <c r="EQ17" s="101">
        <v>300</v>
      </c>
      <c r="ER17" s="101">
        <v>256</v>
      </c>
      <c r="ES17" s="101">
        <v>184</v>
      </c>
      <c r="ET17" s="101">
        <v>146</v>
      </c>
      <c r="EU17" s="101">
        <v>158</v>
      </c>
      <c r="EV17" s="101">
        <v>260</v>
      </c>
      <c r="EW17" s="101">
        <v>310</v>
      </c>
      <c r="EX17" s="101">
        <v>158</v>
      </c>
      <c r="EY17" s="101">
        <v>232</v>
      </c>
      <c r="EZ17" s="38">
        <f t="shared" si="2"/>
        <v>2790</v>
      </c>
      <c r="FA17" s="26"/>
      <c r="FB17" s="54">
        <v>39</v>
      </c>
      <c r="FC17" s="54">
        <v>55</v>
      </c>
      <c r="FD17" s="54">
        <v>106</v>
      </c>
      <c r="FE17" s="54">
        <v>57</v>
      </c>
      <c r="FF17" s="54">
        <v>41</v>
      </c>
      <c r="FG17" s="54">
        <v>47</v>
      </c>
      <c r="FH17" s="54">
        <v>42</v>
      </c>
      <c r="FI17" s="54">
        <v>40</v>
      </c>
      <c r="FJ17" s="54">
        <v>39</v>
      </c>
      <c r="FK17" s="54">
        <v>47</v>
      </c>
      <c r="FL17" s="54">
        <v>41</v>
      </c>
      <c r="FM17" s="54">
        <v>42</v>
      </c>
      <c r="FN17" s="38">
        <f t="shared" si="20"/>
        <v>596</v>
      </c>
      <c r="FO17" s="26"/>
      <c r="FP17" s="32">
        <v>45</v>
      </c>
      <c r="FQ17" s="32">
        <v>35</v>
      </c>
      <c r="FR17" s="32">
        <v>41</v>
      </c>
      <c r="FS17" s="32">
        <v>46</v>
      </c>
      <c r="FT17" s="32">
        <v>49</v>
      </c>
      <c r="FU17" s="32">
        <v>39</v>
      </c>
      <c r="FV17" s="32">
        <v>25</v>
      </c>
      <c r="FW17" s="32">
        <v>37</v>
      </c>
      <c r="FX17" s="32">
        <v>30</v>
      </c>
      <c r="FY17" s="32">
        <v>34</v>
      </c>
      <c r="FZ17" s="32">
        <v>30</v>
      </c>
      <c r="GA17" s="32">
        <v>20</v>
      </c>
      <c r="GB17" s="38">
        <f t="shared" si="21"/>
        <v>431</v>
      </c>
      <c r="GC17" s="26"/>
      <c r="GD17" s="101">
        <v>13</v>
      </c>
      <c r="GE17" s="101">
        <v>0</v>
      </c>
      <c r="GF17" s="101">
        <v>1</v>
      </c>
      <c r="GG17" s="101">
        <v>6</v>
      </c>
      <c r="GH17" s="101">
        <v>18</v>
      </c>
      <c r="GI17" s="101">
        <v>37</v>
      </c>
      <c r="GJ17" s="101">
        <v>13</v>
      </c>
      <c r="GK17" s="101">
        <v>29</v>
      </c>
      <c r="GL17" s="101">
        <v>23</v>
      </c>
      <c r="GM17" s="101">
        <v>28</v>
      </c>
      <c r="GN17" s="101">
        <v>29</v>
      </c>
      <c r="GO17" s="101">
        <v>23</v>
      </c>
      <c r="GP17" s="38">
        <f t="shared" si="22"/>
        <v>220</v>
      </c>
      <c r="GQ17" s="26"/>
      <c r="GR17" s="32">
        <v>3</v>
      </c>
      <c r="GS17" s="32">
        <v>4</v>
      </c>
      <c r="GT17" s="32">
        <v>4</v>
      </c>
      <c r="GU17" s="32">
        <v>2</v>
      </c>
      <c r="GV17" s="32">
        <v>5</v>
      </c>
      <c r="GW17" s="32">
        <v>3</v>
      </c>
      <c r="GX17" s="32">
        <v>4</v>
      </c>
      <c r="GY17" s="32">
        <v>2</v>
      </c>
      <c r="GZ17" s="32">
        <v>2</v>
      </c>
      <c r="HA17" s="32">
        <v>8</v>
      </c>
      <c r="HB17" s="32">
        <v>2</v>
      </c>
      <c r="HC17" s="32">
        <v>3</v>
      </c>
      <c r="HD17" s="38">
        <f t="shared" si="23"/>
        <v>42</v>
      </c>
      <c r="HE17" s="26"/>
      <c r="HF17" s="45">
        <v>135</v>
      </c>
      <c r="HG17" s="45">
        <v>157</v>
      </c>
      <c r="HH17" s="45">
        <v>137</v>
      </c>
      <c r="HI17" s="45">
        <v>145</v>
      </c>
      <c r="HJ17" s="45">
        <v>168</v>
      </c>
      <c r="HK17" s="45">
        <v>158</v>
      </c>
      <c r="HL17" s="45">
        <v>159</v>
      </c>
      <c r="HM17" s="45">
        <v>125</v>
      </c>
      <c r="HN17" s="45">
        <v>173</v>
      </c>
      <c r="HO17" s="45">
        <v>153</v>
      </c>
      <c r="HP17" s="45">
        <v>132</v>
      </c>
      <c r="HQ17" s="45">
        <v>167</v>
      </c>
      <c r="HR17" s="38">
        <f t="shared" si="24"/>
        <v>1809</v>
      </c>
      <c r="HS17" s="26"/>
      <c r="HT17" s="32">
        <v>1</v>
      </c>
      <c r="HU17" s="32">
        <v>3</v>
      </c>
      <c r="HV17" s="32">
        <v>3</v>
      </c>
      <c r="HW17" s="32">
        <v>2</v>
      </c>
      <c r="HX17" s="32">
        <v>2</v>
      </c>
      <c r="HY17" s="32">
        <v>3</v>
      </c>
      <c r="HZ17" s="32">
        <v>2</v>
      </c>
      <c r="IA17" s="32">
        <v>5</v>
      </c>
      <c r="IB17" s="32">
        <v>4</v>
      </c>
      <c r="IC17" s="32">
        <v>8</v>
      </c>
      <c r="ID17" s="32">
        <v>7</v>
      </c>
      <c r="IE17" s="32">
        <v>2</v>
      </c>
      <c r="IF17" s="38">
        <f t="shared" si="3"/>
        <v>42</v>
      </c>
      <c r="IG17" s="104">
        <v>40</v>
      </c>
      <c r="IH17" s="104">
        <v>23</v>
      </c>
      <c r="II17" s="104">
        <v>23</v>
      </c>
      <c r="IJ17" s="104">
        <v>17</v>
      </c>
      <c r="IK17" s="104">
        <v>25</v>
      </c>
      <c r="IL17" s="104">
        <v>22</v>
      </c>
      <c r="IM17" s="104">
        <v>9</v>
      </c>
      <c r="IN17" s="104">
        <v>3</v>
      </c>
      <c r="IO17" s="104">
        <v>12</v>
      </c>
      <c r="IP17" s="104">
        <v>14</v>
      </c>
      <c r="IQ17" s="104">
        <v>21</v>
      </c>
      <c r="IR17" s="104">
        <v>11</v>
      </c>
      <c r="IS17" s="38">
        <f t="shared" si="25"/>
        <v>220</v>
      </c>
      <c r="IT17" s="36">
        <f t="shared" si="26"/>
        <v>262</v>
      </c>
      <c r="IU17" s="26"/>
      <c r="IV17" s="32">
        <v>39</v>
      </c>
      <c r="IW17" s="32">
        <v>36</v>
      </c>
      <c r="IX17" s="32">
        <v>38</v>
      </c>
      <c r="IY17" s="32">
        <v>40</v>
      </c>
      <c r="IZ17" s="32">
        <v>45</v>
      </c>
      <c r="JA17" s="32">
        <v>46</v>
      </c>
      <c r="JB17" s="32">
        <v>40</v>
      </c>
      <c r="JC17" s="32">
        <v>39</v>
      </c>
      <c r="JD17" s="32">
        <v>38</v>
      </c>
      <c r="JE17" s="32">
        <v>30</v>
      </c>
      <c r="JF17" s="32">
        <v>36</v>
      </c>
      <c r="JG17" s="32">
        <v>38</v>
      </c>
      <c r="JH17" s="38">
        <f t="shared" si="27"/>
        <v>465</v>
      </c>
      <c r="JI17" s="97">
        <v>188.4</v>
      </c>
      <c r="JJ17" s="97">
        <v>234.60000000000002</v>
      </c>
      <c r="JK17" s="97">
        <v>349</v>
      </c>
      <c r="JL17" s="97">
        <v>259.40000000000003</v>
      </c>
      <c r="JM17" s="97">
        <v>122.80000000000001</v>
      </c>
      <c r="JN17" s="97">
        <v>234</v>
      </c>
      <c r="JO17" s="97">
        <v>239</v>
      </c>
      <c r="JP17" s="97">
        <v>200.60000000000002</v>
      </c>
      <c r="JQ17" s="97">
        <v>319.60000000000002</v>
      </c>
      <c r="JR17" s="97">
        <v>173.20000000000002</v>
      </c>
      <c r="JS17" s="97">
        <v>219.20000000000002</v>
      </c>
      <c r="JT17" s="97">
        <v>203.20000000000002</v>
      </c>
      <c r="JU17" s="112">
        <f t="shared" si="4"/>
        <v>2742.9999999999995</v>
      </c>
      <c r="JV17" s="36">
        <f t="shared" si="28"/>
        <v>3207.9999999999995</v>
      </c>
      <c r="JW17" s="26"/>
      <c r="JX17" s="32">
        <v>0</v>
      </c>
      <c r="JY17" s="32">
        <v>0</v>
      </c>
      <c r="JZ17" s="32">
        <v>0</v>
      </c>
      <c r="KA17" s="32">
        <v>0</v>
      </c>
      <c r="KB17" s="32">
        <v>0</v>
      </c>
      <c r="KC17" s="32">
        <v>0</v>
      </c>
      <c r="KD17" s="32">
        <v>0</v>
      </c>
      <c r="KE17" s="32">
        <v>0</v>
      </c>
      <c r="KF17" s="32">
        <v>3</v>
      </c>
      <c r="KG17" s="32">
        <v>22</v>
      </c>
      <c r="KH17" s="32">
        <v>12</v>
      </c>
      <c r="KI17" s="32">
        <v>10</v>
      </c>
      <c r="KJ17" s="38">
        <f t="shared" si="29"/>
        <v>47</v>
      </c>
      <c r="KK17" s="114">
        <v>12</v>
      </c>
      <c r="KL17" s="114">
        <v>29</v>
      </c>
      <c r="KM17" s="114">
        <v>23</v>
      </c>
      <c r="KN17" s="114">
        <v>46</v>
      </c>
      <c r="KO17" s="114">
        <v>46</v>
      </c>
      <c r="KP17" s="114">
        <v>65</v>
      </c>
      <c r="KQ17" s="114">
        <v>135</v>
      </c>
      <c r="KR17" s="114">
        <v>38</v>
      </c>
      <c r="KS17" s="114">
        <v>39</v>
      </c>
      <c r="KT17" s="114">
        <v>19</v>
      </c>
      <c r="KU17" s="114">
        <v>26</v>
      </c>
      <c r="KV17" s="114">
        <v>43</v>
      </c>
      <c r="KW17" s="38">
        <f t="shared" si="5"/>
        <v>521</v>
      </c>
      <c r="KX17" s="36">
        <f t="shared" si="30"/>
        <v>568</v>
      </c>
      <c r="KY17" s="26"/>
      <c r="KZ17" s="32">
        <v>0</v>
      </c>
      <c r="LA17" s="32">
        <v>0</v>
      </c>
      <c r="LB17" s="32">
        <v>0</v>
      </c>
      <c r="LC17" s="32">
        <v>0</v>
      </c>
      <c r="LD17" s="32">
        <v>0</v>
      </c>
      <c r="LE17" s="32">
        <v>0</v>
      </c>
      <c r="LF17" s="32">
        <v>0</v>
      </c>
      <c r="LG17" s="32">
        <v>0</v>
      </c>
      <c r="LH17" s="32">
        <v>0</v>
      </c>
      <c r="LI17" s="32">
        <v>0</v>
      </c>
      <c r="LJ17" s="32">
        <v>0</v>
      </c>
      <c r="LK17" s="32">
        <v>0</v>
      </c>
      <c r="LL17" s="38">
        <f t="shared" si="6"/>
        <v>0</v>
      </c>
      <c r="LM17" s="26"/>
      <c r="LN17" s="71">
        <v>121</v>
      </c>
      <c r="LO17" s="71">
        <v>52</v>
      </c>
      <c r="LP17" s="71">
        <v>81</v>
      </c>
      <c r="LQ17" s="71">
        <v>125</v>
      </c>
      <c r="LR17" s="71">
        <v>183</v>
      </c>
      <c r="LS17" s="71">
        <v>157</v>
      </c>
      <c r="LT17" s="71">
        <v>72</v>
      </c>
      <c r="LU17" s="45">
        <v>97</v>
      </c>
      <c r="LV17" s="45">
        <v>149</v>
      </c>
      <c r="LW17" s="45">
        <v>112</v>
      </c>
      <c r="LX17" s="45">
        <v>46</v>
      </c>
      <c r="LY17" s="45">
        <v>81</v>
      </c>
      <c r="LZ17" s="38">
        <f t="shared" si="31"/>
        <v>1276</v>
      </c>
      <c r="MA17" s="26"/>
      <c r="MB17" s="45">
        <v>184</v>
      </c>
      <c r="MC17" s="45">
        <v>195</v>
      </c>
      <c r="MD17" s="45">
        <v>241</v>
      </c>
      <c r="ME17" s="45">
        <v>313</v>
      </c>
      <c r="MF17" s="45">
        <v>217</v>
      </c>
      <c r="MG17" s="45">
        <v>226</v>
      </c>
      <c r="MH17" s="45">
        <v>180</v>
      </c>
      <c r="MI17" s="45">
        <v>243</v>
      </c>
      <c r="MJ17" s="45">
        <v>204</v>
      </c>
      <c r="MK17" s="45">
        <v>304</v>
      </c>
      <c r="ML17" s="45">
        <v>318</v>
      </c>
      <c r="MM17" s="45">
        <v>150</v>
      </c>
      <c r="MN17" s="38">
        <f t="shared" si="32"/>
        <v>2775</v>
      </c>
      <c r="MO17" s="32">
        <v>886</v>
      </c>
      <c r="MP17" s="32">
        <v>663</v>
      </c>
      <c r="MQ17" s="32">
        <v>711</v>
      </c>
      <c r="MR17" s="32">
        <v>797</v>
      </c>
      <c r="MS17" s="32">
        <v>841</v>
      </c>
      <c r="MT17" s="32">
        <v>949</v>
      </c>
      <c r="MU17" s="32">
        <v>1000</v>
      </c>
      <c r="MV17" s="32">
        <v>831</v>
      </c>
      <c r="MW17" s="32">
        <v>1009</v>
      </c>
      <c r="MX17" s="32">
        <v>1018</v>
      </c>
      <c r="MY17" s="32">
        <v>1010</v>
      </c>
      <c r="MZ17" s="32">
        <v>813</v>
      </c>
      <c r="NA17" s="38">
        <f t="shared" si="33"/>
        <v>10528</v>
      </c>
      <c r="NB17" s="36">
        <f t="shared" si="34"/>
        <v>13303</v>
      </c>
      <c r="NC17" s="26"/>
      <c r="ND17" s="101">
        <v>12</v>
      </c>
      <c r="NE17" s="101">
        <v>7</v>
      </c>
      <c r="NF17" s="101">
        <v>6</v>
      </c>
      <c r="NG17" s="101">
        <v>6</v>
      </c>
      <c r="NH17" s="101">
        <v>21</v>
      </c>
      <c r="NI17" s="101">
        <v>19</v>
      </c>
      <c r="NJ17" s="101">
        <v>19</v>
      </c>
      <c r="NK17" s="101">
        <v>22</v>
      </c>
      <c r="NL17" s="101">
        <v>32</v>
      </c>
      <c r="NM17" s="101">
        <v>5</v>
      </c>
      <c r="NN17" s="101">
        <v>3</v>
      </c>
      <c r="NO17" s="101">
        <v>11</v>
      </c>
      <c r="NP17" s="38">
        <f t="shared" si="35"/>
        <v>163</v>
      </c>
      <c r="NQ17" s="36">
        <f t="shared" si="36"/>
        <v>1283</v>
      </c>
      <c r="NR17" s="36">
        <f t="shared" si="37"/>
        <v>13571</v>
      </c>
      <c r="NS17" s="36">
        <f t="shared" si="38"/>
        <v>13271</v>
      </c>
      <c r="NT17" s="36">
        <f t="shared" si="39"/>
        <v>28125</v>
      </c>
      <c r="NU17" s="18"/>
      <c r="NV17" s="18"/>
      <c r="NW17" s="18"/>
      <c r="NX17" s="19"/>
      <c r="NY17" s="19"/>
      <c r="NZ17" s="19"/>
      <c r="OA17" s="19"/>
      <c r="OB17" s="19"/>
      <c r="OC17" s="19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8"/>
      <c r="OR17" s="18"/>
      <c r="OS17" s="18"/>
      <c r="OT17" s="18"/>
      <c r="OU17" s="18"/>
      <c r="OV17" s="18"/>
      <c r="OW17" s="18"/>
      <c r="OX17" s="19"/>
      <c r="OY17" s="19"/>
      <c r="OZ17" s="19"/>
      <c r="PA17" s="19"/>
      <c r="PB17" s="19"/>
      <c r="PC17" s="19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8"/>
      <c r="PR17" s="18"/>
      <c r="PS17" s="18"/>
      <c r="PT17" s="18"/>
      <c r="PU17" s="18"/>
      <c r="PV17" s="18"/>
      <c r="PW17" s="18"/>
      <c r="PX17" s="19"/>
      <c r="PY17" s="19"/>
      <c r="PZ17" s="19"/>
      <c r="QA17" s="19"/>
      <c r="QB17" s="19"/>
      <c r="QC17" s="19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</row>
    <row r="18" spans="1:458" s="1" customFormat="1" ht="50.1" customHeight="1" x14ac:dyDescent="0.25">
      <c r="A18" s="120"/>
      <c r="B18" s="6" t="s">
        <v>19</v>
      </c>
      <c r="C18" s="23"/>
      <c r="D18" s="41">
        <v>3</v>
      </c>
      <c r="E18" s="41">
        <v>10</v>
      </c>
      <c r="F18" s="41">
        <v>21</v>
      </c>
      <c r="G18" s="41">
        <v>1</v>
      </c>
      <c r="H18" s="41">
        <v>46</v>
      </c>
      <c r="I18" s="41">
        <v>10</v>
      </c>
      <c r="J18" s="41">
        <v>3</v>
      </c>
      <c r="K18" s="41">
        <v>3</v>
      </c>
      <c r="L18" s="41">
        <v>2</v>
      </c>
      <c r="M18" s="41">
        <v>1</v>
      </c>
      <c r="N18" s="41">
        <v>1</v>
      </c>
      <c r="O18" s="41">
        <v>1</v>
      </c>
      <c r="P18" s="38">
        <f t="shared" si="7"/>
        <v>102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38">
        <f t="shared" si="8"/>
        <v>0</v>
      </c>
      <c r="AD18" s="36">
        <f t="shared" si="9"/>
        <v>102</v>
      </c>
      <c r="AE18" s="26"/>
      <c r="AF18" s="32">
        <v>4</v>
      </c>
      <c r="AG18" s="32">
        <v>0</v>
      </c>
      <c r="AH18" s="32">
        <v>2</v>
      </c>
      <c r="AI18" s="32">
        <v>0</v>
      </c>
      <c r="AJ18" s="32">
        <v>0</v>
      </c>
      <c r="AK18" s="32">
        <v>1</v>
      </c>
      <c r="AL18" s="32">
        <v>1</v>
      </c>
      <c r="AM18" s="32">
        <v>1</v>
      </c>
      <c r="AN18" s="32">
        <v>0</v>
      </c>
      <c r="AO18" s="32">
        <v>0</v>
      </c>
      <c r="AP18" s="32">
        <v>0</v>
      </c>
      <c r="AQ18" s="32">
        <v>0</v>
      </c>
      <c r="AR18" s="38">
        <f t="shared" si="10"/>
        <v>9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8">
        <f t="shared" si="11"/>
        <v>0</v>
      </c>
      <c r="BF18" s="36">
        <f t="shared" si="12"/>
        <v>9</v>
      </c>
      <c r="BG18" s="26"/>
      <c r="BH18" s="41">
        <v>4</v>
      </c>
      <c r="BI18" s="41">
        <v>24</v>
      </c>
      <c r="BJ18" s="41">
        <v>4</v>
      </c>
      <c r="BK18" s="41">
        <v>19</v>
      </c>
      <c r="BL18" s="41">
        <v>1</v>
      </c>
      <c r="BM18" s="41">
        <v>5</v>
      </c>
      <c r="BN18" s="41">
        <v>7</v>
      </c>
      <c r="BO18" s="41">
        <v>17</v>
      </c>
      <c r="BP18" s="41">
        <v>18</v>
      </c>
      <c r="BQ18" s="41">
        <v>9</v>
      </c>
      <c r="BR18" s="41">
        <v>6</v>
      </c>
      <c r="BS18" s="41">
        <v>16</v>
      </c>
      <c r="BT18" s="38">
        <f t="shared" si="13"/>
        <v>130</v>
      </c>
      <c r="BU18" s="56">
        <v>0</v>
      </c>
      <c r="BV18" s="56">
        <v>0</v>
      </c>
      <c r="BW18" s="56">
        <v>1</v>
      </c>
      <c r="BX18" s="56">
        <v>1</v>
      </c>
      <c r="BY18" s="56">
        <v>5</v>
      </c>
      <c r="BZ18" s="56">
        <v>11</v>
      </c>
      <c r="CA18" s="56">
        <v>0</v>
      </c>
      <c r="CB18" s="56">
        <v>0</v>
      </c>
      <c r="CC18" s="56">
        <v>0</v>
      </c>
      <c r="CD18" s="56">
        <v>5</v>
      </c>
      <c r="CE18" s="56">
        <v>1</v>
      </c>
      <c r="CF18" s="56">
        <v>5</v>
      </c>
      <c r="CG18" s="61">
        <f t="shared" si="14"/>
        <v>29</v>
      </c>
      <c r="CH18" s="57">
        <f t="shared" si="15"/>
        <v>159</v>
      </c>
      <c r="CI18" s="26"/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32">
        <v>0</v>
      </c>
      <c r="CR18" s="32">
        <v>0</v>
      </c>
      <c r="CS18" s="32">
        <v>0</v>
      </c>
      <c r="CT18" s="32">
        <v>0</v>
      </c>
      <c r="CU18" s="69">
        <v>0</v>
      </c>
      <c r="CV18" s="38">
        <f t="shared" si="16"/>
        <v>0</v>
      </c>
      <c r="CW18" s="45">
        <v>1</v>
      </c>
      <c r="CX18" s="45">
        <v>9</v>
      </c>
      <c r="CY18" s="45">
        <v>3</v>
      </c>
      <c r="CZ18" s="45">
        <v>12</v>
      </c>
      <c r="DA18" s="45">
        <v>5</v>
      </c>
      <c r="DB18" s="45">
        <v>8</v>
      </c>
      <c r="DC18" s="45">
        <v>8</v>
      </c>
      <c r="DD18" s="45">
        <v>2</v>
      </c>
      <c r="DE18" s="45">
        <v>6</v>
      </c>
      <c r="DF18" s="45">
        <v>6</v>
      </c>
      <c r="DG18" s="45">
        <v>10</v>
      </c>
      <c r="DH18" s="45">
        <v>9</v>
      </c>
      <c r="DI18" s="38">
        <f t="shared" si="0"/>
        <v>79</v>
      </c>
      <c r="DJ18" s="36">
        <f t="shared" si="17"/>
        <v>79</v>
      </c>
      <c r="DK18" s="26"/>
      <c r="DL18" s="75">
        <v>0</v>
      </c>
      <c r="DM18" s="75">
        <v>0</v>
      </c>
      <c r="DN18" s="75">
        <v>0</v>
      </c>
      <c r="DO18" s="75">
        <v>0</v>
      </c>
      <c r="DP18" s="75">
        <v>0</v>
      </c>
      <c r="DQ18" s="75">
        <v>0</v>
      </c>
      <c r="DR18" s="75">
        <v>0</v>
      </c>
      <c r="DS18" s="75">
        <v>0</v>
      </c>
      <c r="DT18" s="75">
        <v>0</v>
      </c>
      <c r="DU18" s="75">
        <v>0</v>
      </c>
      <c r="DV18" s="75">
        <v>0</v>
      </c>
      <c r="DW18" s="83">
        <v>0</v>
      </c>
      <c r="DX18" s="38">
        <f t="shared" si="1"/>
        <v>0</v>
      </c>
      <c r="DY18" s="65">
        <v>1</v>
      </c>
      <c r="DZ18" s="65">
        <v>1</v>
      </c>
      <c r="EA18" s="65">
        <v>0</v>
      </c>
      <c r="EB18" s="65">
        <v>0</v>
      </c>
      <c r="EC18" s="65">
        <v>0</v>
      </c>
      <c r="ED18" s="65">
        <v>0</v>
      </c>
      <c r="EE18" s="65">
        <v>1</v>
      </c>
      <c r="EF18" s="65">
        <v>0</v>
      </c>
      <c r="EG18" s="65">
        <v>1</v>
      </c>
      <c r="EH18" s="65">
        <v>0</v>
      </c>
      <c r="EI18" s="65">
        <v>0</v>
      </c>
      <c r="EJ18" s="65">
        <v>2</v>
      </c>
      <c r="EK18" s="38">
        <f t="shared" si="18"/>
        <v>6</v>
      </c>
      <c r="EL18" s="36">
        <f t="shared" si="19"/>
        <v>6</v>
      </c>
      <c r="EM18" s="26"/>
      <c r="EN18" s="101">
        <v>52</v>
      </c>
      <c r="EO18" s="101">
        <v>50</v>
      </c>
      <c r="EP18" s="101">
        <v>42</v>
      </c>
      <c r="EQ18" s="101">
        <v>58</v>
      </c>
      <c r="ER18" s="101">
        <v>126</v>
      </c>
      <c r="ES18" s="101">
        <v>86</v>
      </c>
      <c r="ET18" s="101">
        <v>44</v>
      </c>
      <c r="EU18" s="101">
        <v>70</v>
      </c>
      <c r="EV18" s="101">
        <v>100</v>
      </c>
      <c r="EW18" s="101">
        <v>92</v>
      </c>
      <c r="EX18" s="101">
        <v>72</v>
      </c>
      <c r="EY18" s="101">
        <v>70</v>
      </c>
      <c r="EZ18" s="38">
        <f t="shared" si="2"/>
        <v>862</v>
      </c>
      <c r="FA18" s="26"/>
      <c r="FB18" s="54">
        <v>2</v>
      </c>
      <c r="FC18" s="54">
        <v>6</v>
      </c>
      <c r="FD18" s="54">
        <v>12</v>
      </c>
      <c r="FE18" s="54">
        <v>7</v>
      </c>
      <c r="FF18" s="54">
        <v>8</v>
      </c>
      <c r="FG18" s="54">
        <v>6</v>
      </c>
      <c r="FH18" s="54">
        <v>2</v>
      </c>
      <c r="FI18" s="54">
        <v>10</v>
      </c>
      <c r="FJ18" s="54">
        <v>4</v>
      </c>
      <c r="FK18" s="54">
        <v>6</v>
      </c>
      <c r="FL18" s="54">
        <v>3</v>
      </c>
      <c r="FM18" s="54">
        <v>8</v>
      </c>
      <c r="FN18" s="38">
        <f t="shared" si="20"/>
        <v>74</v>
      </c>
      <c r="FO18" s="26"/>
      <c r="FP18" s="54">
        <v>7</v>
      </c>
      <c r="FQ18" s="54">
        <v>4</v>
      </c>
      <c r="FR18" s="54">
        <v>5</v>
      </c>
      <c r="FS18" s="54">
        <v>9</v>
      </c>
      <c r="FT18" s="54">
        <v>8</v>
      </c>
      <c r="FU18" s="54">
        <v>11</v>
      </c>
      <c r="FV18" s="54">
        <v>15</v>
      </c>
      <c r="FW18" s="54">
        <v>14</v>
      </c>
      <c r="FX18" s="54">
        <v>20</v>
      </c>
      <c r="FY18" s="54">
        <v>15</v>
      </c>
      <c r="FZ18" s="54">
        <v>11</v>
      </c>
      <c r="GA18" s="54">
        <v>10</v>
      </c>
      <c r="GB18" s="38">
        <f t="shared" si="21"/>
        <v>129</v>
      </c>
      <c r="GC18" s="26"/>
      <c r="GD18" s="101">
        <v>1</v>
      </c>
      <c r="GE18" s="101">
        <v>2</v>
      </c>
      <c r="GF18" s="101">
        <v>2</v>
      </c>
      <c r="GG18" s="101">
        <v>9</v>
      </c>
      <c r="GH18" s="101">
        <v>6</v>
      </c>
      <c r="GI18" s="101">
        <v>2</v>
      </c>
      <c r="GJ18" s="101">
        <v>32</v>
      </c>
      <c r="GK18" s="101">
        <v>8</v>
      </c>
      <c r="GL18" s="101">
        <v>4</v>
      </c>
      <c r="GM18" s="101">
        <v>6</v>
      </c>
      <c r="GN18" s="101">
        <v>4</v>
      </c>
      <c r="GO18" s="101">
        <v>2</v>
      </c>
      <c r="GP18" s="38">
        <f t="shared" si="22"/>
        <v>78</v>
      </c>
      <c r="GQ18" s="26"/>
      <c r="GR18" s="32">
        <v>0</v>
      </c>
      <c r="GS18" s="32">
        <v>0</v>
      </c>
      <c r="GT18" s="32">
        <v>0</v>
      </c>
      <c r="GU18" s="32">
        <v>0</v>
      </c>
      <c r="GV18" s="32">
        <v>0</v>
      </c>
      <c r="GW18" s="32">
        <v>0</v>
      </c>
      <c r="GX18" s="32">
        <v>0</v>
      </c>
      <c r="GY18" s="32">
        <v>0</v>
      </c>
      <c r="GZ18" s="32">
        <v>0</v>
      </c>
      <c r="HA18" s="32">
        <v>0</v>
      </c>
      <c r="HB18" s="32">
        <v>0</v>
      </c>
      <c r="HC18" s="32">
        <v>0</v>
      </c>
      <c r="HD18" s="38">
        <f t="shared" si="23"/>
        <v>0</v>
      </c>
      <c r="HE18" s="26"/>
      <c r="HF18" s="45">
        <v>23</v>
      </c>
      <c r="HG18" s="45">
        <v>22</v>
      </c>
      <c r="HH18" s="45">
        <v>33</v>
      </c>
      <c r="HI18" s="45">
        <v>35</v>
      </c>
      <c r="HJ18" s="45">
        <v>34</v>
      </c>
      <c r="HK18" s="45">
        <v>38</v>
      </c>
      <c r="HL18" s="45">
        <v>38</v>
      </c>
      <c r="HM18" s="45">
        <v>40</v>
      </c>
      <c r="HN18" s="45">
        <v>56</v>
      </c>
      <c r="HO18" s="45">
        <v>32</v>
      </c>
      <c r="HP18" s="45">
        <v>23</v>
      </c>
      <c r="HQ18" s="45">
        <v>30</v>
      </c>
      <c r="HR18" s="38">
        <f t="shared" si="24"/>
        <v>404</v>
      </c>
      <c r="HS18" s="26"/>
      <c r="HT18" s="32">
        <v>0</v>
      </c>
      <c r="HU18" s="32">
        <v>0</v>
      </c>
      <c r="HV18" s="32">
        <v>1</v>
      </c>
      <c r="HW18" s="32">
        <v>1</v>
      </c>
      <c r="HX18" s="32">
        <v>2</v>
      </c>
      <c r="HY18" s="32">
        <v>1</v>
      </c>
      <c r="HZ18" s="32">
        <v>2</v>
      </c>
      <c r="IA18" s="32">
        <v>2</v>
      </c>
      <c r="IB18" s="32">
        <v>1</v>
      </c>
      <c r="IC18" s="32">
        <v>3</v>
      </c>
      <c r="ID18" s="32">
        <v>2</v>
      </c>
      <c r="IE18" s="32">
        <v>0</v>
      </c>
      <c r="IF18" s="38">
        <f t="shared" si="3"/>
        <v>15</v>
      </c>
      <c r="IG18" s="104">
        <v>6</v>
      </c>
      <c r="IH18" s="104">
        <v>5</v>
      </c>
      <c r="II18" s="104">
        <v>8</v>
      </c>
      <c r="IJ18" s="104">
        <v>4</v>
      </c>
      <c r="IK18" s="104">
        <v>6</v>
      </c>
      <c r="IL18" s="104">
        <v>3</v>
      </c>
      <c r="IM18" s="104">
        <v>1</v>
      </c>
      <c r="IN18" s="104">
        <v>3</v>
      </c>
      <c r="IO18" s="104">
        <v>1</v>
      </c>
      <c r="IP18" s="104">
        <v>4</v>
      </c>
      <c r="IQ18" s="104">
        <v>15</v>
      </c>
      <c r="IR18" s="104">
        <v>4</v>
      </c>
      <c r="IS18" s="38">
        <f t="shared" si="25"/>
        <v>60</v>
      </c>
      <c r="IT18" s="36">
        <f t="shared" si="26"/>
        <v>75</v>
      </c>
      <c r="IU18" s="26"/>
      <c r="IV18" s="32">
        <v>39</v>
      </c>
      <c r="IW18" s="32">
        <v>36</v>
      </c>
      <c r="IX18" s="32">
        <v>32</v>
      </c>
      <c r="IY18" s="32">
        <v>40</v>
      </c>
      <c r="IZ18" s="32">
        <v>46</v>
      </c>
      <c r="JA18" s="32">
        <v>42</v>
      </c>
      <c r="JB18" s="32">
        <v>48</v>
      </c>
      <c r="JC18" s="32">
        <v>40</v>
      </c>
      <c r="JD18" s="32">
        <v>36</v>
      </c>
      <c r="JE18" s="32">
        <v>30</v>
      </c>
      <c r="JF18" s="32">
        <v>29</v>
      </c>
      <c r="JG18" s="32">
        <v>32</v>
      </c>
      <c r="JH18" s="38">
        <f t="shared" si="27"/>
        <v>450</v>
      </c>
      <c r="JI18" s="97">
        <v>44.6</v>
      </c>
      <c r="JJ18" s="97">
        <v>74.600000000000009</v>
      </c>
      <c r="JK18" s="97">
        <v>121.80000000000001</v>
      </c>
      <c r="JL18" s="97">
        <v>93.600000000000009</v>
      </c>
      <c r="JM18" s="97">
        <v>138.80000000000001</v>
      </c>
      <c r="JN18" s="97">
        <v>74</v>
      </c>
      <c r="JO18" s="97">
        <v>105</v>
      </c>
      <c r="JP18" s="97">
        <v>91.4</v>
      </c>
      <c r="JQ18" s="97">
        <v>195.20000000000002</v>
      </c>
      <c r="JR18" s="97">
        <v>43.2</v>
      </c>
      <c r="JS18" s="97">
        <v>68.400000000000006</v>
      </c>
      <c r="JT18" s="97">
        <v>69.8</v>
      </c>
      <c r="JU18" s="112">
        <f t="shared" si="4"/>
        <v>1120.4000000000001</v>
      </c>
      <c r="JV18" s="36">
        <f t="shared" si="28"/>
        <v>1570.4</v>
      </c>
      <c r="JW18" s="26"/>
      <c r="JX18" s="32">
        <v>0</v>
      </c>
      <c r="JY18" s="32">
        <v>0</v>
      </c>
      <c r="JZ18" s="32">
        <v>0</v>
      </c>
      <c r="KA18" s="32">
        <v>59</v>
      </c>
      <c r="KB18" s="32">
        <v>121</v>
      </c>
      <c r="KC18" s="32">
        <v>148</v>
      </c>
      <c r="KD18" s="32">
        <v>96</v>
      </c>
      <c r="KE18" s="32">
        <v>152</v>
      </c>
      <c r="KF18" s="32">
        <v>112</v>
      </c>
      <c r="KG18" s="32">
        <v>80</v>
      </c>
      <c r="KH18" s="32">
        <v>38</v>
      </c>
      <c r="KI18" s="32">
        <v>39</v>
      </c>
      <c r="KJ18" s="38">
        <f t="shared" si="29"/>
        <v>845</v>
      </c>
      <c r="KK18" s="114">
        <v>1</v>
      </c>
      <c r="KL18" s="114">
        <v>9</v>
      </c>
      <c r="KM18" s="114">
        <v>2</v>
      </c>
      <c r="KN18" s="114">
        <v>12</v>
      </c>
      <c r="KO18" s="114">
        <v>14</v>
      </c>
      <c r="KP18" s="114">
        <v>8</v>
      </c>
      <c r="KQ18" s="114">
        <v>1</v>
      </c>
      <c r="KR18" s="114">
        <v>0</v>
      </c>
      <c r="KS18" s="114">
        <v>10</v>
      </c>
      <c r="KT18" s="114">
        <v>1</v>
      </c>
      <c r="KU18" s="114">
        <v>2</v>
      </c>
      <c r="KV18" s="114">
        <v>10</v>
      </c>
      <c r="KW18" s="38">
        <f t="shared" si="5"/>
        <v>70</v>
      </c>
      <c r="KX18" s="36">
        <f t="shared" si="30"/>
        <v>915</v>
      </c>
      <c r="KY18" s="26"/>
      <c r="KZ18" s="32">
        <v>0</v>
      </c>
      <c r="LA18" s="32">
        <v>0</v>
      </c>
      <c r="LB18" s="32">
        <v>0</v>
      </c>
      <c r="LC18" s="32">
        <v>0</v>
      </c>
      <c r="LD18" s="32">
        <v>0</v>
      </c>
      <c r="LE18" s="32">
        <v>0</v>
      </c>
      <c r="LF18" s="32">
        <v>0</v>
      </c>
      <c r="LG18" s="32">
        <v>0</v>
      </c>
      <c r="LH18" s="32">
        <v>0</v>
      </c>
      <c r="LI18" s="32">
        <v>0</v>
      </c>
      <c r="LJ18" s="32">
        <v>0</v>
      </c>
      <c r="LK18" s="32">
        <v>0</v>
      </c>
      <c r="LL18" s="38">
        <f t="shared" si="6"/>
        <v>0</v>
      </c>
      <c r="LM18" s="26"/>
      <c r="LN18" s="71">
        <v>2</v>
      </c>
      <c r="LO18" s="71">
        <v>1</v>
      </c>
      <c r="LP18" s="71">
        <v>1</v>
      </c>
      <c r="LQ18" s="71">
        <v>2</v>
      </c>
      <c r="LR18" s="71">
        <v>11</v>
      </c>
      <c r="LS18" s="71">
        <v>11</v>
      </c>
      <c r="LT18" s="71">
        <v>3</v>
      </c>
      <c r="LU18" s="45">
        <v>8</v>
      </c>
      <c r="LV18" s="45">
        <v>9</v>
      </c>
      <c r="LW18" s="45">
        <v>15</v>
      </c>
      <c r="LX18" s="45">
        <v>2</v>
      </c>
      <c r="LY18" s="45">
        <v>16</v>
      </c>
      <c r="LZ18" s="38">
        <f t="shared" si="31"/>
        <v>81</v>
      </c>
      <c r="MA18" s="26"/>
      <c r="MB18" s="45">
        <v>35</v>
      </c>
      <c r="MC18" s="45">
        <v>35</v>
      </c>
      <c r="MD18" s="45">
        <v>110</v>
      </c>
      <c r="ME18" s="45">
        <v>36</v>
      </c>
      <c r="MF18" s="45">
        <v>141</v>
      </c>
      <c r="MG18" s="45">
        <v>37</v>
      </c>
      <c r="MH18" s="45">
        <v>15</v>
      </c>
      <c r="MI18" s="45">
        <v>54</v>
      </c>
      <c r="MJ18" s="45">
        <v>24</v>
      </c>
      <c r="MK18" s="45">
        <v>51</v>
      </c>
      <c r="ML18" s="45">
        <v>47</v>
      </c>
      <c r="MM18" s="45">
        <v>55</v>
      </c>
      <c r="MN18" s="38">
        <f t="shared" si="32"/>
        <v>640</v>
      </c>
      <c r="MO18" s="32">
        <v>126</v>
      </c>
      <c r="MP18" s="32">
        <v>214</v>
      </c>
      <c r="MQ18" s="32">
        <v>342</v>
      </c>
      <c r="MR18" s="32">
        <v>248</v>
      </c>
      <c r="MS18" s="32">
        <v>255</v>
      </c>
      <c r="MT18" s="32">
        <v>228</v>
      </c>
      <c r="MU18" s="32">
        <v>168</v>
      </c>
      <c r="MV18" s="32">
        <v>112</v>
      </c>
      <c r="MW18" s="32">
        <v>148</v>
      </c>
      <c r="MX18" s="32">
        <v>169</v>
      </c>
      <c r="MY18" s="32">
        <v>176</v>
      </c>
      <c r="MZ18" s="32">
        <v>142</v>
      </c>
      <c r="NA18" s="38">
        <f t="shared" si="33"/>
        <v>2328</v>
      </c>
      <c r="NB18" s="36">
        <f t="shared" si="34"/>
        <v>2968</v>
      </c>
      <c r="NC18" s="26"/>
      <c r="ND18" s="101">
        <v>0</v>
      </c>
      <c r="NE18" s="101">
        <v>2</v>
      </c>
      <c r="NF18" s="101">
        <v>5</v>
      </c>
      <c r="NG18" s="101">
        <v>2</v>
      </c>
      <c r="NH18" s="101">
        <v>27</v>
      </c>
      <c r="NI18" s="101">
        <v>11</v>
      </c>
      <c r="NJ18" s="101">
        <v>8</v>
      </c>
      <c r="NK18" s="101">
        <v>6</v>
      </c>
      <c r="NL18" s="101">
        <v>15</v>
      </c>
      <c r="NM18" s="101">
        <v>2</v>
      </c>
      <c r="NN18" s="101">
        <v>0</v>
      </c>
      <c r="NO18" s="101">
        <v>2</v>
      </c>
      <c r="NP18" s="38">
        <f t="shared" si="35"/>
        <v>80</v>
      </c>
      <c r="NQ18" s="36">
        <f t="shared" si="36"/>
        <v>1101</v>
      </c>
      <c r="NR18" s="36">
        <f t="shared" si="37"/>
        <v>3042</v>
      </c>
      <c r="NS18" s="36">
        <f t="shared" si="38"/>
        <v>3448.4</v>
      </c>
      <c r="NT18" s="36">
        <f t="shared" si="39"/>
        <v>7591.4</v>
      </c>
      <c r="NU18" s="18"/>
      <c r="NV18" s="18"/>
      <c r="NW18" s="18"/>
      <c r="NX18" s="19"/>
      <c r="NY18" s="19"/>
      <c r="NZ18" s="19"/>
      <c r="OA18" s="19"/>
      <c r="OB18" s="19"/>
      <c r="OC18" s="19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8"/>
      <c r="OR18" s="18"/>
      <c r="OS18" s="18"/>
      <c r="OT18" s="18"/>
      <c r="OU18" s="18"/>
      <c r="OV18" s="18"/>
      <c r="OW18" s="18"/>
      <c r="OX18" s="19"/>
      <c r="OY18" s="19"/>
      <c r="OZ18" s="19"/>
      <c r="PA18" s="19"/>
      <c r="PB18" s="19"/>
      <c r="PC18" s="19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8"/>
      <c r="PR18" s="18"/>
      <c r="PS18" s="18"/>
      <c r="PT18" s="18"/>
      <c r="PU18" s="18"/>
      <c r="PV18" s="18"/>
      <c r="PW18" s="18"/>
      <c r="PX18" s="19"/>
      <c r="PY18" s="19"/>
      <c r="PZ18" s="19"/>
      <c r="QA18" s="19"/>
      <c r="QB18" s="19"/>
      <c r="QC18" s="19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</row>
    <row r="19" spans="1:458" s="1" customFormat="1" ht="50.1" customHeight="1" x14ac:dyDescent="0.25">
      <c r="A19" s="120"/>
      <c r="B19" s="6" t="s">
        <v>20</v>
      </c>
      <c r="C19" s="23"/>
      <c r="D19" s="41">
        <f>SUM(D16:D18)</f>
        <v>2998</v>
      </c>
      <c r="E19" s="41">
        <f t="shared" ref="E19:O19" si="67">SUM(E16:E18)</f>
        <v>2225</v>
      </c>
      <c r="F19" s="41">
        <f t="shared" si="67"/>
        <v>2241</v>
      </c>
      <c r="G19" s="41">
        <f t="shared" si="67"/>
        <v>1589</v>
      </c>
      <c r="H19" s="41">
        <f t="shared" si="67"/>
        <v>2399</v>
      </c>
      <c r="I19" s="41">
        <f t="shared" si="67"/>
        <v>2191</v>
      </c>
      <c r="J19" s="41">
        <f t="shared" si="67"/>
        <v>2392</v>
      </c>
      <c r="K19" s="41">
        <f t="shared" si="67"/>
        <v>2150</v>
      </c>
      <c r="L19" s="41">
        <f t="shared" si="67"/>
        <v>2121</v>
      </c>
      <c r="M19" s="41">
        <f t="shared" si="67"/>
        <v>2320</v>
      </c>
      <c r="N19" s="41">
        <f t="shared" si="67"/>
        <v>1502</v>
      </c>
      <c r="O19" s="41">
        <f t="shared" si="67"/>
        <v>1836</v>
      </c>
      <c r="P19" s="38">
        <f t="shared" si="7"/>
        <v>25964</v>
      </c>
      <c r="Q19" s="45">
        <f>SUM(Q16:Q18)</f>
        <v>0</v>
      </c>
      <c r="R19" s="45">
        <f t="shared" ref="R19:AB19" si="68">SUM(R16:R18)</f>
        <v>0</v>
      </c>
      <c r="S19" s="45">
        <f t="shared" si="68"/>
        <v>0</v>
      </c>
      <c r="T19" s="45">
        <f t="shared" si="68"/>
        <v>0</v>
      </c>
      <c r="U19" s="45">
        <f t="shared" si="68"/>
        <v>0</v>
      </c>
      <c r="V19" s="45">
        <f t="shared" si="68"/>
        <v>0</v>
      </c>
      <c r="W19" s="45">
        <f t="shared" si="68"/>
        <v>0</v>
      </c>
      <c r="X19" s="45">
        <f t="shared" si="68"/>
        <v>0</v>
      </c>
      <c r="Y19" s="45">
        <f t="shared" si="68"/>
        <v>0</v>
      </c>
      <c r="Z19" s="45">
        <f t="shared" si="68"/>
        <v>0</v>
      </c>
      <c r="AA19" s="45">
        <f t="shared" si="68"/>
        <v>0</v>
      </c>
      <c r="AB19" s="45">
        <f t="shared" si="68"/>
        <v>0</v>
      </c>
      <c r="AC19" s="38">
        <f t="shared" si="8"/>
        <v>0</v>
      </c>
      <c r="AD19" s="36">
        <f t="shared" si="9"/>
        <v>25964</v>
      </c>
      <c r="AE19" s="26"/>
      <c r="AF19" s="32">
        <f>SUM(AF16:AF18)</f>
        <v>96</v>
      </c>
      <c r="AG19" s="32">
        <f t="shared" ref="AG19:AQ19" si="69">SUM(AG16:AG18)</f>
        <v>64</v>
      </c>
      <c r="AH19" s="32">
        <f t="shared" si="69"/>
        <v>134</v>
      </c>
      <c r="AI19" s="32">
        <f t="shared" si="69"/>
        <v>274</v>
      </c>
      <c r="AJ19" s="32">
        <f t="shared" si="69"/>
        <v>184</v>
      </c>
      <c r="AK19" s="32">
        <f t="shared" si="69"/>
        <v>102</v>
      </c>
      <c r="AL19" s="32">
        <f t="shared" si="69"/>
        <v>169</v>
      </c>
      <c r="AM19" s="32">
        <f t="shared" si="69"/>
        <v>195</v>
      </c>
      <c r="AN19" s="32">
        <f t="shared" si="69"/>
        <v>145</v>
      </c>
      <c r="AO19" s="32">
        <f t="shared" si="69"/>
        <v>165</v>
      </c>
      <c r="AP19" s="32">
        <f t="shared" si="69"/>
        <v>125</v>
      </c>
      <c r="AQ19" s="32">
        <f t="shared" si="69"/>
        <v>140</v>
      </c>
      <c r="AR19" s="38">
        <f t="shared" si="10"/>
        <v>1793</v>
      </c>
      <c r="AS19" s="32">
        <f>SUM(AS16:AS18)</f>
        <v>0</v>
      </c>
      <c r="AT19" s="32">
        <f t="shared" ref="AT19:BD19" si="70">SUM(AT16:AT18)</f>
        <v>0</v>
      </c>
      <c r="AU19" s="32">
        <f t="shared" si="70"/>
        <v>0</v>
      </c>
      <c r="AV19" s="32">
        <f t="shared" si="70"/>
        <v>0</v>
      </c>
      <c r="AW19" s="32">
        <f t="shared" si="70"/>
        <v>0</v>
      </c>
      <c r="AX19" s="32">
        <f t="shared" si="70"/>
        <v>0</v>
      </c>
      <c r="AY19" s="32">
        <f t="shared" si="70"/>
        <v>0</v>
      </c>
      <c r="AZ19" s="32">
        <f t="shared" si="70"/>
        <v>0</v>
      </c>
      <c r="BA19" s="32">
        <f t="shared" si="70"/>
        <v>0</v>
      </c>
      <c r="BB19" s="32">
        <f t="shared" si="70"/>
        <v>0</v>
      </c>
      <c r="BC19" s="32">
        <f t="shared" si="70"/>
        <v>0</v>
      </c>
      <c r="BD19" s="32">
        <f t="shared" si="70"/>
        <v>0</v>
      </c>
      <c r="BE19" s="38">
        <f t="shared" si="11"/>
        <v>0</v>
      </c>
      <c r="BF19" s="36">
        <f t="shared" si="12"/>
        <v>1793</v>
      </c>
      <c r="BG19" s="26"/>
      <c r="BH19" s="41">
        <f>SUM(BH16:BH18)</f>
        <v>273</v>
      </c>
      <c r="BI19" s="41">
        <f t="shared" ref="BI19:CF19" si="71">SUM(BI16:BI18)</f>
        <v>217</v>
      </c>
      <c r="BJ19" s="41">
        <f t="shared" si="71"/>
        <v>238</v>
      </c>
      <c r="BK19" s="41">
        <f t="shared" si="71"/>
        <v>185</v>
      </c>
      <c r="BL19" s="41">
        <f t="shared" si="71"/>
        <v>189</v>
      </c>
      <c r="BM19" s="41">
        <f t="shared" si="71"/>
        <v>186</v>
      </c>
      <c r="BN19" s="41">
        <f t="shared" si="71"/>
        <v>141</v>
      </c>
      <c r="BO19" s="41">
        <f t="shared" si="71"/>
        <v>184</v>
      </c>
      <c r="BP19" s="41">
        <f t="shared" si="71"/>
        <v>200</v>
      </c>
      <c r="BQ19" s="41">
        <f t="shared" si="71"/>
        <v>80</v>
      </c>
      <c r="BR19" s="41">
        <f t="shared" si="71"/>
        <v>45</v>
      </c>
      <c r="BS19" s="41">
        <f t="shared" si="71"/>
        <v>73</v>
      </c>
      <c r="BT19" s="38">
        <f t="shared" si="13"/>
        <v>2011</v>
      </c>
      <c r="BU19" s="58">
        <f t="shared" si="71"/>
        <v>178</v>
      </c>
      <c r="BV19" s="58">
        <f t="shared" si="71"/>
        <v>183</v>
      </c>
      <c r="BW19" s="58">
        <f t="shared" si="71"/>
        <v>253</v>
      </c>
      <c r="BX19" s="58">
        <f t="shared" si="71"/>
        <v>252</v>
      </c>
      <c r="BY19" s="58">
        <f t="shared" si="71"/>
        <v>201</v>
      </c>
      <c r="BZ19" s="58">
        <f t="shared" si="71"/>
        <v>208</v>
      </c>
      <c r="CA19" s="58">
        <f t="shared" si="71"/>
        <v>284</v>
      </c>
      <c r="CB19" s="58">
        <f t="shared" si="71"/>
        <v>216</v>
      </c>
      <c r="CC19" s="58">
        <f t="shared" si="71"/>
        <v>238</v>
      </c>
      <c r="CD19" s="58">
        <f t="shared" si="71"/>
        <v>393</v>
      </c>
      <c r="CE19" s="58">
        <f t="shared" si="71"/>
        <v>189</v>
      </c>
      <c r="CF19" s="58">
        <f t="shared" si="71"/>
        <v>206</v>
      </c>
      <c r="CG19" s="61">
        <f t="shared" si="14"/>
        <v>2801</v>
      </c>
      <c r="CH19" s="57">
        <f t="shared" si="15"/>
        <v>4812</v>
      </c>
      <c r="CI19" s="26"/>
      <c r="CJ19" s="32">
        <f>SUM(CJ16:CJ18)</f>
        <v>0</v>
      </c>
      <c r="CK19" s="32">
        <f t="shared" ref="CK19:DH19" si="72">SUM(CK16:CK18)</f>
        <v>0</v>
      </c>
      <c r="CL19" s="32">
        <f t="shared" si="72"/>
        <v>0</v>
      </c>
      <c r="CM19" s="32">
        <f t="shared" si="72"/>
        <v>0</v>
      </c>
      <c r="CN19" s="32">
        <f t="shared" si="72"/>
        <v>0</v>
      </c>
      <c r="CO19" s="32">
        <f t="shared" si="72"/>
        <v>0</v>
      </c>
      <c r="CP19" s="32">
        <f t="shared" si="72"/>
        <v>0</v>
      </c>
      <c r="CQ19" s="32">
        <f t="shared" si="72"/>
        <v>0</v>
      </c>
      <c r="CR19" s="32">
        <f t="shared" si="72"/>
        <v>0</v>
      </c>
      <c r="CS19" s="32">
        <f t="shared" si="72"/>
        <v>0</v>
      </c>
      <c r="CT19" s="32">
        <f t="shared" si="72"/>
        <v>0</v>
      </c>
      <c r="CU19" s="69">
        <f t="shared" si="72"/>
        <v>0</v>
      </c>
      <c r="CV19" s="38">
        <f t="shared" si="16"/>
        <v>0</v>
      </c>
      <c r="CW19" s="32">
        <f t="shared" si="72"/>
        <v>808</v>
      </c>
      <c r="CX19" s="32">
        <f t="shared" si="72"/>
        <v>738</v>
      </c>
      <c r="CY19" s="32">
        <f t="shared" si="72"/>
        <v>1057</v>
      </c>
      <c r="CZ19" s="32">
        <f t="shared" si="72"/>
        <v>1081</v>
      </c>
      <c r="DA19" s="32">
        <f t="shared" si="72"/>
        <v>1001</v>
      </c>
      <c r="DB19" s="32">
        <f t="shared" si="72"/>
        <v>775</v>
      </c>
      <c r="DC19" s="32">
        <f t="shared" si="72"/>
        <v>900</v>
      </c>
      <c r="DD19" s="32">
        <f t="shared" si="72"/>
        <v>868</v>
      </c>
      <c r="DE19" s="32">
        <f t="shared" si="72"/>
        <v>817</v>
      </c>
      <c r="DF19" s="32">
        <f t="shared" si="72"/>
        <v>826</v>
      </c>
      <c r="DG19" s="32">
        <f t="shared" si="72"/>
        <v>815</v>
      </c>
      <c r="DH19" s="32">
        <f t="shared" si="72"/>
        <v>789</v>
      </c>
      <c r="DI19" s="38">
        <f t="shared" si="0"/>
        <v>10475</v>
      </c>
      <c r="DJ19" s="36">
        <f t="shared" si="17"/>
        <v>10475</v>
      </c>
      <c r="DK19" s="26"/>
      <c r="DL19" s="32">
        <f>SUM(DL16:DL18)</f>
        <v>20</v>
      </c>
      <c r="DM19" s="32">
        <f t="shared" ref="DM19:DW19" si="73">SUM(DM16:DM18)</f>
        <v>30</v>
      </c>
      <c r="DN19" s="32">
        <f t="shared" si="73"/>
        <v>15</v>
      </c>
      <c r="DO19" s="32">
        <f t="shared" si="73"/>
        <v>52</v>
      </c>
      <c r="DP19" s="32">
        <f t="shared" si="73"/>
        <v>38</v>
      </c>
      <c r="DQ19" s="32">
        <f t="shared" si="73"/>
        <v>9</v>
      </c>
      <c r="DR19" s="32">
        <f t="shared" si="73"/>
        <v>31</v>
      </c>
      <c r="DS19" s="32">
        <f t="shared" si="73"/>
        <v>23</v>
      </c>
      <c r="DT19" s="32">
        <f t="shared" si="73"/>
        <v>18</v>
      </c>
      <c r="DU19" s="32">
        <f t="shared" si="73"/>
        <v>10</v>
      </c>
      <c r="DV19" s="32">
        <f t="shared" si="73"/>
        <v>25</v>
      </c>
      <c r="DW19" s="69">
        <f t="shared" si="73"/>
        <v>16</v>
      </c>
      <c r="DX19" s="38">
        <f t="shared" si="1"/>
        <v>287</v>
      </c>
      <c r="DY19" s="63">
        <f>SUM(DY16:DY18)</f>
        <v>779</v>
      </c>
      <c r="DZ19" s="63">
        <f t="shared" ref="DZ19:EJ19" si="74">SUM(DZ16:DZ18)</f>
        <v>779</v>
      </c>
      <c r="EA19" s="63">
        <f t="shared" si="74"/>
        <v>667</v>
      </c>
      <c r="EB19" s="63">
        <f t="shared" si="74"/>
        <v>671</v>
      </c>
      <c r="EC19" s="63">
        <f t="shared" si="74"/>
        <v>651</v>
      </c>
      <c r="ED19" s="63">
        <f t="shared" si="74"/>
        <v>751</v>
      </c>
      <c r="EE19" s="63">
        <f t="shared" si="74"/>
        <v>712</v>
      </c>
      <c r="EF19" s="63">
        <f t="shared" si="74"/>
        <v>615</v>
      </c>
      <c r="EG19" s="63">
        <f t="shared" si="74"/>
        <v>443</v>
      </c>
      <c r="EH19" s="63">
        <f t="shared" si="74"/>
        <v>641</v>
      </c>
      <c r="EI19" s="63">
        <f t="shared" si="74"/>
        <v>611</v>
      </c>
      <c r="EJ19" s="63">
        <f t="shared" si="74"/>
        <v>486</v>
      </c>
      <c r="EK19" s="38">
        <f t="shared" si="18"/>
        <v>7806</v>
      </c>
      <c r="EL19" s="36">
        <f t="shared" si="19"/>
        <v>8093</v>
      </c>
      <c r="EM19" s="26"/>
      <c r="EN19" s="32">
        <f>SUM(EN16:EN18)</f>
        <v>1086</v>
      </c>
      <c r="EO19" s="32">
        <f t="shared" ref="EO19:EY19" si="75">SUM(EO16:EO18)</f>
        <v>1028</v>
      </c>
      <c r="EP19" s="32">
        <f t="shared" si="75"/>
        <v>1320</v>
      </c>
      <c r="EQ19" s="32">
        <f t="shared" si="75"/>
        <v>1304</v>
      </c>
      <c r="ER19" s="32">
        <f t="shared" si="75"/>
        <v>978</v>
      </c>
      <c r="ES19" s="32">
        <f t="shared" si="75"/>
        <v>902</v>
      </c>
      <c r="ET19" s="32">
        <f t="shared" si="75"/>
        <v>1020</v>
      </c>
      <c r="EU19" s="32">
        <f t="shared" si="75"/>
        <v>992</v>
      </c>
      <c r="EV19" s="32">
        <f t="shared" si="75"/>
        <v>1006</v>
      </c>
      <c r="EW19" s="32">
        <f t="shared" si="75"/>
        <v>1120</v>
      </c>
      <c r="EX19" s="32">
        <f t="shared" si="75"/>
        <v>824</v>
      </c>
      <c r="EY19" s="32">
        <f t="shared" si="75"/>
        <v>840</v>
      </c>
      <c r="EZ19" s="38">
        <f t="shared" si="2"/>
        <v>12420</v>
      </c>
      <c r="FA19" s="26"/>
      <c r="FB19" s="54">
        <f>SUM(FB16:FB18)</f>
        <v>466</v>
      </c>
      <c r="FC19" s="54">
        <f t="shared" ref="FC19:FM19" si="76">SUM(FC16:FC18)</f>
        <v>458</v>
      </c>
      <c r="FD19" s="54">
        <f t="shared" si="76"/>
        <v>409</v>
      </c>
      <c r="FE19" s="54">
        <f t="shared" si="76"/>
        <v>516</v>
      </c>
      <c r="FF19" s="54">
        <f t="shared" si="76"/>
        <v>278</v>
      </c>
      <c r="FG19" s="54">
        <f t="shared" si="76"/>
        <v>371</v>
      </c>
      <c r="FH19" s="54">
        <f t="shared" si="76"/>
        <v>433</v>
      </c>
      <c r="FI19" s="54">
        <f t="shared" si="76"/>
        <v>373</v>
      </c>
      <c r="FJ19" s="54">
        <f t="shared" si="76"/>
        <v>263</v>
      </c>
      <c r="FK19" s="54">
        <f t="shared" si="76"/>
        <v>415</v>
      </c>
      <c r="FL19" s="54">
        <f t="shared" si="76"/>
        <v>294</v>
      </c>
      <c r="FM19" s="54">
        <f t="shared" si="76"/>
        <v>230</v>
      </c>
      <c r="FN19" s="38">
        <f t="shared" si="20"/>
        <v>4506</v>
      </c>
      <c r="FO19" s="26"/>
      <c r="FP19" s="32">
        <f>SUM(FP16:FP18)</f>
        <v>310</v>
      </c>
      <c r="FQ19" s="32">
        <f t="shared" ref="FQ19:GA19" si="77">SUM(FQ16:FQ18)</f>
        <v>325</v>
      </c>
      <c r="FR19" s="32">
        <f t="shared" si="77"/>
        <v>351</v>
      </c>
      <c r="FS19" s="32">
        <f t="shared" si="77"/>
        <v>304</v>
      </c>
      <c r="FT19" s="32">
        <f t="shared" si="77"/>
        <v>251</v>
      </c>
      <c r="FU19" s="32">
        <f t="shared" si="77"/>
        <v>238</v>
      </c>
      <c r="FV19" s="32">
        <f t="shared" si="77"/>
        <v>233</v>
      </c>
      <c r="FW19" s="32">
        <f t="shared" si="77"/>
        <v>254</v>
      </c>
      <c r="FX19" s="32">
        <f t="shared" si="77"/>
        <v>212</v>
      </c>
      <c r="FY19" s="32">
        <f t="shared" si="77"/>
        <v>212</v>
      </c>
      <c r="FZ19" s="32">
        <f t="shared" si="77"/>
        <v>194</v>
      </c>
      <c r="GA19" s="32">
        <f t="shared" si="77"/>
        <v>143</v>
      </c>
      <c r="GB19" s="38">
        <f t="shared" si="21"/>
        <v>3027</v>
      </c>
      <c r="GC19" s="26"/>
      <c r="GD19" s="32">
        <f>SUM(GD16:GD18)</f>
        <v>73</v>
      </c>
      <c r="GE19" s="32">
        <f t="shared" ref="GE19:GO19" si="78">SUM(GE16:GE18)</f>
        <v>56</v>
      </c>
      <c r="GF19" s="32">
        <f t="shared" si="78"/>
        <v>75</v>
      </c>
      <c r="GG19" s="32">
        <f t="shared" si="78"/>
        <v>102</v>
      </c>
      <c r="GH19" s="32">
        <f t="shared" si="78"/>
        <v>120</v>
      </c>
      <c r="GI19" s="32">
        <f t="shared" si="78"/>
        <v>88</v>
      </c>
      <c r="GJ19" s="32">
        <f t="shared" si="78"/>
        <v>117</v>
      </c>
      <c r="GK19" s="32">
        <f t="shared" si="78"/>
        <v>176</v>
      </c>
      <c r="GL19" s="32">
        <f t="shared" si="78"/>
        <v>30</v>
      </c>
      <c r="GM19" s="32">
        <f t="shared" si="78"/>
        <v>87</v>
      </c>
      <c r="GN19" s="32">
        <f t="shared" si="78"/>
        <v>107</v>
      </c>
      <c r="GO19" s="32">
        <f t="shared" si="78"/>
        <v>212</v>
      </c>
      <c r="GP19" s="38">
        <f t="shared" si="22"/>
        <v>1243</v>
      </c>
      <c r="GQ19" s="26"/>
      <c r="GR19" s="32">
        <f>SUM(GR16:GR18)</f>
        <v>13</v>
      </c>
      <c r="GS19" s="32">
        <f t="shared" ref="GS19:HC19" si="79">SUM(GS16:GS18)</f>
        <v>19</v>
      </c>
      <c r="GT19" s="32">
        <f t="shared" si="79"/>
        <v>13</v>
      </c>
      <c r="GU19" s="32">
        <f t="shared" si="79"/>
        <v>14</v>
      </c>
      <c r="GV19" s="32">
        <f t="shared" si="79"/>
        <v>15</v>
      </c>
      <c r="GW19" s="32">
        <f t="shared" si="79"/>
        <v>16</v>
      </c>
      <c r="GX19" s="32">
        <f t="shared" si="79"/>
        <v>15</v>
      </c>
      <c r="GY19" s="32">
        <f t="shared" si="79"/>
        <v>9</v>
      </c>
      <c r="GZ19" s="32">
        <f t="shared" si="79"/>
        <v>13</v>
      </c>
      <c r="HA19" s="32">
        <f t="shared" si="79"/>
        <v>13</v>
      </c>
      <c r="HB19" s="32">
        <f t="shared" si="79"/>
        <v>11</v>
      </c>
      <c r="HC19" s="32">
        <f t="shared" si="79"/>
        <v>10</v>
      </c>
      <c r="HD19" s="38">
        <f t="shared" si="23"/>
        <v>161</v>
      </c>
      <c r="HE19" s="26"/>
      <c r="HF19" s="45">
        <f>SUM(HF16:HF18)</f>
        <v>593</v>
      </c>
      <c r="HG19" s="45">
        <f t="shared" ref="HG19:HQ19" si="80">SUM(HG16:HG18)</f>
        <v>598</v>
      </c>
      <c r="HH19" s="45">
        <f t="shared" si="80"/>
        <v>556</v>
      </c>
      <c r="HI19" s="45">
        <f t="shared" si="80"/>
        <v>681</v>
      </c>
      <c r="HJ19" s="45">
        <f t="shared" si="80"/>
        <v>720</v>
      </c>
      <c r="HK19" s="45">
        <f t="shared" si="80"/>
        <v>682</v>
      </c>
      <c r="HL19" s="45">
        <f t="shared" si="80"/>
        <v>969</v>
      </c>
      <c r="HM19" s="45">
        <f t="shared" si="80"/>
        <v>758</v>
      </c>
      <c r="HN19" s="45">
        <f t="shared" si="80"/>
        <v>822</v>
      </c>
      <c r="HO19" s="45">
        <f t="shared" si="80"/>
        <v>745</v>
      </c>
      <c r="HP19" s="45">
        <f t="shared" si="80"/>
        <v>789</v>
      </c>
      <c r="HQ19" s="45">
        <f t="shared" si="80"/>
        <v>757</v>
      </c>
      <c r="HR19" s="38">
        <f t="shared" si="24"/>
        <v>8670</v>
      </c>
      <c r="HS19" s="26"/>
      <c r="HT19" s="32">
        <f>SUM(HT16:HT18)</f>
        <v>293</v>
      </c>
      <c r="HU19" s="32">
        <f t="shared" ref="HU19:IE19" si="81">SUM(HU16:HU18)</f>
        <v>308</v>
      </c>
      <c r="HV19" s="32">
        <f t="shared" si="81"/>
        <v>302</v>
      </c>
      <c r="HW19" s="32">
        <f t="shared" si="81"/>
        <v>313</v>
      </c>
      <c r="HX19" s="32">
        <f t="shared" si="81"/>
        <v>332</v>
      </c>
      <c r="HY19" s="32">
        <f t="shared" si="81"/>
        <v>301</v>
      </c>
      <c r="HZ19" s="32">
        <f t="shared" si="81"/>
        <v>282</v>
      </c>
      <c r="IA19" s="32">
        <f t="shared" si="81"/>
        <v>332</v>
      </c>
      <c r="IB19" s="32">
        <f t="shared" si="81"/>
        <v>306</v>
      </c>
      <c r="IC19" s="32">
        <f t="shared" si="81"/>
        <v>306</v>
      </c>
      <c r="ID19" s="32">
        <f t="shared" si="81"/>
        <v>341</v>
      </c>
      <c r="IE19" s="32">
        <f t="shared" si="81"/>
        <v>181</v>
      </c>
      <c r="IF19" s="38">
        <f t="shared" si="3"/>
        <v>3597</v>
      </c>
      <c r="IG19" s="104">
        <f>SUM(IG16:IG18)</f>
        <v>200</v>
      </c>
      <c r="IH19" s="104">
        <f t="shared" ref="IH19:IR19" si="82">SUM(IH16:IH18)</f>
        <v>131</v>
      </c>
      <c r="II19" s="104">
        <f t="shared" si="82"/>
        <v>140</v>
      </c>
      <c r="IJ19" s="104">
        <f t="shared" si="82"/>
        <v>118</v>
      </c>
      <c r="IK19" s="104">
        <f t="shared" si="82"/>
        <v>152</v>
      </c>
      <c r="IL19" s="104">
        <f t="shared" si="82"/>
        <v>219</v>
      </c>
      <c r="IM19" s="104">
        <f t="shared" si="82"/>
        <v>187</v>
      </c>
      <c r="IN19" s="104">
        <f t="shared" si="82"/>
        <v>119</v>
      </c>
      <c r="IO19" s="104">
        <f t="shared" si="82"/>
        <v>134</v>
      </c>
      <c r="IP19" s="104">
        <f t="shared" si="82"/>
        <v>206</v>
      </c>
      <c r="IQ19" s="104">
        <f t="shared" si="82"/>
        <v>181</v>
      </c>
      <c r="IR19" s="104">
        <f t="shared" si="82"/>
        <v>153</v>
      </c>
      <c r="IS19" s="38">
        <f t="shared" si="25"/>
        <v>1940</v>
      </c>
      <c r="IT19" s="36">
        <f t="shared" si="26"/>
        <v>5537</v>
      </c>
      <c r="IU19" s="26"/>
      <c r="IV19" s="32">
        <f>SUM(IV16:IV18)</f>
        <v>284</v>
      </c>
      <c r="IW19" s="32">
        <f t="shared" ref="IW19:JG19" si="83">SUM(IW16:IW18)</f>
        <v>292</v>
      </c>
      <c r="IX19" s="32">
        <f t="shared" si="83"/>
        <v>320</v>
      </c>
      <c r="IY19" s="32">
        <f t="shared" si="83"/>
        <v>326</v>
      </c>
      <c r="IZ19" s="32">
        <f t="shared" si="83"/>
        <v>299</v>
      </c>
      <c r="JA19" s="32">
        <f t="shared" si="83"/>
        <v>287</v>
      </c>
      <c r="JB19" s="32">
        <f t="shared" si="83"/>
        <v>296</v>
      </c>
      <c r="JC19" s="32">
        <f t="shared" si="83"/>
        <v>294</v>
      </c>
      <c r="JD19" s="32">
        <f t="shared" si="83"/>
        <v>310</v>
      </c>
      <c r="JE19" s="32">
        <f t="shared" si="83"/>
        <v>286</v>
      </c>
      <c r="JF19" s="32">
        <f t="shared" si="83"/>
        <v>316</v>
      </c>
      <c r="JG19" s="32">
        <f t="shared" si="83"/>
        <v>305</v>
      </c>
      <c r="JH19" s="38">
        <f t="shared" si="27"/>
        <v>3615</v>
      </c>
      <c r="JI19" s="32">
        <f>SUM(JI16:JI18)</f>
        <v>1430.8</v>
      </c>
      <c r="JJ19" s="32">
        <f t="shared" ref="JJ19:JT19" si="84">SUM(JJ16:JJ18)</f>
        <v>1198.1999999999998</v>
      </c>
      <c r="JK19" s="32">
        <f t="shared" si="84"/>
        <v>1207.6000000000001</v>
      </c>
      <c r="JL19" s="32">
        <f t="shared" si="84"/>
        <v>1363</v>
      </c>
      <c r="JM19" s="32">
        <f t="shared" si="84"/>
        <v>870.8</v>
      </c>
      <c r="JN19" s="32">
        <f t="shared" si="84"/>
        <v>1188.8000000000002</v>
      </c>
      <c r="JO19" s="32">
        <f t="shared" si="84"/>
        <v>1295.5999999999999</v>
      </c>
      <c r="JP19" s="32">
        <f t="shared" si="84"/>
        <v>1148.8000000000002</v>
      </c>
      <c r="JQ19" s="32">
        <f t="shared" si="84"/>
        <v>1285.6000000000001</v>
      </c>
      <c r="JR19" s="32">
        <f t="shared" si="84"/>
        <v>1216.8000000000002</v>
      </c>
      <c r="JS19" s="32">
        <f t="shared" si="84"/>
        <v>1212.2</v>
      </c>
      <c r="JT19" s="32">
        <f t="shared" si="84"/>
        <v>1163</v>
      </c>
      <c r="JU19" s="112">
        <f t="shared" si="4"/>
        <v>14581.200000000004</v>
      </c>
      <c r="JV19" s="36">
        <f t="shared" si="28"/>
        <v>18196.200000000004</v>
      </c>
      <c r="JW19" s="26"/>
      <c r="JX19" s="32">
        <f>SUM(JX16:JX18)</f>
        <v>0</v>
      </c>
      <c r="JY19" s="32">
        <f t="shared" ref="JY19:KI19" si="85">SUM(JY16:JY18)</f>
        <v>0</v>
      </c>
      <c r="JZ19" s="32">
        <f t="shared" si="85"/>
        <v>0</v>
      </c>
      <c r="KA19" s="32">
        <f t="shared" si="85"/>
        <v>59</v>
      </c>
      <c r="KB19" s="32">
        <f t="shared" si="85"/>
        <v>121</v>
      </c>
      <c r="KC19" s="32">
        <f t="shared" si="85"/>
        <v>148</v>
      </c>
      <c r="KD19" s="32">
        <f t="shared" si="85"/>
        <v>96</v>
      </c>
      <c r="KE19" s="32">
        <f t="shared" si="85"/>
        <v>152</v>
      </c>
      <c r="KF19" s="32">
        <f t="shared" si="85"/>
        <v>122</v>
      </c>
      <c r="KG19" s="32">
        <f t="shared" si="85"/>
        <v>150</v>
      </c>
      <c r="KH19" s="32">
        <f t="shared" si="85"/>
        <v>113</v>
      </c>
      <c r="KI19" s="32">
        <f t="shared" si="85"/>
        <v>77</v>
      </c>
      <c r="KJ19" s="38">
        <f t="shared" si="29"/>
        <v>1038</v>
      </c>
      <c r="KK19" s="32">
        <f>SUM(KK16:KK18)</f>
        <v>994</v>
      </c>
      <c r="KL19" s="32">
        <f t="shared" ref="KL19:KV19" si="86">SUM(KL16:KL18)</f>
        <v>648</v>
      </c>
      <c r="KM19" s="32">
        <f t="shared" si="86"/>
        <v>573</v>
      </c>
      <c r="KN19" s="32">
        <f t="shared" si="86"/>
        <v>441</v>
      </c>
      <c r="KO19" s="32">
        <f t="shared" si="86"/>
        <v>416</v>
      </c>
      <c r="KP19" s="32">
        <f t="shared" si="86"/>
        <v>529</v>
      </c>
      <c r="KQ19" s="32">
        <f t="shared" si="86"/>
        <v>796</v>
      </c>
      <c r="KR19" s="32">
        <f t="shared" si="86"/>
        <v>469</v>
      </c>
      <c r="KS19" s="32">
        <f t="shared" si="86"/>
        <v>456</v>
      </c>
      <c r="KT19" s="32">
        <f t="shared" si="86"/>
        <v>478</v>
      </c>
      <c r="KU19" s="32">
        <f t="shared" si="86"/>
        <v>405</v>
      </c>
      <c r="KV19" s="32">
        <f t="shared" si="86"/>
        <v>411</v>
      </c>
      <c r="KW19" s="38">
        <f t="shared" si="5"/>
        <v>6616</v>
      </c>
      <c r="KX19" s="36">
        <f t="shared" si="30"/>
        <v>7654</v>
      </c>
      <c r="KY19" s="26"/>
      <c r="KZ19" s="32">
        <f>SUM(KZ16:KZ18)</f>
        <v>0</v>
      </c>
      <c r="LA19" s="32">
        <f t="shared" ref="LA19:LK19" si="87">SUM(LA16:LA18)</f>
        <v>0</v>
      </c>
      <c r="LB19" s="32">
        <f t="shared" si="87"/>
        <v>0</v>
      </c>
      <c r="LC19" s="32">
        <f t="shared" si="87"/>
        <v>0</v>
      </c>
      <c r="LD19" s="32">
        <f t="shared" si="87"/>
        <v>0</v>
      </c>
      <c r="LE19" s="32">
        <f t="shared" si="87"/>
        <v>0</v>
      </c>
      <c r="LF19" s="32">
        <f t="shared" si="87"/>
        <v>0</v>
      </c>
      <c r="LG19" s="32">
        <f t="shared" si="87"/>
        <v>0</v>
      </c>
      <c r="LH19" s="32">
        <f t="shared" si="87"/>
        <v>0</v>
      </c>
      <c r="LI19" s="32">
        <f t="shared" si="87"/>
        <v>0</v>
      </c>
      <c r="LJ19" s="32">
        <f t="shared" si="87"/>
        <v>0</v>
      </c>
      <c r="LK19" s="32">
        <f t="shared" si="87"/>
        <v>0</v>
      </c>
      <c r="LL19" s="38">
        <f t="shared" si="6"/>
        <v>0</v>
      </c>
      <c r="LM19" s="26"/>
      <c r="LN19" s="71">
        <f>SUM(LN16:LN18)</f>
        <v>935</v>
      </c>
      <c r="LO19" s="71">
        <f t="shared" ref="LO19:LY19" si="88">SUM(LO16:LO18)</f>
        <v>732</v>
      </c>
      <c r="LP19" s="71">
        <f t="shared" si="88"/>
        <v>694</v>
      </c>
      <c r="LQ19" s="71">
        <f t="shared" si="88"/>
        <v>877</v>
      </c>
      <c r="LR19" s="71">
        <f t="shared" si="88"/>
        <v>905</v>
      </c>
      <c r="LS19" s="71">
        <f t="shared" si="88"/>
        <v>850</v>
      </c>
      <c r="LT19" s="71">
        <f t="shared" si="88"/>
        <v>851</v>
      </c>
      <c r="LU19" s="71">
        <f t="shared" si="88"/>
        <v>789</v>
      </c>
      <c r="LV19" s="71">
        <f t="shared" si="88"/>
        <v>831</v>
      </c>
      <c r="LW19" s="71">
        <f t="shared" si="88"/>
        <v>967</v>
      </c>
      <c r="LX19" s="71">
        <f t="shared" si="88"/>
        <v>638</v>
      </c>
      <c r="LY19" s="71">
        <f t="shared" si="88"/>
        <v>794</v>
      </c>
      <c r="LZ19" s="38">
        <f t="shared" si="31"/>
        <v>9863</v>
      </c>
      <c r="MA19" s="26"/>
      <c r="MB19" s="45">
        <f>SUM(MB16:MB18)</f>
        <v>959</v>
      </c>
      <c r="MC19" s="45">
        <f t="shared" ref="MC19:MM19" si="89">SUM(MC16:MC18)</f>
        <v>1061</v>
      </c>
      <c r="MD19" s="45">
        <f t="shared" si="89"/>
        <v>1011</v>
      </c>
      <c r="ME19" s="45">
        <f t="shared" si="89"/>
        <v>1014</v>
      </c>
      <c r="MF19" s="45">
        <f t="shared" si="89"/>
        <v>937</v>
      </c>
      <c r="MG19" s="45">
        <f t="shared" si="89"/>
        <v>1064</v>
      </c>
      <c r="MH19" s="45">
        <f t="shared" si="89"/>
        <v>1257</v>
      </c>
      <c r="MI19" s="45">
        <f t="shared" si="89"/>
        <v>1123</v>
      </c>
      <c r="MJ19" s="45">
        <f t="shared" si="89"/>
        <v>817</v>
      </c>
      <c r="MK19" s="45">
        <f t="shared" si="89"/>
        <v>1196</v>
      </c>
      <c r="ML19" s="45">
        <f t="shared" si="89"/>
        <v>1226</v>
      </c>
      <c r="MM19" s="45">
        <f t="shared" si="89"/>
        <v>723</v>
      </c>
      <c r="MN19" s="38">
        <f t="shared" si="32"/>
        <v>12388</v>
      </c>
      <c r="MO19" s="32">
        <f>SUM(MO16:MO18)</f>
        <v>2546</v>
      </c>
      <c r="MP19" s="32">
        <f t="shared" ref="MP19:MZ19" si="90">SUM(MP16:MP18)</f>
        <v>1676</v>
      </c>
      <c r="MQ19" s="32">
        <f t="shared" si="90"/>
        <v>1736</v>
      </c>
      <c r="MR19" s="32">
        <f t="shared" si="90"/>
        <v>1898</v>
      </c>
      <c r="MS19" s="32">
        <f t="shared" si="90"/>
        <v>2166</v>
      </c>
      <c r="MT19" s="32">
        <f t="shared" si="90"/>
        <v>2143</v>
      </c>
      <c r="MU19" s="32">
        <f t="shared" si="90"/>
        <v>2946</v>
      </c>
      <c r="MV19" s="32">
        <f t="shared" si="90"/>
        <v>2503</v>
      </c>
      <c r="MW19" s="32">
        <f t="shared" si="90"/>
        <v>2582</v>
      </c>
      <c r="MX19" s="32">
        <f t="shared" si="90"/>
        <v>3402</v>
      </c>
      <c r="MY19" s="32">
        <f t="shared" si="90"/>
        <v>3474</v>
      </c>
      <c r="MZ19" s="32">
        <f t="shared" si="90"/>
        <v>2138</v>
      </c>
      <c r="NA19" s="38">
        <f t="shared" si="33"/>
        <v>29210</v>
      </c>
      <c r="NB19" s="36">
        <f t="shared" si="34"/>
        <v>41598</v>
      </c>
      <c r="NC19" s="26"/>
      <c r="ND19" s="32">
        <f>SUM(ND16:ND18)</f>
        <v>189</v>
      </c>
      <c r="NE19" s="32">
        <f t="shared" ref="NE19:NO19" si="91">SUM(NE16:NE18)</f>
        <v>165</v>
      </c>
      <c r="NF19" s="32">
        <f t="shared" si="91"/>
        <v>182</v>
      </c>
      <c r="NG19" s="32">
        <f t="shared" si="91"/>
        <v>160</v>
      </c>
      <c r="NH19" s="32">
        <f t="shared" si="91"/>
        <v>151</v>
      </c>
      <c r="NI19" s="32">
        <f t="shared" si="91"/>
        <v>125</v>
      </c>
      <c r="NJ19" s="32">
        <f t="shared" si="91"/>
        <v>202</v>
      </c>
      <c r="NK19" s="32">
        <f t="shared" si="91"/>
        <v>120</v>
      </c>
      <c r="NL19" s="32">
        <f t="shared" si="91"/>
        <v>135</v>
      </c>
      <c r="NM19" s="32">
        <f t="shared" si="91"/>
        <v>96</v>
      </c>
      <c r="NN19" s="32">
        <f t="shared" si="91"/>
        <v>52</v>
      </c>
      <c r="NO19" s="32">
        <f t="shared" si="91"/>
        <v>72</v>
      </c>
      <c r="NP19" s="38">
        <f t="shared" si="35"/>
        <v>1649</v>
      </c>
      <c r="NQ19" s="36">
        <f t="shared" si="36"/>
        <v>34851</v>
      </c>
      <c r="NR19" s="36">
        <f t="shared" si="37"/>
        <v>87019</v>
      </c>
      <c r="NS19" s="36">
        <f t="shared" si="38"/>
        <v>43791.200000000004</v>
      </c>
      <c r="NT19" s="36">
        <f t="shared" si="39"/>
        <v>165661.20000000001</v>
      </c>
      <c r="NU19" s="18"/>
      <c r="NV19" s="18"/>
      <c r="NW19" s="18"/>
      <c r="NX19" s="19"/>
      <c r="NY19" s="19"/>
      <c r="NZ19" s="19"/>
      <c r="OA19" s="19"/>
      <c r="OB19" s="19"/>
      <c r="OC19" s="19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8"/>
      <c r="OR19" s="18"/>
      <c r="OS19" s="18"/>
      <c r="OT19" s="18"/>
      <c r="OU19" s="18"/>
      <c r="OV19" s="18"/>
      <c r="OW19" s="18"/>
      <c r="OX19" s="19"/>
      <c r="OY19" s="19"/>
      <c r="OZ19" s="19"/>
      <c r="PA19" s="19"/>
      <c r="PB19" s="19"/>
      <c r="PC19" s="19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8"/>
      <c r="PR19" s="18"/>
      <c r="PS19" s="18"/>
      <c r="PT19" s="18"/>
      <c r="PU19" s="18"/>
      <c r="PV19" s="18"/>
      <c r="PW19" s="18"/>
      <c r="PX19" s="19"/>
      <c r="PY19" s="19"/>
      <c r="PZ19" s="19"/>
      <c r="QA19" s="19"/>
      <c r="QB19" s="19"/>
      <c r="QC19" s="19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</row>
    <row r="20" spans="1:458" s="1" customFormat="1" ht="50.1" customHeight="1" x14ac:dyDescent="0.25">
      <c r="A20" s="120"/>
      <c r="B20" s="6" t="s">
        <v>21</v>
      </c>
      <c r="C20" s="23"/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38">
        <f t="shared" si="7"/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38">
        <f t="shared" si="8"/>
        <v>0</v>
      </c>
      <c r="AD20" s="36">
        <f t="shared" si="9"/>
        <v>0</v>
      </c>
      <c r="AE20" s="26"/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8">
        <f t="shared" si="10"/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8">
        <f t="shared" si="11"/>
        <v>0</v>
      </c>
      <c r="BF20" s="36">
        <f t="shared" si="12"/>
        <v>0</v>
      </c>
      <c r="BG20" s="26"/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  <c r="BQ20" s="41">
        <v>0</v>
      </c>
      <c r="BR20" s="41">
        <v>0</v>
      </c>
      <c r="BS20" s="41">
        <v>0</v>
      </c>
      <c r="BT20" s="38">
        <f t="shared" si="13"/>
        <v>0</v>
      </c>
      <c r="BU20" s="56">
        <v>0</v>
      </c>
      <c r="BV20" s="56">
        <v>0</v>
      </c>
      <c r="BW20" s="56">
        <v>0</v>
      </c>
      <c r="BX20" s="56">
        <v>0</v>
      </c>
      <c r="BY20" s="56">
        <v>0</v>
      </c>
      <c r="BZ20" s="56">
        <v>0</v>
      </c>
      <c r="CA20" s="56">
        <v>0</v>
      </c>
      <c r="CB20" s="56">
        <v>0</v>
      </c>
      <c r="CC20" s="56">
        <v>0</v>
      </c>
      <c r="CD20" s="56">
        <v>0</v>
      </c>
      <c r="CE20" s="56">
        <v>0</v>
      </c>
      <c r="CF20" s="56">
        <v>0</v>
      </c>
      <c r="CG20" s="61">
        <f t="shared" si="14"/>
        <v>0</v>
      </c>
      <c r="CH20" s="57">
        <f t="shared" si="15"/>
        <v>0</v>
      </c>
      <c r="CI20" s="26"/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32">
        <v>0</v>
      </c>
      <c r="CR20" s="32">
        <v>0</v>
      </c>
      <c r="CS20" s="32">
        <v>0</v>
      </c>
      <c r="CT20" s="32">
        <v>0</v>
      </c>
      <c r="CU20" s="69">
        <v>0</v>
      </c>
      <c r="CV20" s="38">
        <f t="shared" si="16"/>
        <v>0</v>
      </c>
      <c r="CW20" s="45">
        <v>2</v>
      </c>
      <c r="CX20" s="45">
        <v>6</v>
      </c>
      <c r="CY20" s="45">
        <v>3</v>
      </c>
      <c r="CZ20" s="45">
        <v>4</v>
      </c>
      <c r="DA20" s="45">
        <v>7</v>
      </c>
      <c r="DB20" s="45">
        <v>5</v>
      </c>
      <c r="DC20" s="45">
        <v>8</v>
      </c>
      <c r="DD20" s="45">
        <v>5</v>
      </c>
      <c r="DE20" s="45">
        <v>1</v>
      </c>
      <c r="DF20" s="45">
        <v>3</v>
      </c>
      <c r="DG20" s="45">
        <v>6</v>
      </c>
      <c r="DH20" s="45">
        <v>2</v>
      </c>
      <c r="DI20" s="38">
        <f t="shared" si="0"/>
        <v>52</v>
      </c>
      <c r="DJ20" s="36">
        <f t="shared" si="17"/>
        <v>52</v>
      </c>
      <c r="DK20" s="26"/>
      <c r="DL20" s="75">
        <v>0</v>
      </c>
      <c r="DM20" s="75">
        <v>0</v>
      </c>
      <c r="DN20" s="75">
        <v>0</v>
      </c>
      <c r="DO20" s="75">
        <v>0</v>
      </c>
      <c r="DP20" s="75">
        <v>0</v>
      </c>
      <c r="DQ20" s="75">
        <v>0</v>
      </c>
      <c r="DR20" s="75">
        <v>0</v>
      </c>
      <c r="DS20" s="75">
        <v>0</v>
      </c>
      <c r="DT20" s="75">
        <v>0</v>
      </c>
      <c r="DU20" s="75">
        <v>0</v>
      </c>
      <c r="DV20" s="75">
        <v>0</v>
      </c>
      <c r="DW20" s="83">
        <v>0</v>
      </c>
      <c r="DX20" s="38">
        <f t="shared" si="1"/>
        <v>0</v>
      </c>
      <c r="DY20" s="65">
        <v>3</v>
      </c>
      <c r="DZ20" s="65">
        <v>3</v>
      </c>
      <c r="EA20" s="65">
        <v>4</v>
      </c>
      <c r="EB20" s="65">
        <v>2</v>
      </c>
      <c r="EC20" s="65">
        <v>3</v>
      </c>
      <c r="ED20" s="65">
        <v>2</v>
      </c>
      <c r="EE20" s="65">
        <v>3</v>
      </c>
      <c r="EF20" s="65">
        <v>2</v>
      </c>
      <c r="EG20" s="65">
        <v>2</v>
      </c>
      <c r="EH20" s="65">
        <v>3</v>
      </c>
      <c r="EI20" s="65">
        <v>2</v>
      </c>
      <c r="EJ20" s="65">
        <v>1</v>
      </c>
      <c r="EK20" s="38">
        <f t="shared" si="18"/>
        <v>30</v>
      </c>
      <c r="EL20" s="36">
        <f t="shared" si="19"/>
        <v>30</v>
      </c>
      <c r="EM20" s="26"/>
      <c r="EN20" s="32">
        <v>0</v>
      </c>
      <c r="EO20" s="32">
        <v>0</v>
      </c>
      <c r="EP20" s="32">
        <v>0</v>
      </c>
      <c r="EQ20" s="32">
        <v>0</v>
      </c>
      <c r="ER20" s="32">
        <v>0</v>
      </c>
      <c r="ES20" s="32">
        <v>0</v>
      </c>
      <c r="ET20" s="32">
        <v>0</v>
      </c>
      <c r="EU20" s="32">
        <v>0</v>
      </c>
      <c r="EV20" s="32">
        <v>0</v>
      </c>
      <c r="EW20" s="32">
        <v>0</v>
      </c>
      <c r="EX20" s="32">
        <v>0</v>
      </c>
      <c r="EY20" s="32">
        <v>0</v>
      </c>
      <c r="EZ20" s="38">
        <f t="shared" si="2"/>
        <v>0</v>
      </c>
      <c r="FA20" s="26"/>
      <c r="FB20" s="54">
        <v>0</v>
      </c>
      <c r="FC20" s="54">
        <v>0</v>
      </c>
      <c r="FD20" s="54">
        <v>0</v>
      </c>
      <c r="FE20" s="54">
        <v>0</v>
      </c>
      <c r="FF20" s="54">
        <v>0</v>
      </c>
      <c r="FG20" s="54">
        <v>0</v>
      </c>
      <c r="FH20" s="54">
        <v>0</v>
      </c>
      <c r="FI20" s="54">
        <v>0</v>
      </c>
      <c r="FJ20" s="54">
        <v>0</v>
      </c>
      <c r="FK20" s="54">
        <v>0</v>
      </c>
      <c r="FL20" s="54">
        <v>0</v>
      </c>
      <c r="FM20" s="54">
        <v>0</v>
      </c>
      <c r="FN20" s="38">
        <f t="shared" si="20"/>
        <v>0</v>
      </c>
      <c r="FO20" s="26"/>
      <c r="FP20" s="32">
        <v>0</v>
      </c>
      <c r="FQ20" s="32">
        <v>0</v>
      </c>
      <c r="FR20" s="32">
        <v>0</v>
      </c>
      <c r="FS20" s="32">
        <v>0</v>
      </c>
      <c r="FT20" s="32">
        <v>0</v>
      </c>
      <c r="FU20" s="32">
        <v>0</v>
      </c>
      <c r="FV20" s="32">
        <v>0</v>
      </c>
      <c r="FW20" s="32">
        <v>0</v>
      </c>
      <c r="FX20" s="32">
        <v>0</v>
      </c>
      <c r="FY20" s="32">
        <v>0</v>
      </c>
      <c r="FZ20" s="32">
        <v>0</v>
      </c>
      <c r="GA20" s="32">
        <v>0</v>
      </c>
      <c r="GB20" s="38">
        <f t="shared" si="21"/>
        <v>0</v>
      </c>
      <c r="GC20" s="26"/>
      <c r="GD20" s="32">
        <v>0</v>
      </c>
      <c r="GE20" s="32">
        <v>0</v>
      </c>
      <c r="GF20" s="32">
        <v>0</v>
      </c>
      <c r="GG20" s="32">
        <v>0</v>
      </c>
      <c r="GH20" s="32">
        <v>0</v>
      </c>
      <c r="GI20" s="32">
        <v>0</v>
      </c>
      <c r="GJ20" s="32">
        <v>0</v>
      </c>
      <c r="GK20" s="32">
        <v>0</v>
      </c>
      <c r="GL20" s="32">
        <v>0</v>
      </c>
      <c r="GM20" s="32">
        <v>0</v>
      </c>
      <c r="GN20" s="32">
        <v>0</v>
      </c>
      <c r="GO20" s="32">
        <v>0</v>
      </c>
      <c r="GP20" s="38">
        <f t="shared" si="22"/>
        <v>0</v>
      </c>
      <c r="GQ20" s="26"/>
      <c r="GR20" s="32">
        <v>0</v>
      </c>
      <c r="GS20" s="32">
        <v>0</v>
      </c>
      <c r="GT20" s="32">
        <v>0</v>
      </c>
      <c r="GU20" s="32">
        <v>0</v>
      </c>
      <c r="GV20" s="32">
        <v>0</v>
      </c>
      <c r="GW20" s="32">
        <v>0</v>
      </c>
      <c r="GX20" s="32">
        <v>0</v>
      </c>
      <c r="GY20" s="32">
        <v>0</v>
      </c>
      <c r="GZ20" s="32">
        <v>0</v>
      </c>
      <c r="HA20" s="32">
        <v>0</v>
      </c>
      <c r="HB20" s="32">
        <v>0</v>
      </c>
      <c r="HC20" s="32">
        <v>0</v>
      </c>
      <c r="HD20" s="38">
        <f t="shared" si="23"/>
        <v>0</v>
      </c>
      <c r="HE20" s="26"/>
      <c r="HF20" s="45">
        <v>0</v>
      </c>
      <c r="HG20" s="45">
        <v>0</v>
      </c>
      <c r="HH20" s="45">
        <v>0</v>
      </c>
      <c r="HI20" s="45">
        <v>0</v>
      </c>
      <c r="HJ20" s="45">
        <v>0</v>
      </c>
      <c r="HK20" s="45">
        <v>0</v>
      </c>
      <c r="HL20" s="45">
        <v>0</v>
      </c>
      <c r="HM20" s="45">
        <v>0</v>
      </c>
      <c r="HN20" s="45">
        <v>0</v>
      </c>
      <c r="HO20" s="45">
        <v>0</v>
      </c>
      <c r="HP20" s="45">
        <v>0</v>
      </c>
      <c r="HQ20" s="45">
        <v>0</v>
      </c>
      <c r="HR20" s="38">
        <f t="shared" si="24"/>
        <v>0</v>
      </c>
      <c r="HS20" s="26"/>
      <c r="HT20" s="32">
        <v>0</v>
      </c>
      <c r="HU20" s="32">
        <v>0</v>
      </c>
      <c r="HV20" s="32">
        <v>0</v>
      </c>
      <c r="HW20" s="32">
        <v>0</v>
      </c>
      <c r="HX20" s="32">
        <v>0</v>
      </c>
      <c r="HY20" s="32">
        <v>0</v>
      </c>
      <c r="HZ20" s="32">
        <v>0</v>
      </c>
      <c r="IA20" s="32">
        <v>0</v>
      </c>
      <c r="IB20" s="32">
        <v>0</v>
      </c>
      <c r="IC20" s="32">
        <v>0</v>
      </c>
      <c r="ID20" s="32">
        <v>0</v>
      </c>
      <c r="IE20" s="32">
        <v>0</v>
      </c>
      <c r="IF20" s="38">
        <f t="shared" si="3"/>
        <v>0</v>
      </c>
      <c r="IG20" s="104">
        <v>0</v>
      </c>
      <c r="IH20" s="104">
        <v>0</v>
      </c>
      <c r="II20" s="104">
        <v>0</v>
      </c>
      <c r="IJ20" s="104">
        <v>0</v>
      </c>
      <c r="IK20" s="104">
        <v>0</v>
      </c>
      <c r="IL20" s="104">
        <v>0</v>
      </c>
      <c r="IM20" s="104">
        <v>0</v>
      </c>
      <c r="IN20" s="104">
        <v>1</v>
      </c>
      <c r="IO20" s="104">
        <v>0</v>
      </c>
      <c r="IP20" s="104">
        <v>0</v>
      </c>
      <c r="IQ20" s="104">
        <v>0</v>
      </c>
      <c r="IR20" s="104">
        <v>0</v>
      </c>
      <c r="IS20" s="38">
        <f t="shared" si="25"/>
        <v>1</v>
      </c>
      <c r="IT20" s="36">
        <f t="shared" si="26"/>
        <v>1</v>
      </c>
      <c r="IU20" s="26"/>
      <c r="IV20" s="32">
        <v>2</v>
      </c>
      <c r="IW20" s="32">
        <v>1</v>
      </c>
      <c r="IX20" s="32">
        <v>2</v>
      </c>
      <c r="IY20" s="32">
        <v>3</v>
      </c>
      <c r="IZ20" s="32">
        <v>2</v>
      </c>
      <c r="JA20" s="32">
        <v>4</v>
      </c>
      <c r="JB20" s="32">
        <v>2</v>
      </c>
      <c r="JC20" s="32">
        <v>2</v>
      </c>
      <c r="JD20" s="32">
        <v>4</v>
      </c>
      <c r="JE20" s="32">
        <v>1</v>
      </c>
      <c r="JF20" s="32">
        <v>2</v>
      </c>
      <c r="JG20" s="32">
        <v>3</v>
      </c>
      <c r="JH20" s="38">
        <f t="shared" si="27"/>
        <v>28</v>
      </c>
      <c r="JI20" s="32">
        <v>0</v>
      </c>
      <c r="JJ20" s="32">
        <v>0</v>
      </c>
      <c r="JK20" s="32">
        <v>5</v>
      </c>
      <c r="JL20" s="32">
        <v>2</v>
      </c>
      <c r="JM20" s="32">
        <v>0</v>
      </c>
      <c r="JN20" s="32">
        <v>3</v>
      </c>
      <c r="JO20" s="32">
        <v>1</v>
      </c>
      <c r="JP20" s="32">
        <v>0</v>
      </c>
      <c r="JQ20" s="32">
        <v>2</v>
      </c>
      <c r="JR20" s="32">
        <v>1</v>
      </c>
      <c r="JS20" s="32">
        <v>4</v>
      </c>
      <c r="JT20" s="32">
        <v>1</v>
      </c>
      <c r="JU20" s="112">
        <f t="shared" si="4"/>
        <v>19</v>
      </c>
      <c r="JV20" s="36">
        <f t="shared" si="28"/>
        <v>47</v>
      </c>
      <c r="JW20" s="26"/>
      <c r="JX20" s="32">
        <v>0</v>
      </c>
      <c r="JY20" s="32">
        <v>0</v>
      </c>
      <c r="JZ20" s="32">
        <v>0</v>
      </c>
      <c r="KA20" s="32">
        <v>0</v>
      </c>
      <c r="KB20" s="32">
        <v>0</v>
      </c>
      <c r="KC20" s="32">
        <v>0</v>
      </c>
      <c r="KD20" s="32">
        <v>0</v>
      </c>
      <c r="KE20" s="32">
        <v>0</v>
      </c>
      <c r="KF20" s="32">
        <v>0</v>
      </c>
      <c r="KG20" s="32">
        <v>0</v>
      </c>
      <c r="KH20" s="32">
        <v>0</v>
      </c>
      <c r="KI20" s="32">
        <v>0</v>
      </c>
      <c r="KJ20" s="38">
        <f t="shared" si="29"/>
        <v>0</v>
      </c>
      <c r="KK20" s="114">
        <v>8</v>
      </c>
      <c r="KL20" s="114">
        <v>2</v>
      </c>
      <c r="KM20" s="114">
        <v>20</v>
      </c>
      <c r="KN20" s="114">
        <v>7</v>
      </c>
      <c r="KO20" s="114">
        <v>18</v>
      </c>
      <c r="KP20" s="114">
        <v>5</v>
      </c>
      <c r="KQ20" s="114">
        <v>14</v>
      </c>
      <c r="KR20" s="114">
        <v>1</v>
      </c>
      <c r="KS20" s="114">
        <v>0</v>
      </c>
      <c r="KT20" s="114">
        <v>43</v>
      </c>
      <c r="KU20" s="114">
        <v>75</v>
      </c>
      <c r="KV20" s="114">
        <v>86</v>
      </c>
      <c r="KW20" s="38">
        <f t="shared" si="5"/>
        <v>279</v>
      </c>
      <c r="KX20" s="36">
        <f t="shared" si="30"/>
        <v>279</v>
      </c>
      <c r="KY20" s="26"/>
      <c r="KZ20" s="32">
        <v>0</v>
      </c>
      <c r="LA20" s="32">
        <v>0</v>
      </c>
      <c r="LB20" s="32">
        <v>0</v>
      </c>
      <c r="LC20" s="32">
        <v>0</v>
      </c>
      <c r="LD20" s="32">
        <v>0</v>
      </c>
      <c r="LE20" s="32">
        <v>0</v>
      </c>
      <c r="LF20" s="32">
        <v>0</v>
      </c>
      <c r="LG20" s="32">
        <v>0</v>
      </c>
      <c r="LH20" s="32">
        <v>0</v>
      </c>
      <c r="LI20" s="32">
        <v>0</v>
      </c>
      <c r="LJ20" s="32">
        <v>0</v>
      </c>
      <c r="LK20" s="32">
        <v>0</v>
      </c>
      <c r="LL20" s="38">
        <f t="shared" si="6"/>
        <v>0</v>
      </c>
      <c r="LM20" s="26"/>
      <c r="LN20" s="71">
        <v>2</v>
      </c>
      <c r="LO20" s="71">
        <v>2</v>
      </c>
      <c r="LP20" s="71">
        <v>3</v>
      </c>
      <c r="LQ20" s="71">
        <v>2</v>
      </c>
      <c r="LR20" s="71">
        <v>4</v>
      </c>
      <c r="LS20" s="71">
        <v>3</v>
      </c>
      <c r="LT20" s="71">
        <v>2</v>
      </c>
      <c r="LU20" s="45">
        <v>3</v>
      </c>
      <c r="LV20" s="45">
        <v>4</v>
      </c>
      <c r="LW20" s="45">
        <v>3</v>
      </c>
      <c r="LX20" s="45">
        <v>3</v>
      </c>
      <c r="LY20" s="45">
        <v>3</v>
      </c>
      <c r="LZ20" s="38">
        <f t="shared" si="31"/>
        <v>34</v>
      </c>
      <c r="MA20" s="26"/>
      <c r="MB20" s="45">
        <v>0</v>
      </c>
      <c r="MC20" s="45">
        <v>0</v>
      </c>
      <c r="MD20" s="45">
        <v>0</v>
      </c>
      <c r="ME20" s="45">
        <v>0</v>
      </c>
      <c r="MF20" s="45">
        <v>0</v>
      </c>
      <c r="MG20" s="45">
        <v>0</v>
      </c>
      <c r="MH20" s="45">
        <v>0</v>
      </c>
      <c r="MI20" s="45">
        <v>0</v>
      </c>
      <c r="MJ20" s="45">
        <v>0</v>
      </c>
      <c r="MK20" s="45">
        <v>0</v>
      </c>
      <c r="ML20" s="45">
        <v>0</v>
      </c>
      <c r="MM20" s="45">
        <v>0</v>
      </c>
      <c r="MN20" s="38">
        <f t="shared" si="32"/>
        <v>0</v>
      </c>
      <c r="MO20" s="32">
        <v>3</v>
      </c>
      <c r="MP20" s="32">
        <v>144</v>
      </c>
      <c r="MQ20" s="32">
        <v>188</v>
      </c>
      <c r="MR20" s="32">
        <v>174</v>
      </c>
      <c r="MS20" s="32">
        <v>150</v>
      </c>
      <c r="MT20" s="32">
        <v>167</v>
      </c>
      <c r="MU20" s="32">
        <v>137</v>
      </c>
      <c r="MV20" s="32">
        <v>99</v>
      </c>
      <c r="MW20" s="32">
        <v>92</v>
      </c>
      <c r="MX20" s="32">
        <v>23</v>
      </c>
      <c r="MY20" s="32">
        <v>13</v>
      </c>
      <c r="MZ20" s="32">
        <v>22</v>
      </c>
      <c r="NA20" s="38">
        <f t="shared" si="33"/>
        <v>1212</v>
      </c>
      <c r="NB20" s="36">
        <f t="shared" si="34"/>
        <v>1212</v>
      </c>
      <c r="NC20" s="26"/>
      <c r="ND20" s="32">
        <v>0</v>
      </c>
      <c r="NE20" s="32">
        <v>0</v>
      </c>
      <c r="NF20" s="32">
        <v>0</v>
      </c>
      <c r="NG20" s="32">
        <v>0</v>
      </c>
      <c r="NH20" s="32">
        <v>0</v>
      </c>
      <c r="NI20" s="32">
        <v>0</v>
      </c>
      <c r="NJ20" s="32">
        <v>0</v>
      </c>
      <c r="NK20" s="32">
        <v>0</v>
      </c>
      <c r="NL20" s="32">
        <v>0</v>
      </c>
      <c r="NM20" s="32">
        <v>0</v>
      </c>
      <c r="NN20" s="32">
        <v>0</v>
      </c>
      <c r="NO20" s="32">
        <v>0</v>
      </c>
      <c r="NP20" s="38">
        <f t="shared" si="35"/>
        <v>0</v>
      </c>
      <c r="NQ20" s="36">
        <f t="shared" si="36"/>
        <v>0</v>
      </c>
      <c r="NR20" s="36">
        <f t="shared" si="37"/>
        <v>424</v>
      </c>
      <c r="NS20" s="36">
        <f t="shared" si="38"/>
        <v>1231</v>
      </c>
      <c r="NT20" s="36">
        <f t="shared" si="39"/>
        <v>1655</v>
      </c>
      <c r="NU20" s="18"/>
      <c r="NV20" s="18"/>
      <c r="NW20" s="18"/>
      <c r="NX20" s="19"/>
      <c r="NY20" s="19"/>
      <c r="NZ20" s="19"/>
      <c r="OA20" s="19"/>
      <c r="OB20" s="19"/>
      <c r="OC20" s="19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8"/>
      <c r="OR20" s="18"/>
      <c r="OS20" s="18"/>
      <c r="OT20" s="18"/>
      <c r="OU20" s="18"/>
      <c r="OV20" s="18"/>
      <c r="OW20" s="18"/>
      <c r="OX20" s="19"/>
      <c r="OY20" s="19"/>
      <c r="OZ20" s="19"/>
      <c r="PA20" s="19"/>
      <c r="PB20" s="19"/>
      <c r="PC20" s="19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8"/>
      <c r="PR20" s="18"/>
      <c r="PS20" s="18"/>
      <c r="PT20" s="18"/>
      <c r="PU20" s="18"/>
      <c r="PV20" s="18"/>
      <c r="PW20" s="18"/>
      <c r="PX20" s="19"/>
      <c r="PY20" s="19"/>
      <c r="PZ20" s="19"/>
      <c r="QA20" s="19"/>
      <c r="QB20" s="19"/>
      <c r="QC20" s="19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</row>
    <row r="21" spans="1:458" s="1" customFormat="1" ht="50.1" customHeight="1" x14ac:dyDescent="0.25">
      <c r="A21" s="120"/>
      <c r="B21" s="6" t="s">
        <v>22</v>
      </c>
      <c r="C21" s="23"/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38">
        <f t="shared" si="7"/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38">
        <f t="shared" si="8"/>
        <v>0</v>
      </c>
      <c r="AD21" s="36">
        <f t="shared" si="9"/>
        <v>0</v>
      </c>
      <c r="AE21" s="26"/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8">
        <f t="shared" si="10"/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8">
        <f t="shared" si="11"/>
        <v>0</v>
      </c>
      <c r="BF21" s="36">
        <f t="shared" si="12"/>
        <v>0</v>
      </c>
      <c r="BG21" s="26"/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  <c r="BQ21" s="41">
        <v>0</v>
      </c>
      <c r="BR21" s="41">
        <v>0</v>
      </c>
      <c r="BS21" s="41">
        <v>0</v>
      </c>
      <c r="BT21" s="38">
        <f t="shared" si="13"/>
        <v>0</v>
      </c>
      <c r="BU21" s="56">
        <v>0</v>
      </c>
      <c r="BV21" s="56">
        <v>0</v>
      </c>
      <c r="BW21" s="56">
        <v>0</v>
      </c>
      <c r="BX21" s="56">
        <v>0</v>
      </c>
      <c r="BY21" s="56">
        <v>0</v>
      </c>
      <c r="BZ21" s="56">
        <v>0</v>
      </c>
      <c r="CA21" s="56">
        <v>0</v>
      </c>
      <c r="CB21" s="56">
        <v>0</v>
      </c>
      <c r="CC21" s="56">
        <v>0</v>
      </c>
      <c r="CD21" s="56">
        <v>0</v>
      </c>
      <c r="CE21" s="56">
        <v>0</v>
      </c>
      <c r="CF21" s="56">
        <v>0</v>
      </c>
      <c r="CG21" s="61">
        <f t="shared" si="14"/>
        <v>0</v>
      </c>
      <c r="CH21" s="57">
        <f t="shared" si="15"/>
        <v>0</v>
      </c>
      <c r="CI21" s="26"/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32">
        <v>0</v>
      </c>
      <c r="CR21" s="32">
        <v>0</v>
      </c>
      <c r="CS21" s="32">
        <v>0</v>
      </c>
      <c r="CT21" s="32">
        <v>0</v>
      </c>
      <c r="CU21" s="69">
        <v>0</v>
      </c>
      <c r="CV21" s="38">
        <f t="shared" si="16"/>
        <v>0</v>
      </c>
      <c r="CW21" s="45">
        <v>0</v>
      </c>
      <c r="CX21" s="45">
        <v>0</v>
      </c>
      <c r="CY21" s="45">
        <v>0</v>
      </c>
      <c r="CZ21" s="45">
        <v>0</v>
      </c>
      <c r="DA21" s="45">
        <v>0</v>
      </c>
      <c r="DB21" s="45">
        <v>0</v>
      </c>
      <c r="DC21" s="45">
        <v>0</v>
      </c>
      <c r="DD21" s="45">
        <v>0</v>
      </c>
      <c r="DE21" s="45">
        <v>0</v>
      </c>
      <c r="DF21" s="45">
        <v>0</v>
      </c>
      <c r="DG21" s="45">
        <v>0</v>
      </c>
      <c r="DH21" s="45">
        <v>0</v>
      </c>
      <c r="DI21" s="38">
        <f t="shared" si="0"/>
        <v>0</v>
      </c>
      <c r="DJ21" s="36">
        <f t="shared" si="17"/>
        <v>0</v>
      </c>
      <c r="DK21" s="26"/>
      <c r="DL21" s="75">
        <v>0</v>
      </c>
      <c r="DM21" s="75">
        <v>0</v>
      </c>
      <c r="DN21" s="75">
        <v>0</v>
      </c>
      <c r="DO21" s="75">
        <v>0</v>
      </c>
      <c r="DP21" s="75">
        <v>0</v>
      </c>
      <c r="DQ21" s="75">
        <v>0</v>
      </c>
      <c r="DR21" s="75">
        <v>0</v>
      </c>
      <c r="DS21" s="75">
        <v>0</v>
      </c>
      <c r="DT21" s="75">
        <v>0</v>
      </c>
      <c r="DU21" s="75">
        <v>0</v>
      </c>
      <c r="DV21" s="75">
        <v>0</v>
      </c>
      <c r="DW21" s="83">
        <v>0</v>
      </c>
      <c r="DX21" s="38">
        <f t="shared" si="1"/>
        <v>0</v>
      </c>
      <c r="DY21" s="63">
        <v>0</v>
      </c>
      <c r="DZ21" s="63">
        <v>0</v>
      </c>
      <c r="EA21" s="63">
        <v>0</v>
      </c>
      <c r="EB21" s="63">
        <v>0</v>
      </c>
      <c r="EC21" s="63">
        <v>0</v>
      </c>
      <c r="ED21" s="63">
        <v>0</v>
      </c>
      <c r="EE21" s="63">
        <v>0</v>
      </c>
      <c r="EF21" s="63">
        <v>0</v>
      </c>
      <c r="EG21" s="63">
        <v>0</v>
      </c>
      <c r="EH21" s="63">
        <v>0</v>
      </c>
      <c r="EI21" s="63">
        <v>0</v>
      </c>
      <c r="EJ21" s="63">
        <v>0</v>
      </c>
      <c r="EK21" s="38">
        <f t="shared" si="18"/>
        <v>0</v>
      </c>
      <c r="EL21" s="36">
        <f t="shared" si="19"/>
        <v>0</v>
      </c>
      <c r="EM21" s="26"/>
      <c r="EN21" s="32">
        <v>0</v>
      </c>
      <c r="EO21" s="32">
        <v>0</v>
      </c>
      <c r="EP21" s="32">
        <v>0</v>
      </c>
      <c r="EQ21" s="32">
        <v>0</v>
      </c>
      <c r="ER21" s="32">
        <v>0</v>
      </c>
      <c r="ES21" s="32">
        <v>0</v>
      </c>
      <c r="ET21" s="32">
        <v>0</v>
      </c>
      <c r="EU21" s="32">
        <v>0</v>
      </c>
      <c r="EV21" s="32">
        <v>0</v>
      </c>
      <c r="EW21" s="32">
        <v>0</v>
      </c>
      <c r="EX21" s="32">
        <v>0</v>
      </c>
      <c r="EY21" s="32">
        <v>0</v>
      </c>
      <c r="EZ21" s="38">
        <f t="shared" si="2"/>
        <v>0</v>
      </c>
      <c r="FA21" s="26"/>
      <c r="FB21" s="54">
        <v>0</v>
      </c>
      <c r="FC21" s="54">
        <v>0</v>
      </c>
      <c r="FD21" s="54">
        <v>0</v>
      </c>
      <c r="FE21" s="54">
        <v>0</v>
      </c>
      <c r="FF21" s="54">
        <v>0</v>
      </c>
      <c r="FG21" s="54">
        <v>0</v>
      </c>
      <c r="FH21" s="54">
        <v>0</v>
      </c>
      <c r="FI21" s="54">
        <v>0</v>
      </c>
      <c r="FJ21" s="54">
        <v>0</v>
      </c>
      <c r="FK21" s="54">
        <v>0</v>
      </c>
      <c r="FL21" s="54">
        <v>0</v>
      </c>
      <c r="FM21" s="54">
        <v>0</v>
      </c>
      <c r="FN21" s="38">
        <f t="shared" si="20"/>
        <v>0</v>
      </c>
      <c r="FO21" s="26"/>
      <c r="FP21" s="32">
        <v>0</v>
      </c>
      <c r="FQ21" s="32">
        <v>0</v>
      </c>
      <c r="FR21" s="32">
        <v>0</v>
      </c>
      <c r="FS21" s="32">
        <v>0</v>
      </c>
      <c r="FT21" s="32">
        <v>0</v>
      </c>
      <c r="FU21" s="32">
        <v>0</v>
      </c>
      <c r="FV21" s="32">
        <v>0</v>
      </c>
      <c r="FW21" s="32">
        <v>0</v>
      </c>
      <c r="FX21" s="32">
        <v>0</v>
      </c>
      <c r="FY21" s="32">
        <v>0</v>
      </c>
      <c r="FZ21" s="32">
        <v>0</v>
      </c>
      <c r="GA21" s="32">
        <v>0</v>
      </c>
      <c r="GB21" s="38">
        <f t="shared" si="21"/>
        <v>0</v>
      </c>
      <c r="GC21" s="26"/>
      <c r="GD21" s="32">
        <v>0</v>
      </c>
      <c r="GE21" s="32">
        <v>0</v>
      </c>
      <c r="GF21" s="32">
        <v>0</v>
      </c>
      <c r="GG21" s="32">
        <v>0</v>
      </c>
      <c r="GH21" s="32">
        <v>0</v>
      </c>
      <c r="GI21" s="32">
        <v>0</v>
      </c>
      <c r="GJ21" s="32">
        <v>0</v>
      </c>
      <c r="GK21" s="32">
        <v>0</v>
      </c>
      <c r="GL21" s="32">
        <v>0</v>
      </c>
      <c r="GM21" s="32">
        <v>0</v>
      </c>
      <c r="GN21" s="32">
        <v>0</v>
      </c>
      <c r="GO21" s="32">
        <v>0</v>
      </c>
      <c r="GP21" s="38">
        <f t="shared" si="22"/>
        <v>0</v>
      </c>
      <c r="GQ21" s="26"/>
      <c r="GR21" s="32">
        <v>0</v>
      </c>
      <c r="GS21" s="32">
        <v>0</v>
      </c>
      <c r="GT21" s="32">
        <v>0</v>
      </c>
      <c r="GU21" s="32">
        <v>0</v>
      </c>
      <c r="GV21" s="32">
        <v>0</v>
      </c>
      <c r="GW21" s="32">
        <v>0</v>
      </c>
      <c r="GX21" s="32">
        <v>0</v>
      </c>
      <c r="GY21" s="32">
        <v>0</v>
      </c>
      <c r="GZ21" s="32">
        <v>0</v>
      </c>
      <c r="HA21" s="32">
        <v>0</v>
      </c>
      <c r="HB21" s="32">
        <v>0</v>
      </c>
      <c r="HC21" s="32">
        <v>0</v>
      </c>
      <c r="HD21" s="38">
        <f t="shared" si="23"/>
        <v>0</v>
      </c>
      <c r="HE21" s="26"/>
      <c r="HF21" s="45">
        <v>0</v>
      </c>
      <c r="HG21" s="45">
        <v>0</v>
      </c>
      <c r="HH21" s="45">
        <v>0</v>
      </c>
      <c r="HI21" s="45">
        <v>0</v>
      </c>
      <c r="HJ21" s="45">
        <v>0</v>
      </c>
      <c r="HK21" s="45">
        <v>0</v>
      </c>
      <c r="HL21" s="45">
        <v>0</v>
      </c>
      <c r="HM21" s="45">
        <v>0</v>
      </c>
      <c r="HN21" s="45">
        <v>0</v>
      </c>
      <c r="HO21" s="45">
        <v>0</v>
      </c>
      <c r="HP21" s="45">
        <v>0</v>
      </c>
      <c r="HQ21" s="45">
        <v>0</v>
      </c>
      <c r="HR21" s="38">
        <f t="shared" si="24"/>
        <v>0</v>
      </c>
      <c r="HS21" s="26"/>
      <c r="HT21" s="32">
        <v>0</v>
      </c>
      <c r="HU21" s="32">
        <v>0</v>
      </c>
      <c r="HV21" s="32">
        <v>0</v>
      </c>
      <c r="HW21" s="32">
        <v>0</v>
      </c>
      <c r="HX21" s="32">
        <v>0</v>
      </c>
      <c r="HY21" s="32">
        <v>0</v>
      </c>
      <c r="HZ21" s="32">
        <v>0</v>
      </c>
      <c r="IA21" s="32">
        <v>0</v>
      </c>
      <c r="IB21" s="32">
        <v>0</v>
      </c>
      <c r="IC21" s="32">
        <v>0</v>
      </c>
      <c r="ID21" s="32">
        <v>0</v>
      </c>
      <c r="IE21" s="32">
        <v>0</v>
      </c>
      <c r="IF21" s="38">
        <f t="shared" si="3"/>
        <v>0</v>
      </c>
      <c r="IG21" s="104">
        <v>0</v>
      </c>
      <c r="IH21" s="104">
        <v>0</v>
      </c>
      <c r="II21" s="104">
        <v>0</v>
      </c>
      <c r="IJ21" s="104">
        <v>0</v>
      </c>
      <c r="IK21" s="104">
        <v>0</v>
      </c>
      <c r="IL21" s="104">
        <v>0</v>
      </c>
      <c r="IM21" s="104">
        <v>0</v>
      </c>
      <c r="IN21" s="104">
        <v>0</v>
      </c>
      <c r="IO21" s="104">
        <v>0</v>
      </c>
      <c r="IP21" s="104">
        <v>0</v>
      </c>
      <c r="IQ21" s="104">
        <v>0</v>
      </c>
      <c r="IR21" s="104">
        <v>0</v>
      </c>
      <c r="IS21" s="38">
        <f t="shared" si="25"/>
        <v>0</v>
      </c>
      <c r="IT21" s="36">
        <f t="shared" si="26"/>
        <v>0</v>
      </c>
      <c r="IU21" s="26"/>
      <c r="IV21" s="32">
        <v>0</v>
      </c>
      <c r="IW21" s="32">
        <v>0</v>
      </c>
      <c r="IX21" s="32">
        <v>0</v>
      </c>
      <c r="IY21" s="32">
        <v>0</v>
      </c>
      <c r="IZ21" s="32">
        <v>0</v>
      </c>
      <c r="JA21" s="32">
        <v>0</v>
      </c>
      <c r="JB21" s="32">
        <v>0</v>
      </c>
      <c r="JC21" s="32">
        <v>0</v>
      </c>
      <c r="JD21" s="32">
        <v>0</v>
      </c>
      <c r="JE21" s="32">
        <v>0</v>
      </c>
      <c r="JF21" s="32">
        <v>0</v>
      </c>
      <c r="JG21" s="32">
        <v>0</v>
      </c>
      <c r="JH21" s="38">
        <f t="shared" si="27"/>
        <v>0</v>
      </c>
      <c r="JI21" s="32">
        <v>0</v>
      </c>
      <c r="JJ21" s="32">
        <v>0</v>
      </c>
      <c r="JK21" s="32">
        <v>0</v>
      </c>
      <c r="JL21" s="32">
        <v>0</v>
      </c>
      <c r="JM21" s="32">
        <v>0</v>
      </c>
      <c r="JN21" s="32">
        <v>0</v>
      </c>
      <c r="JO21" s="32">
        <v>0</v>
      </c>
      <c r="JP21" s="32">
        <v>0</v>
      </c>
      <c r="JQ21" s="32">
        <v>0</v>
      </c>
      <c r="JR21" s="32">
        <v>0</v>
      </c>
      <c r="JS21" s="32">
        <v>0</v>
      </c>
      <c r="JT21" s="32">
        <v>0</v>
      </c>
      <c r="JU21" s="112">
        <f t="shared" si="4"/>
        <v>0</v>
      </c>
      <c r="JV21" s="36">
        <f t="shared" si="28"/>
        <v>0</v>
      </c>
      <c r="JW21" s="26"/>
      <c r="JX21" s="32">
        <v>0</v>
      </c>
      <c r="JY21" s="32">
        <v>0</v>
      </c>
      <c r="JZ21" s="32">
        <v>0</v>
      </c>
      <c r="KA21" s="32">
        <v>0</v>
      </c>
      <c r="KB21" s="32">
        <v>0</v>
      </c>
      <c r="KC21" s="32">
        <v>0</v>
      </c>
      <c r="KD21" s="32">
        <v>0</v>
      </c>
      <c r="KE21" s="32">
        <v>0</v>
      </c>
      <c r="KF21" s="32">
        <v>0</v>
      </c>
      <c r="KG21" s="32">
        <v>0</v>
      </c>
      <c r="KH21" s="32">
        <v>0</v>
      </c>
      <c r="KI21" s="32">
        <v>0</v>
      </c>
      <c r="KJ21" s="38">
        <f t="shared" si="29"/>
        <v>0</v>
      </c>
      <c r="KK21" s="32">
        <v>0</v>
      </c>
      <c r="KL21" s="32">
        <v>0</v>
      </c>
      <c r="KM21" s="32">
        <v>0</v>
      </c>
      <c r="KN21" s="32">
        <v>0</v>
      </c>
      <c r="KO21" s="32">
        <v>0</v>
      </c>
      <c r="KP21" s="32">
        <v>0</v>
      </c>
      <c r="KQ21" s="32">
        <v>0</v>
      </c>
      <c r="KR21" s="32">
        <v>0</v>
      </c>
      <c r="KS21" s="32">
        <v>0</v>
      </c>
      <c r="KT21" s="32">
        <v>0</v>
      </c>
      <c r="KU21" s="32">
        <v>0</v>
      </c>
      <c r="KV21" s="32">
        <v>0</v>
      </c>
      <c r="KW21" s="38">
        <f t="shared" si="5"/>
        <v>0</v>
      </c>
      <c r="KX21" s="36">
        <f t="shared" si="30"/>
        <v>0</v>
      </c>
      <c r="KY21" s="26"/>
      <c r="KZ21" s="32">
        <v>0</v>
      </c>
      <c r="LA21" s="32">
        <v>0</v>
      </c>
      <c r="LB21" s="32">
        <v>0</v>
      </c>
      <c r="LC21" s="32">
        <v>0</v>
      </c>
      <c r="LD21" s="32">
        <v>0</v>
      </c>
      <c r="LE21" s="32">
        <v>0</v>
      </c>
      <c r="LF21" s="32">
        <v>0</v>
      </c>
      <c r="LG21" s="32">
        <v>0</v>
      </c>
      <c r="LH21" s="32">
        <v>0</v>
      </c>
      <c r="LI21" s="32">
        <v>0</v>
      </c>
      <c r="LJ21" s="32">
        <v>0</v>
      </c>
      <c r="LK21" s="32">
        <v>0</v>
      </c>
      <c r="LL21" s="38">
        <f t="shared" si="6"/>
        <v>0</v>
      </c>
      <c r="LM21" s="26"/>
      <c r="LN21" s="71">
        <v>0</v>
      </c>
      <c r="LO21" s="71">
        <v>0</v>
      </c>
      <c r="LP21" s="71">
        <v>0</v>
      </c>
      <c r="LQ21" s="71">
        <v>0</v>
      </c>
      <c r="LR21" s="71">
        <v>0</v>
      </c>
      <c r="LS21" s="71">
        <v>0</v>
      </c>
      <c r="LT21" s="71">
        <v>0</v>
      </c>
      <c r="LU21" s="45">
        <v>0</v>
      </c>
      <c r="LV21" s="45">
        <v>0</v>
      </c>
      <c r="LW21" s="45">
        <v>0</v>
      </c>
      <c r="LX21" s="45">
        <v>0</v>
      </c>
      <c r="LY21" s="45">
        <v>0</v>
      </c>
      <c r="LZ21" s="38">
        <f t="shared" si="31"/>
        <v>0</v>
      </c>
      <c r="MA21" s="26"/>
      <c r="MB21" s="45">
        <v>0</v>
      </c>
      <c r="MC21" s="45">
        <v>0</v>
      </c>
      <c r="MD21" s="45">
        <v>0</v>
      </c>
      <c r="ME21" s="45">
        <v>0</v>
      </c>
      <c r="MF21" s="45">
        <v>0</v>
      </c>
      <c r="MG21" s="45">
        <v>0</v>
      </c>
      <c r="MH21" s="45">
        <v>0</v>
      </c>
      <c r="MI21" s="45">
        <v>0</v>
      </c>
      <c r="MJ21" s="45">
        <v>0</v>
      </c>
      <c r="MK21" s="45">
        <v>0</v>
      </c>
      <c r="ML21" s="45">
        <v>0</v>
      </c>
      <c r="MM21" s="45">
        <v>0</v>
      </c>
      <c r="MN21" s="38">
        <f t="shared" si="32"/>
        <v>0</v>
      </c>
      <c r="MO21" s="32">
        <v>0</v>
      </c>
      <c r="MP21" s="32">
        <v>0</v>
      </c>
      <c r="MQ21" s="32">
        <v>0</v>
      </c>
      <c r="MR21" s="32">
        <v>0</v>
      </c>
      <c r="MS21" s="32">
        <v>0</v>
      </c>
      <c r="MT21" s="32">
        <v>0</v>
      </c>
      <c r="MU21" s="32">
        <v>0</v>
      </c>
      <c r="MV21" s="32">
        <v>0</v>
      </c>
      <c r="MW21" s="32">
        <v>0</v>
      </c>
      <c r="MX21" s="32">
        <v>0</v>
      </c>
      <c r="MY21" s="32">
        <v>0</v>
      </c>
      <c r="MZ21" s="32">
        <v>0</v>
      </c>
      <c r="NA21" s="38">
        <f t="shared" si="33"/>
        <v>0</v>
      </c>
      <c r="NB21" s="36">
        <f t="shared" si="34"/>
        <v>0</v>
      </c>
      <c r="NC21" s="26"/>
      <c r="ND21" s="32">
        <v>0</v>
      </c>
      <c r="NE21" s="32">
        <v>0</v>
      </c>
      <c r="NF21" s="32">
        <v>0</v>
      </c>
      <c r="NG21" s="32">
        <v>0</v>
      </c>
      <c r="NH21" s="32">
        <v>0</v>
      </c>
      <c r="NI21" s="32">
        <v>0</v>
      </c>
      <c r="NJ21" s="32">
        <v>0</v>
      </c>
      <c r="NK21" s="32">
        <v>0</v>
      </c>
      <c r="NL21" s="32">
        <v>0</v>
      </c>
      <c r="NM21" s="32">
        <v>0</v>
      </c>
      <c r="NN21" s="32">
        <v>0</v>
      </c>
      <c r="NO21" s="32">
        <v>0</v>
      </c>
      <c r="NP21" s="38">
        <f t="shared" si="35"/>
        <v>0</v>
      </c>
      <c r="NQ21" s="36">
        <f t="shared" si="36"/>
        <v>0</v>
      </c>
      <c r="NR21" s="36">
        <f t="shared" si="37"/>
        <v>0</v>
      </c>
      <c r="NS21" s="36">
        <f t="shared" si="38"/>
        <v>0</v>
      </c>
      <c r="NT21" s="36">
        <f t="shared" si="39"/>
        <v>0</v>
      </c>
      <c r="NU21" s="18"/>
      <c r="NV21" s="18"/>
      <c r="NW21" s="18"/>
      <c r="NX21" s="19"/>
      <c r="NY21" s="19"/>
      <c r="NZ21" s="19"/>
      <c r="OA21" s="19"/>
      <c r="OB21" s="19"/>
      <c r="OC21" s="19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8"/>
      <c r="OR21" s="18"/>
      <c r="OS21" s="18"/>
      <c r="OT21" s="18"/>
      <c r="OU21" s="18"/>
      <c r="OV21" s="18"/>
      <c r="OW21" s="18"/>
      <c r="OX21" s="19"/>
      <c r="OY21" s="19"/>
      <c r="OZ21" s="19"/>
      <c r="PA21" s="19"/>
      <c r="PB21" s="19"/>
      <c r="PC21" s="19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8"/>
      <c r="PR21" s="18"/>
      <c r="PS21" s="18"/>
      <c r="PT21" s="18"/>
      <c r="PU21" s="18"/>
      <c r="PV21" s="18"/>
      <c r="PW21" s="18"/>
      <c r="PX21" s="19"/>
      <c r="PY21" s="19"/>
      <c r="PZ21" s="19"/>
      <c r="QA21" s="19"/>
      <c r="QB21" s="19"/>
      <c r="QC21" s="19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</row>
    <row r="22" spans="1:458" s="1" customFormat="1" ht="50.1" customHeight="1" x14ac:dyDescent="0.25">
      <c r="A22" s="120">
        <v>2019</v>
      </c>
      <c r="B22" s="6" t="s">
        <v>17</v>
      </c>
      <c r="C22" s="23"/>
      <c r="D22" s="41">
        <v>2724</v>
      </c>
      <c r="E22" s="41">
        <v>2096</v>
      </c>
      <c r="F22" s="41">
        <v>1836</v>
      </c>
      <c r="G22" s="41">
        <v>1832</v>
      </c>
      <c r="H22" s="41">
        <v>1706</v>
      </c>
      <c r="I22" s="41">
        <v>1649</v>
      </c>
      <c r="J22" s="41">
        <v>1958</v>
      </c>
      <c r="K22" s="41">
        <v>1716</v>
      </c>
      <c r="L22" s="41">
        <v>1784</v>
      </c>
      <c r="M22" s="41">
        <v>2018</v>
      </c>
      <c r="N22" s="41">
        <v>1317</v>
      </c>
      <c r="O22" s="41">
        <v>1421</v>
      </c>
      <c r="P22" s="38">
        <f t="shared" si="7"/>
        <v>22057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38">
        <f t="shared" si="8"/>
        <v>0</v>
      </c>
      <c r="AD22" s="36">
        <f t="shared" si="9"/>
        <v>22057</v>
      </c>
      <c r="AE22" s="26"/>
      <c r="AF22" s="32">
        <v>113</v>
      </c>
      <c r="AG22" s="32">
        <v>121</v>
      </c>
      <c r="AH22" s="32">
        <v>130</v>
      </c>
      <c r="AI22" s="32">
        <v>102</v>
      </c>
      <c r="AJ22" s="32">
        <v>128</v>
      </c>
      <c r="AK22" s="32">
        <v>131</v>
      </c>
      <c r="AL22" s="32">
        <v>134</v>
      </c>
      <c r="AM22" s="32">
        <v>127</v>
      </c>
      <c r="AN22" s="32">
        <v>132</v>
      </c>
      <c r="AO22" s="32">
        <v>129</v>
      </c>
      <c r="AP22" s="32">
        <v>139</v>
      </c>
      <c r="AQ22" s="32">
        <v>142</v>
      </c>
      <c r="AR22" s="38">
        <f t="shared" si="10"/>
        <v>1528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8">
        <f t="shared" si="11"/>
        <v>0</v>
      </c>
      <c r="BF22" s="36">
        <f t="shared" si="12"/>
        <v>1528</v>
      </c>
      <c r="BG22" s="26"/>
      <c r="BH22" s="41">
        <v>160</v>
      </c>
      <c r="BI22" s="41">
        <v>74</v>
      </c>
      <c r="BJ22" s="41">
        <v>80</v>
      </c>
      <c r="BK22" s="41">
        <v>118</v>
      </c>
      <c r="BL22" s="41">
        <v>87</v>
      </c>
      <c r="BM22" s="41">
        <v>80</v>
      </c>
      <c r="BN22" s="41">
        <v>88</v>
      </c>
      <c r="BO22" s="41">
        <v>94</v>
      </c>
      <c r="BP22" s="41">
        <v>111</v>
      </c>
      <c r="BQ22" s="41">
        <v>125</v>
      </c>
      <c r="BR22" s="41">
        <v>233</v>
      </c>
      <c r="BS22" s="41">
        <v>154</v>
      </c>
      <c r="BT22" s="38">
        <f t="shared" si="13"/>
        <v>1404</v>
      </c>
      <c r="BU22" s="56">
        <v>237</v>
      </c>
      <c r="BV22" s="56">
        <v>176</v>
      </c>
      <c r="BW22" s="56">
        <v>193</v>
      </c>
      <c r="BX22" s="56">
        <v>183</v>
      </c>
      <c r="BY22" s="56">
        <v>192</v>
      </c>
      <c r="BZ22" s="56">
        <v>227</v>
      </c>
      <c r="CA22" s="56">
        <v>293</v>
      </c>
      <c r="CB22" s="56">
        <v>276</v>
      </c>
      <c r="CC22" s="56">
        <v>268</v>
      </c>
      <c r="CD22" s="56">
        <v>298</v>
      </c>
      <c r="CE22" s="56">
        <v>246</v>
      </c>
      <c r="CF22" s="56">
        <v>231</v>
      </c>
      <c r="CG22" s="61">
        <f t="shared" si="14"/>
        <v>2820</v>
      </c>
      <c r="CH22" s="57">
        <f t="shared" si="15"/>
        <v>4224</v>
      </c>
      <c r="CI22" s="26"/>
      <c r="CJ22" s="32">
        <v>230</v>
      </c>
      <c r="CK22" s="32">
        <v>122</v>
      </c>
      <c r="CL22" s="32">
        <v>105</v>
      </c>
      <c r="CM22" s="32">
        <v>149</v>
      </c>
      <c r="CN22" s="32">
        <v>31</v>
      </c>
      <c r="CO22" s="32">
        <v>377</v>
      </c>
      <c r="CP22" s="32">
        <v>280</v>
      </c>
      <c r="CQ22" s="32">
        <v>378</v>
      </c>
      <c r="CR22" s="32">
        <v>50</v>
      </c>
      <c r="CS22" s="32">
        <v>209</v>
      </c>
      <c r="CT22" s="32">
        <v>248</v>
      </c>
      <c r="CU22" s="69">
        <v>290</v>
      </c>
      <c r="CV22" s="38">
        <f t="shared" si="16"/>
        <v>2469</v>
      </c>
      <c r="CW22" s="45">
        <v>979</v>
      </c>
      <c r="CX22" s="45">
        <v>580</v>
      </c>
      <c r="CY22" s="45">
        <v>619</v>
      </c>
      <c r="CZ22" s="45">
        <v>546</v>
      </c>
      <c r="DA22" s="45">
        <v>520</v>
      </c>
      <c r="DB22" s="45">
        <v>700</v>
      </c>
      <c r="DC22" s="45">
        <v>919</v>
      </c>
      <c r="DD22" s="45">
        <v>900</v>
      </c>
      <c r="DE22" s="45">
        <v>579</v>
      </c>
      <c r="DF22" s="45">
        <v>1101</v>
      </c>
      <c r="DG22" s="45">
        <v>815</v>
      </c>
      <c r="DH22" s="45">
        <v>746</v>
      </c>
      <c r="DI22" s="38">
        <f t="shared" si="0"/>
        <v>9004</v>
      </c>
      <c r="DJ22" s="36">
        <f t="shared" si="17"/>
        <v>11473</v>
      </c>
      <c r="DK22" s="26"/>
      <c r="DL22" s="75">
        <v>18</v>
      </c>
      <c r="DM22" s="75">
        <v>6</v>
      </c>
      <c r="DN22" s="75">
        <v>10</v>
      </c>
      <c r="DO22" s="75">
        <v>22</v>
      </c>
      <c r="DP22" s="75">
        <v>6</v>
      </c>
      <c r="DQ22" s="75">
        <v>10</v>
      </c>
      <c r="DR22" s="75">
        <v>24</v>
      </c>
      <c r="DS22" s="75">
        <v>12</v>
      </c>
      <c r="DT22" s="75">
        <v>18</v>
      </c>
      <c r="DU22" s="75">
        <v>20</v>
      </c>
      <c r="DV22" s="75">
        <v>17</v>
      </c>
      <c r="DW22" s="83">
        <v>17</v>
      </c>
      <c r="DX22" s="38">
        <f t="shared" si="1"/>
        <v>180</v>
      </c>
      <c r="DY22" s="65">
        <v>630</v>
      </c>
      <c r="DZ22" s="65">
        <v>260</v>
      </c>
      <c r="EA22" s="65">
        <v>372</v>
      </c>
      <c r="EB22" s="65">
        <v>351</v>
      </c>
      <c r="EC22" s="65">
        <v>375</v>
      </c>
      <c r="ED22" s="65">
        <v>721</v>
      </c>
      <c r="EE22" s="65">
        <v>762</v>
      </c>
      <c r="EF22" s="65">
        <v>463</v>
      </c>
      <c r="EG22" s="65">
        <v>502</v>
      </c>
      <c r="EH22" s="65">
        <v>668</v>
      </c>
      <c r="EI22" s="65">
        <v>450</v>
      </c>
      <c r="EJ22" s="65">
        <v>507</v>
      </c>
      <c r="EK22" s="38">
        <f t="shared" si="18"/>
        <v>6061</v>
      </c>
      <c r="EL22" s="36">
        <f t="shared" si="19"/>
        <v>6241</v>
      </c>
      <c r="EM22" s="26"/>
      <c r="EN22" s="101">
        <v>672</v>
      </c>
      <c r="EO22" s="101">
        <v>528</v>
      </c>
      <c r="EP22" s="101">
        <v>734</v>
      </c>
      <c r="EQ22" s="101">
        <v>536</v>
      </c>
      <c r="ER22" s="101">
        <v>450</v>
      </c>
      <c r="ES22" s="101">
        <v>928</v>
      </c>
      <c r="ET22" s="101">
        <v>1054</v>
      </c>
      <c r="EU22" s="101">
        <v>846</v>
      </c>
      <c r="EV22" s="101">
        <v>988</v>
      </c>
      <c r="EW22" s="101">
        <v>1238</v>
      </c>
      <c r="EX22" s="101">
        <v>1100</v>
      </c>
      <c r="EY22" s="101">
        <v>860</v>
      </c>
      <c r="EZ22" s="38">
        <f t="shared" si="2"/>
        <v>9934</v>
      </c>
      <c r="FA22" s="26"/>
      <c r="FB22" s="54">
        <v>250</v>
      </c>
      <c r="FC22" s="54">
        <v>183</v>
      </c>
      <c r="FD22" s="54">
        <v>197</v>
      </c>
      <c r="FE22" s="54">
        <v>224</v>
      </c>
      <c r="FF22" s="54">
        <v>220</v>
      </c>
      <c r="FG22" s="54">
        <v>263</v>
      </c>
      <c r="FH22" s="54">
        <v>363</v>
      </c>
      <c r="FI22" s="54">
        <v>395</v>
      </c>
      <c r="FJ22" s="54">
        <v>493</v>
      </c>
      <c r="FK22" s="54">
        <v>541</v>
      </c>
      <c r="FL22" s="54">
        <v>466</v>
      </c>
      <c r="FM22" s="54">
        <v>485</v>
      </c>
      <c r="FN22" s="38">
        <f t="shared" si="20"/>
        <v>4080</v>
      </c>
      <c r="FO22" s="26"/>
      <c r="FP22" s="32">
        <v>187</v>
      </c>
      <c r="FQ22" s="32">
        <v>138</v>
      </c>
      <c r="FR22" s="32">
        <v>82</v>
      </c>
      <c r="FS22" s="32">
        <v>662</v>
      </c>
      <c r="FT22" s="32">
        <v>82</v>
      </c>
      <c r="FU22" s="32">
        <v>137</v>
      </c>
      <c r="FV22" s="32">
        <v>170</v>
      </c>
      <c r="FW22" s="32">
        <v>190</v>
      </c>
      <c r="FX22" s="32">
        <v>165</v>
      </c>
      <c r="FY22" s="32">
        <v>232</v>
      </c>
      <c r="FZ22" s="32">
        <v>375</v>
      </c>
      <c r="GA22" s="32">
        <v>267</v>
      </c>
      <c r="GB22" s="38">
        <f t="shared" si="21"/>
        <v>2687</v>
      </c>
      <c r="GC22" s="26"/>
      <c r="GD22" s="101">
        <v>103</v>
      </c>
      <c r="GE22" s="101">
        <v>113</v>
      </c>
      <c r="GF22" s="101">
        <v>144</v>
      </c>
      <c r="GG22" s="101">
        <v>129</v>
      </c>
      <c r="GH22" s="101">
        <v>101</v>
      </c>
      <c r="GI22" s="101">
        <v>149</v>
      </c>
      <c r="GJ22" s="101">
        <v>123</v>
      </c>
      <c r="GK22" s="101">
        <v>145</v>
      </c>
      <c r="GL22" s="101">
        <v>175</v>
      </c>
      <c r="GM22" s="101">
        <v>256</v>
      </c>
      <c r="GN22" s="101">
        <v>302</v>
      </c>
      <c r="GO22" s="101">
        <v>264</v>
      </c>
      <c r="GP22" s="38">
        <f t="shared" si="22"/>
        <v>2004</v>
      </c>
      <c r="GQ22" s="26"/>
      <c r="GR22" s="32">
        <v>10</v>
      </c>
      <c r="GS22" s="32">
        <v>13</v>
      </c>
      <c r="GT22" s="32">
        <v>7</v>
      </c>
      <c r="GU22" s="32">
        <v>14</v>
      </c>
      <c r="GV22" s="32">
        <v>8</v>
      </c>
      <c r="GW22" s="32">
        <v>13</v>
      </c>
      <c r="GX22" s="32">
        <v>21</v>
      </c>
      <c r="GY22" s="32">
        <v>8</v>
      </c>
      <c r="GZ22" s="32">
        <v>15</v>
      </c>
      <c r="HA22" s="32">
        <v>19</v>
      </c>
      <c r="HB22" s="32">
        <v>21</v>
      </c>
      <c r="HC22" s="32">
        <v>17</v>
      </c>
      <c r="HD22" s="38">
        <f t="shared" si="23"/>
        <v>166</v>
      </c>
      <c r="HE22" s="26"/>
      <c r="HF22" s="45">
        <v>596</v>
      </c>
      <c r="HG22" s="45">
        <v>549</v>
      </c>
      <c r="HH22" s="45">
        <v>413</v>
      </c>
      <c r="HI22" s="45">
        <v>303</v>
      </c>
      <c r="HJ22" s="45">
        <v>361</v>
      </c>
      <c r="HK22" s="45">
        <v>407</v>
      </c>
      <c r="HL22" s="45">
        <v>444</v>
      </c>
      <c r="HM22" s="45">
        <v>674</v>
      </c>
      <c r="HN22" s="45">
        <v>829</v>
      </c>
      <c r="HO22" s="45">
        <v>836</v>
      </c>
      <c r="HP22" s="45">
        <v>598</v>
      </c>
      <c r="HQ22" s="45">
        <v>588</v>
      </c>
      <c r="HR22" s="38">
        <f t="shared" si="24"/>
        <v>6598</v>
      </c>
      <c r="HS22" s="26"/>
      <c r="HT22" s="32">
        <v>326</v>
      </c>
      <c r="HU22" s="32">
        <v>279</v>
      </c>
      <c r="HV22" s="32">
        <v>312</v>
      </c>
      <c r="HW22" s="32">
        <v>218</v>
      </c>
      <c r="HX22" s="32">
        <v>328</v>
      </c>
      <c r="HY22" s="32">
        <v>220</v>
      </c>
      <c r="HZ22" s="32">
        <v>273</v>
      </c>
      <c r="IA22" s="32">
        <v>268</v>
      </c>
      <c r="IB22" s="32">
        <v>326</v>
      </c>
      <c r="IC22" s="32">
        <v>414</v>
      </c>
      <c r="ID22" s="32">
        <v>328</v>
      </c>
      <c r="IE22" s="32">
        <v>300</v>
      </c>
      <c r="IF22" s="38">
        <f t="shared" si="3"/>
        <v>3592</v>
      </c>
      <c r="IG22" s="104">
        <v>150</v>
      </c>
      <c r="IH22" s="104">
        <v>92</v>
      </c>
      <c r="II22" s="104">
        <v>95</v>
      </c>
      <c r="IJ22" s="104">
        <v>78</v>
      </c>
      <c r="IK22" s="104">
        <v>78</v>
      </c>
      <c r="IL22" s="104">
        <v>93</v>
      </c>
      <c r="IM22" s="104">
        <v>153</v>
      </c>
      <c r="IN22" s="104">
        <v>139</v>
      </c>
      <c r="IO22" s="104">
        <v>127</v>
      </c>
      <c r="IP22" s="104">
        <v>127</v>
      </c>
      <c r="IQ22" s="104">
        <v>1122</v>
      </c>
      <c r="IR22" s="104">
        <v>97</v>
      </c>
      <c r="IS22" s="38">
        <f t="shared" si="25"/>
        <v>2351</v>
      </c>
      <c r="IT22" s="36">
        <f t="shared" si="26"/>
        <v>5943</v>
      </c>
      <c r="IU22" s="26"/>
      <c r="IV22" s="32">
        <v>280</v>
      </c>
      <c r="IW22" s="32">
        <v>265</v>
      </c>
      <c r="IX22" s="32">
        <v>276</v>
      </c>
      <c r="IY22" s="32">
        <v>263</v>
      </c>
      <c r="IZ22" s="32">
        <v>250</v>
      </c>
      <c r="JA22" s="32">
        <v>249</v>
      </c>
      <c r="JB22" s="32">
        <v>235</v>
      </c>
      <c r="JC22" s="32">
        <v>280</v>
      </c>
      <c r="JD22" s="32">
        <v>246</v>
      </c>
      <c r="JE22" s="32">
        <v>280</v>
      </c>
      <c r="JF22" s="32">
        <v>265</v>
      </c>
      <c r="JG22" s="32">
        <v>200</v>
      </c>
      <c r="JH22" s="38">
        <f t="shared" si="27"/>
        <v>3089</v>
      </c>
      <c r="JI22" s="97">
        <v>938</v>
      </c>
      <c r="JJ22" s="97">
        <v>819.80000000000007</v>
      </c>
      <c r="JK22" s="97">
        <v>569.80000000000007</v>
      </c>
      <c r="JL22" s="97">
        <v>385.40000000000003</v>
      </c>
      <c r="JM22" s="97">
        <v>723.2</v>
      </c>
      <c r="JN22" s="97">
        <v>781</v>
      </c>
      <c r="JO22" s="97">
        <v>887.40000000000009</v>
      </c>
      <c r="JP22" s="97">
        <v>960.80000000000007</v>
      </c>
      <c r="JQ22" s="97">
        <v>902.2</v>
      </c>
      <c r="JR22" s="97">
        <v>735.2</v>
      </c>
      <c r="JS22" s="97">
        <v>924.2</v>
      </c>
      <c r="JT22" s="97">
        <v>894.40000000000009</v>
      </c>
      <c r="JU22" s="112">
        <f t="shared" si="4"/>
        <v>9521.4</v>
      </c>
      <c r="JV22" s="36">
        <f t="shared" si="28"/>
        <v>12610.4</v>
      </c>
      <c r="JW22" s="26"/>
      <c r="JX22" s="32">
        <v>58</v>
      </c>
      <c r="JY22" s="32">
        <v>34</v>
      </c>
      <c r="JZ22" s="32">
        <v>41</v>
      </c>
      <c r="KA22" s="32">
        <v>70</v>
      </c>
      <c r="KB22" s="32">
        <v>70</v>
      </c>
      <c r="KC22" s="32">
        <v>60</v>
      </c>
      <c r="KD22" s="32">
        <v>103</v>
      </c>
      <c r="KE22" s="32">
        <v>77</v>
      </c>
      <c r="KF22" s="32">
        <v>54</v>
      </c>
      <c r="KG22" s="32">
        <v>99</v>
      </c>
      <c r="KH22" s="32">
        <v>72</v>
      </c>
      <c r="KI22" s="32">
        <v>98</v>
      </c>
      <c r="KJ22" s="38">
        <f t="shared" si="29"/>
        <v>836</v>
      </c>
      <c r="KK22" s="114">
        <v>457</v>
      </c>
      <c r="KL22" s="114">
        <v>347</v>
      </c>
      <c r="KM22" s="114">
        <v>689</v>
      </c>
      <c r="KN22" s="114">
        <v>890</v>
      </c>
      <c r="KO22" s="114">
        <v>436</v>
      </c>
      <c r="KP22" s="114">
        <v>392</v>
      </c>
      <c r="KQ22" s="114">
        <v>624</v>
      </c>
      <c r="KR22" s="114">
        <v>574</v>
      </c>
      <c r="KS22" s="114">
        <v>742</v>
      </c>
      <c r="KT22" s="114">
        <v>876</v>
      </c>
      <c r="KU22" s="114">
        <v>677</v>
      </c>
      <c r="KV22" s="114">
        <v>768</v>
      </c>
      <c r="KW22" s="38">
        <f t="shared" si="5"/>
        <v>7472</v>
      </c>
      <c r="KX22" s="36">
        <f t="shared" si="30"/>
        <v>8308</v>
      </c>
      <c r="KY22" s="26"/>
      <c r="KZ22" s="32">
        <v>0</v>
      </c>
      <c r="LA22" s="32">
        <v>0</v>
      </c>
      <c r="LB22" s="32">
        <v>0</v>
      </c>
      <c r="LC22" s="32">
        <v>0</v>
      </c>
      <c r="LD22" s="32">
        <v>0</v>
      </c>
      <c r="LE22" s="32">
        <v>0</v>
      </c>
      <c r="LF22" s="32">
        <v>0</v>
      </c>
      <c r="LG22" s="32">
        <v>0</v>
      </c>
      <c r="LH22" s="32">
        <v>0</v>
      </c>
      <c r="LI22" s="32">
        <v>0</v>
      </c>
      <c r="LJ22" s="32">
        <v>0</v>
      </c>
      <c r="LK22" s="32">
        <v>0</v>
      </c>
      <c r="LL22" s="38">
        <f t="shared" si="6"/>
        <v>0</v>
      </c>
      <c r="LM22" s="26"/>
      <c r="LN22" s="71">
        <v>749</v>
      </c>
      <c r="LO22" s="71">
        <v>629</v>
      </c>
      <c r="LP22" s="71">
        <v>543</v>
      </c>
      <c r="LQ22" s="71">
        <v>575</v>
      </c>
      <c r="LR22" s="71">
        <v>497</v>
      </c>
      <c r="LS22" s="71">
        <v>675</v>
      </c>
      <c r="LT22" s="71">
        <v>730</v>
      </c>
      <c r="LU22" s="45">
        <v>934</v>
      </c>
      <c r="LV22" s="45">
        <v>912</v>
      </c>
      <c r="LW22" s="45">
        <v>1071</v>
      </c>
      <c r="LX22" s="45">
        <v>768</v>
      </c>
      <c r="LY22" s="45">
        <v>688</v>
      </c>
      <c r="LZ22" s="38">
        <f t="shared" si="31"/>
        <v>8771</v>
      </c>
      <c r="MA22" s="26"/>
      <c r="MB22" s="45">
        <v>676</v>
      </c>
      <c r="MC22" s="45">
        <v>717</v>
      </c>
      <c r="MD22" s="45">
        <v>738</v>
      </c>
      <c r="ME22" s="45">
        <v>753</v>
      </c>
      <c r="MF22" s="45">
        <v>636</v>
      </c>
      <c r="MG22" s="45">
        <v>586</v>
      </c>
      <c r="MH22" s="45">
        <v>549</v>
      </c>
      <c r="MI22" s="45">
        <v>1217</v>
      </c>
      <c r="MJ22" s="45">
        <v>1554</v>
      </c>
      <c r="MK22" s="45">
        <v>1519</v>
      </c>
      <c r="ML22" s="45">
        <v>1344</v>
      </c>
      <c r="MM22" s="45">
        <v>1218</v>
      </c>
      <c r="MN22" s="38">
        <f t="shared" si="32"/>
        <v>11507</v>
      </c>
      <c r="MO22" s="32">
        <v>1155</v>
      </c>
      <c r="MP22" s="32">
        <v>703</v>
      </c>
      <c r="MQ22" s="32">
        <v>461</v>
      </c>
      <c r="MR22" s="32">
        <v>406</v>
      </c>
      <c r="MS22" s="32">
        <v>720</v>
      </c>
      <c r="MT22" s="32">
        <v>946</v>
      </c>
      <c r="MU22" s="32">
        <v>1227</v>
      </c>
      <c r="MV22" s="32">
        <v>1037</v>
      </c>
      <c r="MW22" s="32">
        <v>1040</v>
      </c>
      <c r="MX22" s="32">
        <v>1169</v>
      </c>
      <c r="MY22" s="32">
        <v>757</v>
      </c>
      <c r="MZ22" s="32">
        <v>755</v>
      </c>
      <c r="NA22" s="38">
        <f t="shared" si="33"/>
        <v>10376</v>
      </c>
      <c r="NB22" s="36">
        <f t="shared" si="34"/>
        <v>21883</v>
      </c>
      <c r="NC22" s="26"/>
      <c r="ND22" s="101">
        <v>110</v>
      </c>
      <c r="NE22" s="101">
        <v>129</v>
      </c>
      <c r="NF22" s="101">
        <v>102</v>
      </c>
      <c r="NG22" s="101">
        <v>119</v>
      </c>
      <c r="NH22" s="101">
        <v>73</v>
      </c>
      <c r="NI22" s="101">
        <v>103</v>
      </c>
      <c r="NJ22" s="101">
        <v>122</v>
      </c>
      <c r="NK22" s="101">
        <v>115</v>
      </c>
      <c r="NL22" s="101">
        <v>74</v>
      </c>
      <c r="NM22" s="101">
        <v>165</v>
      </c>
      <c r="NN22" s="101">
        <v>85</v>
      </c>
      <c r="NO22" s="101">
        <v>116</v>
      </c>
      <c r="NP22" s="38">
        <f t="shared" si="35"/>
        <v>1313</v>
      </c>
      <c r="NQ22" s="36">
        <f t="shared" si="36"/>
        <v>32232</v>
      </c>
      <c r="NR22" s="36">
        <f t="shared" si="37"/>
        <v>77691</v>
      </c>
      <c r="NS22" s="36">
        <f t="shared" si="38"/>
        <v>19897.400000000001</v>
      </c>
      <c r="NT22" s="36">
        <f t="shared" si="39"/>
        <v>129820.4</v>
      </c>
      <c r="NU22" s="18"/>
      <c r="NV22" s="18"/>
      <c r="NW22" s="18"/>
      <c r="NX22" s="19"/>
      <c r="NY22" s="19"/>
      <c r="NZ22" s="19"/>
      <c r="OA22" s="19"/>
      <c r="OB22" s="19"/>
      <c r="OC22" s="19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8"/>
      <c r="OR22" s="18"/>
      <c r="OS22" s="18"/>
      <c r="OT22" s="18"/>
      <c r="OU22" s="18"/>
      <c r="OV22" s="18"/>
      <c r="OW22" s="18"/>
      <c r="OX22" s="19"/>
      <c r="OY22" s="19"/>
      <c r="OZ22" s="19"/>
      <c r="PA22" s="19"/>
      <c r="PB22" s="19"/>
      <c r="PC22" s="19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8"/>
      <c r="PR22" s="18"/>
      <c r="PS22" s="18"/>
      <c r="PT22" s="18"/>
      <c r="PU22" s="18"/>
      <c r="PV22" s="18"/>
      <c r="PW22" s="18"/>
      <c r="PX22" s="19"/>
      <c r="PY22" s="19"/>
      <c r="PZ22" s="19"/>
      <c r="QA22" s="19"/>
      <c r="QB22" s="19"/>
      <c r="QC22" s="19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</row>
    <row r="23" spans="1:458" s="1" customFormat="1" ht="50.1" customHeight="1" x14ac:dyDescent="0.25">
      <c r="A23" s="120"/>
      <c r="B23" s="6" t="s">
        <v>18</v>
      </c>
      <c r="C23" s="23"/>
      <c r="D23" s="41">
        <v>68</v>
      </c>
      <c r="E23" s="41">
        <v>73</v>
      </c>
      <c r="F23" s="41">
        <v>44</v>
      </c>
      <c r="G23" s="41">
        <v>61</v>
      </c>
      <c r="H23" s="41">
        <v>23</v>
      </c>
      <c r="I23" s="41">
        <v>33</v>
      </c>
      <c r="J23" s="41">
        <v>79</v>
      </c>
      <c r="K23" s="41">
        <v>90</v>
      </c>
      <c r="L23" s="41">
        <v>24</v>
      </c>
      <c r="M23" s="41">
        <v>28</v>
      </c>
      <c r="N23" s="41">
        <v>37</v>
      </c>
      <c r="O23" s="41">
        <v>19</v>
      </c>
      <c r="P23" s="38">
        <f t="shared" si="7"/>
        <v>579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38">
        <f t="shared" si="8"/>
        <v>0</v>
      </c>
      <c r="AD23" s="36">
        <f t="shared" si="9"/>
        <v>579</v>
      </c>
      <c r="AE23" s="26"/>
      <c r="AF23" s="32">
        <v>0</v>
      </c>
      <c r="AG23" s="32">
        <v>5</v>
      </c>
      <c r="AH23" s="32">
        <v>1</v>
      </c>
      <c r="AI23" s="32">
        <v>6</v>
      </c>
      <c r="AJ23" s="32">
        <v>5</v>
      </c>
      <c r="AK23" s="32">
        <v>4</v>
      </c>
      <c r="AL23" s="32">
        <v>1</v>
      </c>
      <c r="AM23" s="32">
        <v>3</v>
      </c>
      <c r="AN23" s="32">
        <v>0</v>
      </c>
      <c r="AO23" s="32">
        <v>1</v>
      </c>
      <c r="AP23" s="32">
        <v>0</v>
      </c>
      <c r="AQ23" s="32">
        <v>2</v>
      </c>
      <c r="AR23" s="38">
        <f t="shared" si="10"/>
        <v>28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8">
        <f t="shared" si="11"/>
        <v>0</v>
      </c>
      <c r="BF23" s="36">
        <f t="shared" si="12"/>
        <v>28</v>
      </c>
      <c r="BG23" s="26"/>
      <c r="BH23" s="41">
        <v>22</v>
      </c>
      <c r="BI23" s="41">
        <v>18</v>
      </c>
      <c r="BJ23" s="41">
        <v>12</v>
      </c>
      <c r="BK23" s="41">
        <v>26</v>
      </c>
      <c r="BL23" s="41">
        <v>35</v>
      </c>
      <c r="BM23" s="41">
        <v>32</v>
      </c>
      <c r="BN23" s="41">
        <v>26</v>
      </c>
      <c r="BO23" s="41">
        <v>32</v>
      </c>
      <c r="BP23" s="41">
        <v>25</v>
      </c>
      <c r="BQ23" s="41">
        <v>29</v>
      </c>
      <c r="BR23" s="41">
        <v>46</v>
      </c>
      <c r="BS23" s="41">
        <v>18</v>
      </c>
      <c r="BT23" s="38">
        <f t="shared" si="13"/>
        <v>321</v>
      </c>
      <c r="BU23" s="56">
        <v>76</v>
      </c>
      <c r="BV23" s="56">
        <v>52</v>
      </c>
      <c r="BW23" s="56">
        <v>44</v>
      </c>
      <c r="BX23" s="56">
        <v>59</v>
      </c>
      <c r="BY23" s="56">
        <v>38</v>
      </c>
      <c r="BZ23" s="56">
        <v>35</v>
      </c>
      <c r="CA23" s="56">
        <v>28</v>
      </c>
      <c r="CB23" s="56">
        <v>35</v>
      </c>
      <c r="CC23" s="56">
        <v>10</v>
      </c>
      <c r="CD23" s="56">
        <v>27</v>
      </c>
      <c r="CE23" s="56">
        <v>20</v>
      </c>
      <c r="CF23" s="56">
        <v>7</v>
      </c>
      <c r="CG23" s="61">
        <f t="shared" si="14"/>
        <v>431</v>
      </c>
      <c r="CH23" s="57">
        <f t="shared" si="15"/>
        <v>752</v>
      </c>
      <c r="CI23" s="26"/>
      <c r="CJ23" s="32">
        <v>9</v>
      </c>
      <c r="CK23" s="32">
        <v>10</v>
      </c>
      <c r="CL23" s="32">
        <v>31</v>
      </c>
      <c r="CM23" s="32">
        <v>7</v>
      </c>
      <c r="CN23" s="32">
        <v>19</v>
      </c>
      <c r="CO23" s="32">
        <v>39</v>
      </c>
      <c r="CP23" s="32">
        <v>6</v>
      </c>
      <c r="CQ23" s="32">
        <v>17</v>
      </c>
      <c r="CR23" s="32">
        <v>16</v>
      </c>
      <c r="CS23" s="32">
        <v>17</v>
      </c>
      <c r="CT23" s="32">
        <v>17</v>
      </c>
      <c r="CU23" s="69">
        <v>11</v>
      </c>
      <c r="CV23" s="38">
        <f t="shared" si="16"/>
        <v>199</v>
      </c>
      <c r="CW23" s="45">
        <v>105</v>
      </c>
      <c r="CX23" s="45">
        <v>109</v>
      </c>
      <c r="CY23" s="45">
        <v>106</v>
      </c>
      <c r="CZ23" s="45">
        <v>257</v>
      </c>
      <c r="DA23" s="45">
        <v>85</v>
      </c>
      <c r="DB23" s="45">
        <v>95</v>
      </c>
      <c r="DC23" s="45">
        <v>68</v>
      </c>
      <c r="DD23" s="45">
        <v>74</v>
      </c>
      <c r="DE23" s="45">
        <v>69</v>
      </c>
      <c r="DF23" s="45">
        <v>85</v>
      </c>
      <c r="DG23" s="45">
        <v>103</v>
      </c>
      <c r="DH23" s="45">
        <v>65</v>
      </c>
      <c r="DI23" s="38">
        <f t="shared" si="0"/>
        <v>1221</v>
      </c>
      <c r="DJ23" s="36">
        <f t="shared" si="17"/>
        <v>1420</v>
      </c>
      <c r="DK23" s="26"/>
      <c r="DL23" s="75">
        <v>0</v>
      </c>
      <c r="DM23" s="75">
        <v>1</v>
      </c>
      <c r="DN23" s="75">
        <v>1</v>
      </c>
      <c r="DO23" s="75">
        <v>0</v>
      </c>
      <c r="DP23" s="75">
        <v>1</v>
      </c>
      <c r="DQ23" s="75">
        <v>0</v>
      </c>
      <c r="DR23" s="75">
        <v>0</v>
      </c>
      <c r="DS23" s="75">
        <v>2</v>
      </c>
      <c r="DT23" s="75">
        <v>0</v>
      </c>
      <c r="DU23" s="75">
        <v>0</v>
      </c>
      <c r="DV23" s="75">
        <v>2</v>
      </c>
      <c r="DW23" s="83">
        <v>2</v>
      </c>
      <c r="DX23" s="38">
        <f t="shared" si="1"/>
        <v>9</v>
      </c>
      <c r="DY23" s="65">
        <v>53</v>
      </c>
      <c r="DZ23" s="65">
        <v>48</v>
      </c>
      <c r="EA23" s="65">
        <v>70</v>
      </c>
      <c r="EB23" s="65">
        <v>76</v>
      </c>
      <c r="EC23" s="65">
        <v>80</v>
      </c>
      <c r="ED23" s="65">
        <v>58</v>
      </c>
      <c r="EE23" s="65">
        <v>75</v>
      </c>
      <c r="EF23" s="65">
        <v>22</v>
      </c>
      <c r="EG23" s="65">
        <v>31</v>
      </c>
      <c r="EH23" s="65">
        <v>28</v>
      </c>
      <c r="EI23" s="65">
        <v>33</v>
      </c>
      <c r="EJ23" s="65">
        <v>14</v>
      </c>
      <c r="EK23" s="38">
        <f t="shared" si="18"/>
        <v>588</v>
      </c>
      <c r="EL23" s="36">
        <f t="shared" si="19"/>
        <v>597</v>
      </c>
      <c r="EM23" s="26"/>
      <c r="EN23" s="101">
        <v>250</v>
      </c>
      <c r="EO23" s="101">
        <v>182</v>
      </c>
      <c r="EP23" s="101">
        <v>196</v>
      </c>
      <c r="EQ23" s="101">
        <v>198</v>
      </c>
      <c r="ER23" s="101">
        <v>204</v>
      </c>
      <c r="ES23" s="101">
        <v>102</v>
      </c>
      <c r="ET23" s="101">
        <v>86</v>
      </c>
      <c r="EU23" s="101">
        <v>60</v>
      </c>
      <c r="EV23" s="101">
        <v>88</v>
      </c>
      <c r="EW23" s="101">
        <v>62</v>
      </c>
      <c r="EX23" s="101">
        <v>56</v>
      </c>
      <c r="EY23" s="101">
        <v>46</v>
      </c>
      <c r="EZ23" s="38">
        <f t="shared" si="2"/>
        <v>1530</v>
      </c>
      <c r="FA23" s="26"/>
      <c r="FB23" s="54">
        <v>59</v>
      </c>
      <c r="FC23" s="54">
        <v>46</v>
      </c>
      <c r="FD23" s="54">
        <v>61</v>
      </c>
      <c r="FE23" s="54">
        <v>52</v>
      </c>
      <c r="FF23" s="54">
        <v>38</v>
      </c>
      <c r="FG23" s="54">
        <v>38</v>
      </c>
      <c r="FH23" s="54">
        <v>33</v>
      </c>
      <c r="FI23" s="54">
        <v>53</v>
      </c>
      <c r="FJ23" s="54">
        <v>43</v>
      </c>
      <c r="FK23" s="54">
        <v>52</v>
      </c>
      <c r="FL23" s="54">
        <v>39</v>
      </c>
      <c r="FM23" s="54">
        <v>57</v>
      </c>
      <c r="FN23" s="38">
        <f t="shared" si="20"/>
        <v>571</v>
      </c>
      <c r="FO23" s="26"/>
      <c r="FP23" s="32">
        <v>48</v>
      </c>
      <c r="FQ23" s="32">
        <v>29</v>
      </c>
      <c r="FR23" s="32">
        <v>29</v>
      </c>
      <c r="FS23" s="32">
        <v>171</v>
      </c>
      <c r="FT23" s="32">
        <v>23</v>
      </c>
      <c r="FU23" s="32">
        <v>28</v>
      </c>
      <c r="FV23" s="32">
        <v>19</v>
      </c>
      <c r="FW23" s="32">
        <v>45</v>
      </c>
      <c r="FX23" s="32">
        <v>51</v>
      </c>
      <c r="FY23" s="32">
        <v>53</v>
      </c>
      <c r="FZ23" s="32">
        <v>24</v>
      </c>
      <c r="GA23" s="32">
        <v>13</v>
      </c>
      <c r="GB23" s="38">
        <f t="shared" si="21"/>
        <v>533</v>
      </c>
      <c r="GC23" s="26"/>
      <c r="GD23" s="101">
        <v>31</v>
      </c>
      <c r="GE23" s="101">
        <v>37</v>
      </c>
      <c r="GF23" s="101">
        <v>42</v>
      </c>
      <c r="GG23" s="101">
        <v>31</v>
      </c>
      <c r="GH23" s="101">
        <v>33</v>
      </c>
      <c r="GI23" s="101">
        <v>34</v>
      </c>
      <c r="GJ23" s="101">
        <v>20</v>
      </c>
      <c r="GK23" s="101">
        <v>20</v>
      </c>
      <c r="GL23" s="101">
        <v>15</v>
      </c>
      <c r="GM23" s="101">
        <v>98</v>
      </c>
      <c r="GN23" s="101">
        <v>49</v>
      </c>
      <c r="GO23" s="101">
        <v>31</v>
      </c>
      <c r="GP23" s="38">
        <f t="shared" si="22"/>
        <v>441</v>
      </c>
      <c r="GQ23" s="26"/>
      <c r="GR23" s="32">
        <v>2</v>
      </c>
      <c r="GS23" s="32">
        <v>2</v>
      </c>
      <c r="GT23" s="32">
        <v>5</v>
      </c>
      <c r="GU23" s="32">
        <v>3</v>
      </c>
      <c r="GV23" s="32">
        <v>3</v>
      </c>
      <c r="GW23" s="32">
        <v>6</v>
      </c>
      <c r="GX23" s="32">
        <v>6</v>
      </c>
      <c r="GY23" s="32">
        <v>9</v>
      </c>
      <c r="GZ23" s="32">
        <v>8</v>
      </c>
      <c r="HA23" s="32">
        <v>14</v>
      </c>
      <c r="HB23" s="32">
        <v>6</v>
      </c>
      <c r="HC23" s="32">
        <v>4</v>
      </c>
      <c r="HD23" s="38">
        <f t="shared" si="23"/>
        <v>68</v>
      </c>
      <c r="HE23" s="26"/>
      <c r="HF23" s="45">
        <v>145</v>
      </c>
      <c r="HG23" s="45">
        <v>147</v>
      </c>
      <c r="HH23" s="45">
        <v>161</v>
      </c>
      <c r="HI23" s="45">
        <v>153</v>
      </c>
      <c r="HJ23" s="45">
        <v>127</v>
      </c>
      <c r="HK23" s="45">
        <v>136</v>
      </c>
      <c r="HL23" s="45">
        <v>82</v>
      </c>
      <c r="HM23" s="45">
        <v>94</v>
      </c>
      <c r="HN23" s="45">
        <v>88</v>
      </c>
      <c r="HO23" s="45">
        <v>89</v>
      </c>
      <c r="HP23" s="45">
        <v>107</v>
      </c>
      <c r="HQ23" s="45">
        <v>75</v>
      </c>
      <c r="HR23" s="38">
        <f t="shared" si="24"/>
        <v>1404</v>
      </c>
      <c r="HS23" s="26"/>
      <c r="HT23" s="32">
        <v>3</v>
      </c>
      <c r="HU23" s="32">
        <v>0</v>
      </c>
      <c r="HV23" s="32">
        <v>3</v>
      </c>
      <c r="HW23" s="32">
        <v>5</v>
      </c>
      <c r="HX23" s="32">
        <v>7</v>
      </c>
      <c r="HY23" s="32">
        <v>3</v>
      </c>
      <c r="HZ23" s="32">
        <v>4</v>
      </c>
      <c r="IA23" s="32">
        <v>7</v>
      </c>
      <c r="IB23" s="32">
        <v>18</v>
      </c>
      <c r="IC23" s="32">
        <v>9</v>
      </c>
      <c r="ID23" s="32">
        <v>3</v>
      </c>
      <c r="IE23" s="32">
        <v>3</v>
      </c>
      <c r="IF23" s="38">
        <f t="shared" si="3"/>
        <v>65</v>
      </c>
      <c r="IG23" s="104">
        <v>9</v>
      </c>
      <c r="IH23" s="104">
        <v>27</v>
      </c>
      <c r="II23" s="104">
        <v>19</v>
      </c>
      <c r="IJ23" s="104">
        <v>44</v>
      </c>
      <c r="IK23" s="104">
        <v>21</v>
      </c>
      <c r="IL23" s="104">
        <v>13</v>
      </c>
      <c r="IM23" s="104">
        <v>9</v>
      </c>
      <c r="IN23" s="104">
        <v>8</v>
      </c>
      <c r="IO23" s="104">
        <v>4</v>
      </c>
      <c r="IP23" s="104">
        <v>11</v>
      </c>
      <c r="IQ23" s="104">
        <v>14</v>
      </c>
      <c r="IR23" s="104">
        <v>16</v>
      </c>
      <c r="IS23" s="38">
        <f t="shared" si="25"/>
        <v>195</v>
      </c>
      <c r="IT23" s="36">
        <f t="shared" si="26"/>
        <v>260</v>
      </c>
      <c r="IU23" s="26"/>
      <c r="IV23" s="32">
        <v>42</v>
      </c>
      <c r="IW23" s="32">
        <v>49</v>
      </c>
      <c r="IX23" s="32">
        <v>38</v>
      </c>
      <c r="IY23" s="32">
        <v>36</v>
      </c>
      <c r="IZ23" s="32">
        <v>42</v>
      </c>
      <c r="JA23" s="32">
        <v>46</v>
      </c>
      <c r="JB23" s="32">
        <v>45</v>
      </c>
      <c r="JC23" s="32">
        <v>52</v>
      </c>
      <c r="JD23" s="32">
        <v>50</v>
      </c>
      <c r="JE23" s="32">
        <v>46</v>
      </c>
      <c r="JF23" s="32">
        <v>50</v>
      </c>
      <c r="JG23" s="32">
        <v>49</v>
      </c>
      <c r="JH23" s="38">
        <f t="shared" si="27"/>
        <v>545</v>
      </c>
      <c r="JI23" s="97">
        <v>204.4</v>
      </c>
      <c r="JJ23" s="97">
        <v>327.8</v>
      </c>
      <c r="JK23" s="97">
        <v>284.2</v>
      </c>
      <c r="JL23" s="97">
        <v>194.20000000000002</v>
      </c>
      <c r="JM23" s="97">
        <v>209.8</v>
      </c>
      <c r="JN23" s="97">
        <v>190</v>
      </c>
      <c r="JO23" s="97">
        <v>143.6</v>
      </c>
      <c r="JP23" s="97">
        <v>106.4</v>
      </c>
      <c r="JQ23" s="97">
        <v>154.80000000000001</v>
      </c>
      <c r="JR23" s="97">
        <v>156.20000000000002</v>
      </c>
      <c r="JS23" s="97">
        <v>119.2</v>
      </c>
      <c r="JT23" s="97">
        <v>96.4</v>
      </c>
      <c r="JU23" s="112">
        <f t="shared" si="4"/>
        <v>2187</v>
      </c>
      <c r="JV23" s="36">
        <f t="shared" si="28"/>
        <v>2732</v>
      </c>
      <c r="JW23" s="26"/>
      <c r="JX23" s="32">
        <v>17</v>
      </c>
      <c r="JY23" s="32">
        <v>6</v>
      </c>
      <c r="JZ23" s="32">
        <v>13</v>
      </c>
      <c r="KA23" s="32">
        <v>5</v>
      </c>
      <c r="KB23" s="32">
        <v>10</v>
      </c>
      <c r="KC23" s="32">
        <v>6</v>
      </c>
      <c r="KD23" s="32">
        <v>12</v>
      </c>
      <c r="KE23" s="32">
        <v>5</v>
      </c>
      <c r="KF23" s="32">
        <v>14</v>
      </c>
      <c r="KG23" s="32">
        <v>13</v>
      </c>
      <c r="KH23" s="32">
        <v>9</v>
      </c>
      <c r="KI23" s="32">
        <v>5</v>
      </c>
      <c r="KJ23" s="38">
        <f t="shared" si="29"/>
        <v>115</v>
      </c>
      <c r="KK23" s="114">
        <v>81</v>
      </c>
      <c r="KL23" s="114">
        <v>10</v>
      </c>
      <c r="KM23" s="114">
        <v>9</v>
      </c>
      <c r="KN23" s="114">
        <v>36</v>
      </c>
      <c r="KO23" s="114">
        <v>22</v>
      </c>
      <c r="KP23" s="114">
        <v>7</v>
      </c>
      <c r="KQ23" s="114">
        <v>9</v>
      </c>
      <c r="KR23" s="114">
        <v>12</v>
      </c>
      <c r="KS23" s="114">
        <v>13</v>
      </c>
      <c r="KT23" s="114">
        <v>0</v>
      </c>
      <c r="KU23" s="114">
        <v>13</v>
      </c>
      <c r="KV23" s="114">
        <v>36</v>
      </c>
      <c r="KW23" s="38">
        <f t="shared" si="5"/>
        <v>248</v>
      </c>
      <c r="KX23" s="36">
        <f t="shared" si="30"/>
        <v>363</v>
      </c>
      <c r="KY23" s="26"/>
      <c r="KZ23" s="32">
        <v>0</v>
      </c>
      <c r="LA23" s="32">
        <v>0</v>
      </c>
      <c r="LB23" s="32">
        <v>0</v>
      </c>
      <c r="LC23" s="32">
        <v>0</v>
      </c>
      <c r="LD23" s="32">
        <v>0</v>
      </c>
      <c r="LE23" s="32">
        <v>0</v>
      </c>
      <c r="LF23" s="32">
        <v>0</v>
      </c>
      <c r="LG23" s="32">
        <v>0</v>
      </c>
      <c r="LH23" s="32">
        <v>0</v>
      </c>
      <c r="LI23" s="32">
        <v>0</v>
      </c>
      <c r="LJ23" s="32">
        <v>0</v>
      </c>
      <c r="LK23" s="32">
        <v>0</v>
      </c>
      <c r="LL23" s="38">
        <f t="shared" si="6"/>
        <v>0</v>
      </c>
      <c r="LM23" s="26"/>
      <c r="LN23" s="71">
        <v>185</v>
      </c>
      <c r="LO23" s="71">
        <v>189</v>
      </c>
      <c r="LP23" s="71">
        <v>211</v>
      </c>
      <c r="LQ23" s="71">
        <v>174</v>
      </c>
      <c r="LR23" s="71">
        <v>196</v>
      </c>
      <c r="LS23" s="71">
        <v>118</v>
      </c>
      <c r="LT23" s="71">
        <v>133</v>
      </c>
      <c r="LU23" s="45">
        <v>94</v>
      </c>
      <c r="LV23" s="45">
        <v>106</v>
      </c>
      <c r="LW23" s="45">
        <v>125</v>
      </c>
      <c r="LX23" s="45">
        <v>92</v>
      </c>
      <c r="LY23" s="45">
        <v>90</v>
      </c>
      <c r="LZ23" s="38">
        <f t="shared" si="31"/>
        <v>1713</v>
      </c>
      <c r="MA23" s="26"/>
      <c r="MB23" s="45">
        <v>473</v>
      </c>
      <c r="MC23" s="45">
        <v>367</v>
      </c>
      <c r="MD23" s="45">
        <v>382</v>
      </c>
      <c r="ME23" s="45">
        <v>186</v>
      </c>
      <c r="MF23" s="45">
        <v>214</v>
      </c>
      <c r="MG23" s="45">
        <v>185</v>
      </c>
      <c r="MH23" s="45">
        <v>238</v>
      </c>
      <c r="MI23" s="45">
        <v>120</v>
      </c>
      <c r="MJ23" s="45">
        <v>143</v>
      </c>
      <c r="MK23" s="45">
        <v>143</v>
      </c>
      <c r="ML23" s="45">
        <v>155</v>
      </c>
      <c r="MM23" s="45">
        <v>120</v>
      </c>
      <c r="MN23" s="38">
        <f t="shared" si="32"/>
        <v>2726</v>
      </c>
      <c r="MO23" s="32">
        <v>416</v>
      </c>
      <c r="MP23" s="32">
        <v>380</v>
      </c>
      <c r="MQ23" s="32">
        <v>394</v>
      </c>
      <c r="MR23" s="32">
        <v>370</v>
      </c>
      <c r="MS23" s="32">
        <v>391</v>
      </c>
      <c r="MT23" s="32">
        <v>423</v>
      </c>
      <c r="MU23" s="32">
        <v>411</v>
      </c>
      <c r="MV23" s="32">
        <v>449</v>
      </c>
      <c r="MW23" s="32">
        <v>362</v>
      </c>
      <c r="MX23" s="32">
        <v>509</v>
      </c>
      <c r="MY23" s="32">
        <v>371</v>
      </c>
      <c r="MZ23" s="32">
        <v>377</v>
      </c>
      <c r="NA23" s="38">
        <f t="shared" si="33"/>
        <v>4853</v>
      </c>
      <c r="NB23" s="36">
        <f t="shared" si="34"/>
        <v>7579</v>
      </c>
      <c r="NC23" s="26"/>
      <c r="ND23" s="101">
        <v>11</v>
      </c>
      <c r="NE23" s="101">
        <v>12</v>
      </c>
      <c r="NF23" s="101">
        <v>20</v>
      </c>
      <c r="NG23" s="101">
        <v>45</v>
      </c>
      <c r="NH23" s="101">
        <v>23</v>
      </c>
      <c r="NI23" s="101">
        <v>26</v>
      </c>
      <c r="NJ23" s="101">
        <v>30</v>
      </c>
      <c r="NK23" s="101">
        <v>15</v>
      </c>
      <c r="NL23" s="101">
        <v>12</v>
      </c>
      <c r="NM23" s="101">
        <v>31</v>
      </c>
      <c r="NN23" s="101">
        <v>15</v>
      </c>
      <c r="NO23" s="101">
        <v>25</v>
      </c>
      <c r="NP23" s="38">
        <f t="shared" si="35"/>
        <v>265</v>
      </c>
      <c r="NQ23" s="36">
        <f t="shared" si="36"/>
        <v>1384</v>
      </c>
      <c r="NR23" s="36">
        <f t="shared" si="37"/>
        <v>12411</v>
      </c>
      <c r="NS23" s="36">
        <f t="shared" si="38"/>
        <v>7040</v>
      </c>
      <c r="NT23" s="36">
        <f t="shared" si="39"/>
        <v>20835</v>
      </c>
      <c r="NU23" s="18"/>
      <c r="NV23" s="18"/>
      <c r="NW23" s="18"/>
      <c r="NX23" s="19"/>
      <c r="NY23" s="19"/>
      <c r="NZ23" s="19"/>
      <c r="OA23" s="19"/>
      <c r="OB23" s="19"/>
      <c r="OC23" s="19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8"/>
      <c r="OR23" s="18"/>
      <c r="OS23" s="18"/>
      <c r="OT23" s="18"/>
      <c r="OU23" s="18"/>
      <c r="OV23" s="18"/>
      <c r="OW23" s="18"/>
      <c r="OX23" s="19"/>
      <c r="OY23" s="19"/>
      <c r="OZ23" s="19"/>
      <c r="PA23" s="19"/>
      <c r="PB23" s="19"/>
      <c r="PC23" s="19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8"/>
      <c r="PR23" s="18"/>
      <c r="PS23" s="18"/>
      <c r="PT23" s="18"/>
      <c r="PU23" s="18"/>
      <c r="PV23" s="18"/>
      <c r="PW23" s="18"/>
      <c r="PX23" s="19"/>
      <c r="PY23" s="19"/>
      <c r="PZ23" s="19"/>
      <c r="QA23" s="19"/>
      <c r="QB23" s="19"/>
      <c r="QC23" s="19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</row>
    <row r="24" spans="1:458" s="1" customFormat="1" ht="50.1" customHeight="1" x14ac:dyDescent="0.25">
      <c r="A24" s="120"/>
      <c r="B24" s="6" t="s">
        <v>19</v>
      </c>
      <c r="C24" s="23"/>
      <c r="D24" s="41">
        <v>3</v>
      </c>
      <c r="E24" s="41">
        <v>10</v>
      </c>
      <c r="F24" s="41">
        <v>14</v>
      </c>
      <c r="G24" s="41">
        <v>12</v>
      </c>
      <c r="H24" s="41">
        <v>2</v>
      </c>
      <c r="I24" s="41">
        <v>4</v>
      </c>
      <c r="J24" s="41">
        <v>11</v>
      </c>
      <c r="K24" s="41">
        <v>5</v>
      </c>
      <c r="L24" s="41">
        <v>6</v>
      </c>
      <c r="M24" s="41">
        <v>4</v>
      </c>
      <c r="N24" s="41">
        <v>6</v>
      </c>
      <c r="O24" s="41">
        <v>3</v>
      </c>
      <c r="P24" s="38">
        <f t="shared" si="7"/>
        <v>80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38">
        <f t="shared" si="8"/>
        <v>0</v>
      </c>
      <c r="AD24" s="36">
        <f t="shared" si="9"/>
        <v>80</v>
      </c>
      <c r="AE24" s="26"/>
      <c r="AF24" s="32">
        <v>1</v>
      </c>
      <c r="AG24" s="32">
        <v>0</v>
      </c>
      <c r="AH24" s="32">
        <v>2</v>
      </c>
      <c r="AI24" s="32">
        <v>1</v>
      </c>
      <c r="AJ24" s="32">
        <v>1</v>
      </c>
      <c r="AK24" s="32">
        <v>0</v>
      </c>
      <c r="AL24" s="32">
        <v>2</v>
      </c>
      <c r="AM24" s="32">
        <v>0</v>
      </c>
      <c r="AN24" s="32">
        <v>1</v>
      </c>
      <c r="AO24" s="32">
        <v>0</v>
      </c>
      <c r="AP24" s="32">
        <v>0</v>
      </c>
      <c r="AQ24" s="32">
        <v>1</v>
      </c>
      <c r="AR24" s="38">
        <f t="shared" si="10"/>
        <v>9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8">
        <f t="shared" si="11"/>
        <v>0</v>
      </c>
      <c r="BF24" s="36">
        <f t="shared" si="12"/>
        <v>9</v>
      </c>
      <c r="BG24" s="26"/>
      <c r="BH24" s="41">
        <v>43</v>
      </c>
      <c r="BI24" s="41">
        <v>70</v>
      </c>
      <c r="BJ24" s="41">
        <v>60</v>
      </c>
      <c r="BK24" s="41">
        <v>40</v>
      </c>
      <c r="BL24" s="41">
        <v>47</v>
      </c>
      <c r="BM24" s="41">
        <v>36</v>
      </c>
      <c r="BN24" s="41">
        <v>35</v>
      </c>
      <c r="BO24" s="41">
        <v>38</v>
      </c>
      <c r="BP24" s="41">
        <v>26</v>
      </c>
      <c r="BQ24" s="41">
        <v>45</v>
      </c>
      <c r="BR24" s="41">
        <v>52</v>
      </c>
      <c r="BS24" s="41">
        <v>28</v>
      </c>
      <c r="BT24" s="38">
        <f t="shared" si="13"/>
        <v>520</v>
      </c>
      <c r="BU24" s="56">
        <v>19</v>
      </c>
      <c r="BV24" s="56">
        <v>21</v>
      </c>
      <c r="BW24" s="56">
        <v>16</v>
      </c>
      <c r="BX24" s="56">
        <v>27</v>
      </c>
      <c r="BY24" s="56">
        <v>32</v>
      </c>
      <c r="BZ24" s="56">
        <v>11</v>
      </c>
      <c r="CA24" s="56">
        <v>2</v>
      </c>
      <c r="CB24" s="56">
        <v>10</v>
      </c>
      <c r="CC24" s="56">
        <v>12</v>
      </c>
      <c r="CD24" s="56">
        <v>6</v>
      </c>
      <c r="CE24" s="56">
        <v>10</v>
      </c>
      <c r="CF24" s="56">
        <v>5</v>
      </c>
      <c r="CG24" s="61">
        <f t="shared" si="14"/>
        <v>171</v>
      </c>
      <c r="CH24" s="57">
        <f t="shared" si="15"/>
        <v>691</v>
      </c>
      <c r="CI24" s="26"/>
      <c r="CJ24" s="32">
        <v>2</v>
      </c>
      <c r="CK24" s="32">
        <v>0</v>
      </c>
      <c r="CL24" s="32">
        <v>1</v>
      </c>
      <c r="CM24" s="32">
        <v>0</v>
      </c>
      <c r="CN24" s="32">
        <v>0</v>
      </c>
      <c r="CO24" s="32">
        <v>4</v>
      </c>
      <c r="CP24" s="32">
        <v>1</v>
      </c>
      <c r="CQ24" s="32">
        <v>6</v>
      </c>
      <c r="CR24" s="32">
        <v>1</v>
      </c>
      <c r="CS24" s="32">
        <v>7</v>
      </c>
      <c r="CT24" s="32">
        <v>7</v>
      </c>
      <c r="CU24" s="69">
        <v>3</v>
      </c>
      <c r="CV24" s="38">
        <f t="shared" si="16"/>
        <v>32</v>
      </c>
      <c r="CW24" s="45">
        <v>28</v>
      </c>
      <c r="CX24" s="45">
        <v>72</v>
      </c>
      <c r="CY24" s="45">
        <v>110</v>
      </c>
      <c r="CZ24" s="45">
        <v>121</v>
      </c>
      <c r="DA24" s="45">
        <v>176</v>
      </c>
      <c r="DB24" s="45">
        <v>45</v>
      </c>
      <c r="DC24" s="45">
        <v>33</v>
      </c>
      <c r="DD24" s="45">
        <v>24</v>
      </c>
      <c r="DE24" s="45">
        <v>31</v>
      </c>
      <c r="DF24" s="45">
        <v>34</v>
      </c>
      <c r="DG24" s="45">
        <v>34</v>
      </c>
      <c r="DH24" s="45">
        <v>28</v>
      </c>
      <c r="DI24" s="38">
        <f t="shared" si="0"/>
        <v>736</v>
      </c>
      <c r="DJ24" s="36">
        <f t="shared" si="17"/>
        <v>768</v>
      </c>
      <c r="DK24" s="26"/>
      <c r="DL24" s="75">
        <v>0</v>
      </c>
      <c r="DM24" s="75">
        <v>0</v>
      </c>
      <c r="DN24" s="75">
        <v>0</v>
      </c>
      <c r="DO24" s="75">
        <v>0</v>
      </c>
      <c r="DP24" s="75">
        <v>0</v>
      </c>
      <c r="DQ24" s="75">
        <v>0</v>
      </c>
      <c r="DR24" s="75">
        <v>0</v>
      </c>
      <c r="DS24" s="75">
        <v>0</v>
      </c>
      <c r="DT24" s="75">
        <v>0</v>
      </c>
      <c r="DU24" s="75">
        <v>0</v>
      </c>
      <c r="DV24" s="75">
        <v>0</v>
      </c>
      <c r="DW24" s="83">
        <v>0</v>
      </c>
      <c r="DX24" s="38">
        <f t="shared" si="1"/>
        <v>0</v>
      </c>
      <c r="DY24" s="65">
        <v>4</v>
      </c>
      <c r="DZ24" s="65">
        <v>3</v>
      </c>
      <c r="EA24" s="65">
        <v>1</v>
      </c>
      <c r="EB24" s="65">
        <v>40</v>
      </c>
      <c r="EC24" s="65">
        <v>69</v>
      </c>
      <c r="ED24" s="65">
        <v>25</v>
      </c>
      <c r="EE24" s="65">
        <v>23</v>
      </c>
      <c r="EF24" s="65">
        <v>2</v>
      </c>
      <c r="EG24" s="65">
        <v>12</v>
      </c>
      <c r="EH24" s="65">
        <v>4</v>
      </c>
      <c r="EI24" s="65">
        <v>6</v>
      </c>
      <c r="EJ24" s="65">
        <v>4</v>
      </c>
      <c r="EK24" s="38">
        <f t="shared" si="18"/>
        <v>193</v>
      </c>
      <c r="EL24" s="36">
        <f t="shared" si="19"/>
        <v>193</v>
      </c>
      <c r="EM24" s="26"/>
      <c r="EN24" s="101">
        <v>92</v>
      </c>
      <c r="EO24" s="101">
        <v>98</v>
      </c>
      <c r="EP24" s="101">
        <v>80</v>
      </c>
      <c r="EQ24" s="101">
        <v>92</v>
      </c>
      <c r="ER24" s="101">
        <v>128</v>
      </c>
      <c r="ES24" s="101">
        <v>44</v>
      </c>
      <c r="ET24" s="101">
        <v>10</v>
      </c>
      <c r="EU24" s="101">
        <v>22</v>
      </c>
      <c r="EV24" s="101">
        <v>10</v>
      </c>
      <c r="EW24" s="101">
        <v>22</v>
      </c>
      <c r="EX24" s="101">
        <v>34</v>
      </c>
      <c r="EY24" s="101">
        <v>30</v>
      </c>
      <c r="EZ24" s="38">
        <f t="shared" si="2"/>
        <v>662</v>
      </c>
      <c r="FA24" s="26"/>
      <c r="FB24" s="54">
        <v>2</v>
      </c>
      <c r="FC24" s="54">
        <v>6</v>
      </c>
      <c r="FD24" s="54">
        <v>12</v>
      </c>
      <c r="FE24" s="54">
        <v>9</v>
      </c>
      <c r="FF24" s="54">
        <v>7</v>
      </c>
      <c r="FG24" s="54">
        <v>2</v>
      </c>
      <c r="FH24" s="54">
        <v>1</v>
      </c>
      <c r="FI24" s="54">
        <v>12</v>
      </c>
      <c r="FJ24" s="54">
        <v>3</v>
      </c>
      <c r="FK24" s="54">
        <v>3</v>
      </c>
      <c r="FL24" s="54">
        <v>0</v>
      </c>
      <c r="FM24" s="54">
        <v>2</v>
      </c>
      <c r="FN24" s="38">
        <f t="shared" si="20"/>
        <v>59</v>
      </c>
      <c r="FO24" s="26"/>
      <c r="FP24" s="54">
        <v>16</v>
      </c>
      <c r="FQ24" s="54">
        <v>15</v>
      </c>
      <c r="FR24" s="54">
        <v>10</v>
      </c>
      <c r="FS24" s="54">
        <v>8</v>
      </c>
      <c r="FT24" s="54">
        <v>11</v>
      </c>
      <c r="FU24" s="54">
        <v>7</v>
      </c>
      <c r="FV24" s="54">
        <v>5</v>
      </c>
      <c r="FW24" s="54">
        <v>6</v>
      </c>
      <c r="FX24" s="54">
        <v>10</v>
      </c>
      <c r="FY24" s="54">
        <v>5</v>
      </c>
      <c r="FZ24" s="54">
        <v>7</v>
      </c>
      <c r="GA24" s="54">
        <v>2</v>
      </c>
      <c r="GB24" s="38">
        <f t="shared" si="21"/>
        <v>102</v>
      </c>
      <c r="GC24" s="26"/>
      <c r="GD24" s="101">
        <v>12</v>
      </c>
      <c r="GE24" s="101">
        <v>18</v>
      </c>
      <c r="GF24" s="101">
        <v>22</v>
      </c>
      <c r="GG24" s="101">
        <v>24</v>
      </c>
      <c r="GH24" s="101">
        <v>29</v>
      </c>
      <c r="GI24" s="101">
        <v>19</v>
      </c>
      <c r="GJ24" s="101">
        <v>7</v>
      </c>
      <c r="GK24" s="101">
        <v>10</v>
      </c>
      <c r="GL24" s="101">
        <v>8</v>
      </c>
      <c r="GM24" s="101">
        <v>16</v>
      </c>
      <c r="GN24" s="101">
        <v>18</v>
      </c>
      <c r="GO24" s="101">
        <v>3</v>
      </c>
      <c r="GP24" s="38">
        <f t="shared" si="22"/>
        <v>186</v>
      </c>
      <c r="GQ24" s="26"/>
      <c r="GR24" s="32">
        <v>0</v>
      </c>
      <c r="GS24" s="32">
        <v>0</v>
      </c>
      <c r="GT24" s="32">
        <v>0</v>
      </c>
      <c r="GU24" s="32">
        <v>0</v>
      </c>
      <c r="GV24" s="32">
        <v>0</v>
      </c>
      <c r="GW24" s="32">
        <v>0</v>
      </c>
      <c r="GX24" s="32">
        <v>0</v>
      </c>
      <c r="GY24" s="32">
        <v>0</v>
      </c>
      <c r="GZ24" s="32">
        <v>0</v>
      </c>
      <c r="HA24" s="32">
        <v>0</v>
      </c>
      <c r="HB24" s="32">
        <v>0</v>
      </c>
      <c r="HC24" s="32">
        <v>0</v>
      </c>
      <c r="HD24" s="38">
        <f t="shared" si="23"/>
        <v>0</v>
      </c>
      <c r="HE24" s="26"/>
      <c r="HF24" s="45">
        <v>20</v>
      </c>
      <c r="HG24" s="45">
        <v>13</v>
      </c>
      <c r="HH24" s="45">
        <v>45</v>
      </c>
      <c r="HI24" s="45">
        <v>40</v>
      </c>
      <c r="HJ24" s="45">
        <v>19</v>
      </c>
      <c r="HK24" s="45">
        <v>46</v>
      </c>
      <c r="HL24" s="45">
        <v>24</v>
      </c>
      <c r="HM24" s="45">
        <v>35</v>
      </c>
      <c r="HN24" s="45">
        <v>34</v>
      </c>
      <c r="HO24" s="45">
        <v>35</v>
      </c>
      <c r="HP24" s="45">
        <v>43</v>
      </c>
      <c r="HQ24" s="45">
        <v>27</v>
      </c>
      <c r="HR24" s="38">
        <f t="shared" si="24"/>
        <v>381</v>
      </c>
      <c r="HS24" s="26"/>
      <c r="HT24" s="32">
        <v>0</v>
      </c>
      <c r="HU24" s="32">
        <v>2</v>
      </c>
      <c r="HV24" s="32">
        <v>3</v>
      </c>
      <c r="HW24" s="32">
        <v>2</v>
      </c>
      <c r="HX24" s="32">
        <v>0</v>
      </c>
      <c r="HY24" s="32">
        <v>1</v>
      </c>
      <c r="HZ24" s="32">
        <v>2</v>
      </c>
      <c r="IA24" s="32">
        <v>1</v>
      </c>
      <c r="IB24" s="32">
        <v>6</v>
      </c>
      <c r="IC24" s="32">
        <v>6</v>
      </c>
      <c r="ID24" s="32">
        <v>0</v>
      </c>
      <c r="IE24" s="32">
        <v>2</v>
      </c>
      <c r="IF24" s="38">
        <f t="shared" si="3"/>
        <v>25</v>
      </c>
      <c r="IG24" s="104">
        <v>1</v>
      </c>
      <c r="IH24" s="104">
        <v>11</v>
      </c>
      <c r="II24" s="104">
        <v>10</v>
      </c>
      <c r="IJ24" s="104">
        <v>7</v>
      </c>
      <c r="IK24" s="104">
        <v>5</v>
      </c>
      <c r="IL24" s="104">
        <v>0</v>
      </c>
      <c r="IM24" s="104">
        <v>1</v>
      </c>
      <c r="IN24" s="104">
        <v>0</v>
      </c>
      <c r="IO24" s="104">
        <v>1</v>
      </c>
      <c r="IP24" s="104">
        <v>4</v>
      </c>
      <c r="IQ24" s="104">
        <v>3</v>
      </c>
      <c r="IR24" s="104">
        <v>9</v>
      </c>
      <c r="IS24" s="38">
        <f t="shared" si="25"/>
        <v>52</v>
      </c>
      <c r="IT24" s="36">
        <f t="shared" si="26"/>
        <v>77</v>
      </c>
      <c r="IU24" s="26"/>
      <c r="IV24" s="32">
        <v>39</v>
      </c>
      <c r="IW24" s="32">
        <v>35</v>
      </c>
      <c r="IX24" s="32">
        <v>40</v>
      </c>
      <c r="IY24" s="32">
        <v>42</v>
      </c>
      <c r="IZ24" s="32">
        <v>40</v>
      </c>
      <c r="JA24" s="32">
        <v>35</v>
      </c>
      <c r="JB24" s="32">
        <v>32</v>
      </c>
      <c r="JC24" s="32">
        <v>39</v>
      </c>
      <c r="JD24" s="32">
        <v>36</v>
      </c>
      <c r="JE24" s="32">
        <v>33</v>
      </c>
      <c r="JF24" s="32">
        <v>35</v>
      </c>
      <c r="JG24" s="32">
        <v>29</v>
      </c>
      <c r="JH24" s="38">
        <f t="shared" si="27"/>
        <v>435</v>
      </c>
      <c r="JI24" s="97">
        <v>47.2</v>
      </c>
      <c r="JJ24" s="97">
        <v>181</v>
      </c>
      <c r="JK24" s="97">
        <v>172.60000000000002</v>
      </c>
      <c r="JL24" s="97">
        <v>221.60000000000002</v>
      </c>
      <c r="JM24" s="97">
        <v>107.80000000000001</v>
      </c>
      <c r="JN24" s="97">
        <v>67.8</v>
      </c>
      <c r="JO24" s="97">
        <v>43.6</v>
      </c>
      <c r="JP24" s="97">
        <v>32.200000000000003</v>
      </c>
      <c r="JQ24" s="97">
        <v>63.6</v>
      </c>
      <c r="JR24" s="97">
        <v>78.400000000000006</v>
      </c>
      <c r="JS24" s="97">
        <v>51.6</v>
      </c>
      <c r="JT24" s="97">
        <v>24.6</v>
      </c>
      <c r="JU24" s="112">
        <f t="shared" si="4"/>
        <v>1092</v>
      </c>
      <c r="JV24" s="36">
        <f t="shared" si="28"/>
        <v>1527</v>
      </c>
      <c r="JW24" s="26"/>
      <c r="JX24" s="32">
        <v>41</v>
      </c>
      <c r="JY24" s="32">
        <v>42</v>
      </c>
      <c r="JZ24" s="32">
        <v>47</v>
      </c>
      <c r="KA24" s="32">
        <v>15</v>
      </c>
      <c r="KB24" s="32">
        <v>8</v>
      </c>
      <c r="KC24" s="32">
        <v>9</v>
      </c>
      <c r="KD24" s="32">
        <v>3</v>
      </c>
      <c r="KE24" s="32">
        <v>14</v>
      </c>
      <c r="KF24" s="32">
        <v>0</v>
      </c>
      <c r="KG24" s="32">
        <v>25</v>
      </c>
      <c r="KH24" s="32">
        <v>9</v>
      </c>
      <c r="KI24" s="32">
        <v>8</v>
      </c>
      <c r="KJ24" s="38">
        <f t="shared" si="29"/>
        <v>221</v>
      </c>
      <c r="KK24" s="114">
        <v>4</v>
      </c>
      <c r="KL24" s="114">
        <v>0</v>
      </c>
      <c r="KM24" s="114">
        <v>2</v>
      </c>
      <c r="KN24" s="114">
        <v>2</v>
      </c>
      <c r="KO24" s="114">
        <v>2</v>
      </c>
      <c r="KP24" s="114">
        <v>2</v>
      </c>
      <c r="KQ24" s="114">
        <v>2</v>
      </c>
      <c r="KR24" s="114">
        <v>12</v>
      </c>
      <c r="KS24" s="114">
        <v>0</v>
      </c>
      <c r="KT24" s="114">
        <v>0</v>
      </c>
      <c r="KU24" s="114">
        <v>1</v>
      </c>
      <c r="KV24" s="114">
        <v>8</v>
      </c>
      <c r="KW24" s="38">
        <f t="shared" si="5"/>
        <v>35</v>
      </c>
      <c r="KX24" s="36">
        <f t="shared" si="30"/>
        <v>256</v>
      </c>
      <c r="KY24" s="26"/>
      <c r="KZ24" s="32">
        <v>0</v>
      </c>
      <c r="LA24" s="32">
        <v>0</v>
      </c>
      <c r="LB24" s="32">
        <v>0</v>
      </c>
      <c r="LC24" s="32">
        <v>0</v>
      </c>
      <c r="LD24" s="32">
        <v>0</v>
      </c>
      <c r="LE24" s="32">
        <v>0</v>
      </c>
      <c r="LF24" s="32">
        <v>0</v>
      </c>
      <c r="LG24" s="32">
        <v>0</v>
      </c>
      <c r="LH24" s="32">
        <v>0</v>
      </c>
      <c r="LI24" s="32">
        <v>0</v>
      </c>
      <c r="LJ24" s="32">
        <v>0</v>
      </c>
      <c r="LK24" s="32">
        <v>0</v>
      </c>
      <c r="LL24" s="38">
        <f t="shared" si="6"/>
        <v>0</v>
      </c>
      <c r="LM24" s="26"/>
      <c r="LN24" s="71">
        <v>7</v>
      </c>
      <c r="LO24" s="71">
        <v>18</v>
      </c>
      <c r="LP24" s="71">
        <v>36</v>
      </c>
      <c r="LQ24" s="71">
        <v>23</v>
      </c>
      <c r="LR24" s="71">
        <v>23</v>
      </c>
      <c r="LS24" s="71">
        <v>13</v>
      </c>
      <c r="LT24" s="71">
        <v>7</v>
      </c>
      <c r="LU24" s="45">
        <v>13</v>
      </c>
      <c r="LV24" s="45">
        <v>13</v>
      </c>
      <c r="LW24" s="45">
        <v>9</v>
      </c>
      <c r="LX24" s="45">
        <v>7</v>
      </c>
      <c r="LY24" s="45">
        <v>6</v>
      </c>
      <c r="LZ24" s="38">
        <f t="shared" si="31"/>
        <v>175</v>
      </c>
      <c r="MA24" s="26"/>
      <c r="MB24" s="45">
        <v>96</v>
      </c>
      <c r="MC24" s="45">
        <v>32</v>
      </c>
      <c r="MD24" s="45">
        <v>15</v>
      </c>
      <c r="ME24" s="45">
        <v>28</v>
      </c>
      <c r="MF24" s="45">
        <v>71</v>
      </c>
      <c r="MG24" s="45">
        <v>115</v>
      </c>
      <c r="MH24" s="45">
        <v>90</v>
      </c>
      <c r="MI24" s="45">
        <v>49</v>
      </c>
      <c r="MJ24" s="45">
        <v>24</v>
      </c>
      <c r="MK24" s="45">
        <v>42</v>
      </c>
      <c r="ML24" s="45">
        <v>21</v>
      </c>
      <c r="MM24" s="45">
        <v>8</v>
      </c>
      <c r="MN24" s="38">
        <f t="shared" si="32"/>
        <v>591</v>
      </c>
      <c r="MO24" s="32">
        <v>74</v>
      </c>
      <c r="MP24" s="32">
        <v>75</v>
      </c>
      <c r="MQ24" s="32">
        <v>111</v>
      </c>
      <c r="MR24" s="32">
        <v>169</v>
      </c>
      <c r="MS24" s="32">
        <v>107</v>
      </c>
      <c r="MT24" s="32">
        <v>82</v>
      </c>
      <c r="MU24" s="32">
        <v>96</v>
      </c>
      <c r="MV24" s="32">
        <v>108</v>
      </c>
      <c r="MW24" s="32">
        <v>107</v>
      </c>
      <c r="MX24" s="32">
        <v>116</v>
      </c>
      <c r="MY24" s="32">
        <v>113</v>
      </c>
      <c r="MZ24" s="32">
        <v>87</v>
      </c>
      <c r="NA24" s="38">
        <f t="shared" si="33"/>
        <v>1245</v>
      </c>
      <c r="NB24" s="36">
        <f t="shared" si="34"/>
        <v>1836</v>
      </c>
      <c r="NC24" s="26"/>
      <c r="ND24" s="101">
        <v>0</v>
      </c>
      <c r="NE24" s="101">
        <v>1</v>
      </c>
      <c r="NF24" s="101">
        <v>4</v>
      </c>
      <c r="NG24" s="101">
        <v>17</v>
      </c>
      <c r="NH24" s="101">
        <v>11</v>
      </c>
      <c r="NI24" s="101">
        <v>14</v>
      </c>
      <c r="NJ24" s="101">
        <v>15</v>
      </c>
      <c r="NK24" s="101">
        <v>11</v>
      </c>
      <c r="NL24" s="101">
        <v>8</v>
      </c>
      <c r="NM24" s="101">
        <v>24</v>
      </c>
      <c r="NN24" s="101">
        <v>7</v>
      </c>
      <c r="NO24" s="101">
        <v>9</v>
      </c>
      <c r="NP24" s="38">
        <f t="shared" si="35"/>
        <v>121</v>
      </c>
      <c r="NQ24" s="36">
        <f t="shared" si="36"/>
        <v>887</v>
      </c>
      <c r="NR24" s="36">
        <f t="shared" si="37"/>
        <v>3899</v>
      </c>
      <c r="NS24" s="36">
        <f t="shared" si="38"/>
        <v>2337</v>
      </c>
      <c r="NT24" s="36">
        <f t="shared" si="39"/>
        <v>7123</v>
      </c>
      <c r="NU24" s="18"/>
      <c r="NV24" s="18"/>
      <c r="NW24" s="18"/>
      <c r="NX24" s="19"/>
      <c r="NY24" s="19"/>
      <c r="NZ24" s="19"/>
      <c r="OA24" s="19"/>
      <c r="OB24" s="19"/>
      <c r="OC24" s="19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8"/>
      <c r="OR24" s="18"/>
      <c r="OS24" s="18"/>
      <c r="OT24" s="18"/>
      <c r="OU24" s="18"/>
      <c r="OV24" s="18"/>
      <c r="OW24" s="18"/>
      <c r="OX24" s="19"/>
      <c r="OY24" s="19"/>
      <c r="OZ24" s="19"/>
      <c r="PA24" s="19"/>
      <c r="PB24" s="19"/>
      <c r="PC24" s="19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8"/>
      <c r="PR24" s="18"/>
      <c r="PS24" s="18"/>
      <c r="PT24" s="18"/>
      <c r="PU24" s="18"/>
      <c r="PV24" s="18"/>
      <c r="PW24" s="18"/>
      <c r="PX24" s="19"/>
      <c r="PY24" s="19"/>
      <c r="PZ24" s="19"/>
      <c r="QA24" s="19"/>
      <c r="QB24" s="19"/>
      <c r="QC24" s="19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</row>
    <row r="25" spans="1:458" s="1" customFormat="1" ht="50.1" customHeight="1" x14ac:dyDescent="0.25">
      <c r="A25" s="120"/>
      <c r="B25" s="6" t="s">
        <v>20</v>
      </c>
      <c r="C25" s="23"/>
      <c r="D25" s="41">
        <f>SUM(D22:D24)</f>
        <v>2795</v>
      </c>
      <c r="E25" s="41">
        <f t="shared" ref="E25:O25" si="92">SUM(E22:E24)</f>
        <v>2179</v>
      </c>
      <c r="F25" s="41">
        <f t="shared" si="92"/>
        <v>1894</v>
      </c>
      <c r="G25" s="41">
        <f t="shared" si="92"/>
        <v>1905</v>
      </c>
      <c r="H25" s="41">
        <f t="shared" si="92"/>
        <v>1731</v>
      </c>
      <c r="I25" s="41">
        <f t="shared" si="92"/>
        <v>1686</v>
      </c>
      <c r="J25" s="41">
        <f t="shared" si="92"/>
        <v>2048</v>
      </c>
      <c r="K25" s="41">
        <f t="shared" si="92"/>
        <v>1811</v>
      </c>
      <c r="L25" s="41">
        <f t="shared" si="92"/>
        <v>1814</v>
      </c>
      <c r="M25" s="41">
        <f t="shared" si="92"/>
        <v>2050</v>
      </c>
      <c r="N25" s="41">
        <f t="shared" si="92"/>
        <v>1360</v>
      </c>
      <c r="O25" s="41">
        <f t="shared" si="92"/>
        <v>1443</v>
      </c>
      <c r="P25" s="38">
        <f t="shared" si="7"/>
        <v>22716</v>
      </c>
      <c r="Q25" s="45">
        <f>SUM(Q22:Q24)</f>
        <v>0</v>
      </c>
      <c r="R25" s="45">
        <f t="shared" ref="R25:AB25" si="93">SUM(R22:R24)</f>
        <v>0</v>
      </c>
      <c r="S25" s="45">
        <f t="shared" si="93"/>
        <v>0</v>
      </c>
      <c r="T25" s="45">
        <f t="shared" si="93"/>
        <v>0</v>
      </c>
      <c r="U25" s="45">
        <f t="shared" si="93"/>
        <v>0</v>
      </c>
      <c r="V25" s="45">
        <f t="shared" si="93"/>
        <v>0</v>
      </c>
      <c r="W25" s="45">
        <f t="shared" si="93"/>
        <v>0</v>
      </c>
      <c r="X25" s="45">
        <f t="shared" si="93"/>
        <v>0</v>
      </c>
      <c r="Y25" s="45">
        <f t="shared" si="93"/>
        <v>0</v>
      </c>
      <c r="Z25" s="45">
        <f t="shared" si="93"/>
        <v>0</v>
      </c>
      <c r="AA25" s="45">
        <f t="shared" si="93"/>
        <v>0</v>
      </c>
      <c r="AB25" s="45">
        <f t="shared" si="93"/>
        <v>0</v>
      </c>
      <c r="AC25" s="38">
        <f t="shared" si="8"/>
        <v>0</v>
      </c>
      <c r="AD25" s="36">
        <f t="shared" si="9"/>
        <v>22716</v>
      </c>
      <c r="AE25" s="26"/>
      <c r="AF25" s="32">
        <f>SUM(AF22:AF24)</f>
        <v>114</v>
      </c>
      <c r="AG25" s="32">
        <f t="shared" ref="AG25:AQ25" si="94">SUM(AG22:AG24)</f>
        <v>126</v>
      </c>
      <c r="AH25" s="32">
        <f t="shared" si="94"/>
        <v>133</v>
      </c>
      <c r="AI25" s="32">
        <f t="shared" si="94"/>
        <v>109</v>
      </c>
      <c r="AJ25" s="32">
        <f t="shared" si="94"/>
        <v>134</v>
      </c>
      <c r="AK25" s="32">
        <f t="shared" si="94"/>
        <v>135</v>
      </c>
      <c r="AL25" s="32">
        <f t="shared" si="94"/>
        <v>137</v>
      </c>
      <c r="AM25" s="32">
        <f t="shared" si="94"/>
        <v>130</v>
      </c>
      <c r="AN25" s="32">
        <f t="shared" si="94"/>
        <v>133</v>
      </c>
      <c r="AO25" s="32">
        <f t="shared" si="94"/>
        <v>130</v>
      </c>
      <c r="AP25" s="32">
        <f t="shared" si="94"/>
        <v>139</v>
      </c>
      <c r="AQ25" s="32">
        <f t="shared" si="94"/>
        <v>145</v>
      </c>
      <c r="AR25" s="38">
        <f t="shared" si="10"/>
        <v>1565</v>
      </c>
      <c r="AS25" s="32">
        <f>SUM(AS22:AS24)</f>
        <v>0</v>
      </c>
      <c r="AT25" s="32">
        <f t="shared" ref="AT25:BD25" si="95">SUM(AT22:AT24)</f>
        <v>0</v>
      </c>
      <c r="AU25" s="32">
        <f t="shared" si="95"/>
        <v>0</v>
      </c>
      <c r="AV25" s="32">
        <f t="shared" si="95"/>
        <v>0</v>
      </c>
      <c r="AW25" s="32">
        <f t="shared" si="95"/>
        <v>0</v>
      </c>
      <c r="AX25" s="32">
        <f t="shared" si="95"/>
        <v>0</v>
      </c>
      <c r="AY25" s="32">
        <f t="shared" si="95"/>
        <v>0</v>
      </c>
      <c r="AZ25" s="32">
        <f t="shared" si="95"/>
        <v>0</v>
      </c>
      <c r="BA25" s="32">
        <f t="shared" si="95"/>
        <v>0</v>
      </c>
      <c r="BB25" s="32">
        <f t="shared" si="95"/>
        <v>0</v>
      </c>
      <c r="BC25" s="32">
        <f t="shared" si="95"/>
        <v>0</v>
      </c>
      <c r="BD25" s="32">
        <f t="shared" si="95"/>
        <v>0</v>
      </c>
      <c r="BE25" s="38">
        <f t="shared" si="11"/>
        <v>0</v>
      </c>
      <c r="BF25" s="36">
        <f t="shared" si="12"/>
        <v>1565</v>
      </c>
      <c r="BG25" s="26"/>
      <c r="BH25" s="41">
        <f>SUM(BH22:BH24)</f>
        <v>225</v>
      </c>
      <c r="BI25" s="41">
        <f t="shared" ref="BI25:CF25" si="96">SUM(BI22:BI24)</f>
        <v>162</v>
      </c>
      <c r="BJ25" s="41">
        <f t="shared" si="96"/>
        <v>152</v>
      </c>
      <c r="BK25" s="41">
        <f t="shared" si="96"/>
        <v>184</v>
      </c>
      <c r="BL25" s="41">
        <f t="shared" si="96"/>
        <v>169</v>
      </c>
      <c r="BM25" s="41">
        <f t="shared" si="96"/>
        <v>148</v>
      </c>
      <c r="BN25" s="41">
        <f t="shared" si="96"/>
        <v>149</v>
      </c>
      <c r="BO25" s="41">
        <f t="shared" si="96"/>
        <v>164</v>
      </c>
      <c r="BP25" s="41">
        <f t="shared" si="96"/>
        <v>162</v>
      </c>
      <c r="BQ25" s="41">
        <f t="shared" si="96"/>
        <v>199</v>
      </c>
      <c r="BR25" s="41">
        <f t="shared" si="96"/>
        <v>331</v>
      </c>
      <c r="BS25" s="41">
        <f t="shared" si="96"/>
        <v>200</v>
      </c>
      <c r="BT25" s="38">
        <f t="shared" si="13"/>
        <v>2245</v>
      </c>
      <c r="BU25" s="58">
        <f t="shared" si="96"/>
        <v>332</v>
      </c>
      <c r="BV25" s="58">
        <f t="shared" si="96"/>
        <v>249</v>
      </c>
      <c r="BW25" s="58">
        <f t="shared" si="96"/>
        <v>253</v>
      </c>
      <c r="BX25" s="58">
        <f t="shared" si="96"/>
        <v>269</v>
      </c>
      <c r="BY25" s="58">
        <f t="shared" si="96"/>
        <v>262</v>
      </c>
      <c r="BZ25" s="58">
        <f t="shared" si="96"/>
        <v>273</v>
      </c>
      <c r="CA25" s="58">
        <f t="shared" si="96"/>
        <v>323</v>
      </c>
      <c r="CB25" s="58">
        <f t="shared" si="96"/>
        <v>321</v>
      </c>
      <c r="CC25" s="58">
        <f t="shared" si="96"/>
        <v>290</v>
      </c>
      <c r="CD25" s="58">
        <f t="shared" si="96"/>
        <v>331</v>
      </c>
      <c r="CE25" s="58">
        <f t="shared" si="96"/>
        <v>276</v>
      </c>
      <c r="CF25" s="58">
        <f t="shared" si="96"/>
        <v>243</v>
      </c>
      <c r="CG25" s="61">
        <f t="shared" si="14"/>
        <v>3422</v>
      </c>
      <c r="CH25" s="57">
        <f t="shared" si="15"/>
        <v>5667</v>
      </c>
      <c r="CI25" s="26"/>
      <c r="CJ25" s="32">
        <f>SUM(CJ22:CJ24)</f>
        <v>241</v>
      </c>
      <c r="CK25" s="32">
        <f t="shared" ref="CK25:DH25" si="97">SUM(CK22:CK24)</f>
        <v>132</v>
      </c>
      <c r="CL25" s="32">
        <f t="shared" si="97"/>
        <v>137</v>
      </c>
      <c r="CM25" s="32">
        <f t="shared" si="97"/>
        <v>156</v>
      </c>
      <c r="CN25" s="32">
        <f t="shared" si="97"/>
        <v>50</v>
      </c>
      <c r="CO25" s="32">
        <f t="shared" si="97"/>
        <v>420</v>
      </c>
      <c r="CP25" s="32">
        <f t="shared" si="97"/>
        <v>287</v>
      </c>
      <c r="CQ25" s="32">
        <f t="shared" si="97"/>
        <v>401</v>
      </c>
      <c r="CR25" s="32">
        <f t="shared" si="97"/>
        <v>67</v>
      </c>
      <c r="CS25" s="32">
        <f t="shared" si="97"/>
        <v>233</v>
      </c>
      <c r="CT25" s="32">
        <f t="shared" si="97"/>
        <v>272</v>
      </c>
      <c r="CU25" s="69">
        <f t="shared" si="97"/>
        <v>304</v>
      </c>
      <c r="CV25" s="38">
        <f t="shared" si="16"/>
        <v>2700</v>
      </c>
      <c r="CW25" s="32">
        <f t="shared" si="97"/>
        <v>1112</v>
      </c>
      <c r="CX25" s="32">
        <f t="shared" si="97"/>
        <v>761</v>
      </c>
      <c r="CY25" s="32">
        <f t="shared" si="97"/>
        <v>835</v>
      </c>
      <c r="CZ25" s="32">
        <f t="shared" si="97"/>
        <v>924</v>
      </c>
      <c r="DA25" s="32">
        <f t="shared" si="97"/>
        <v>781</v>
      </c>
      <c r="DB25" s="32">
        <f t="shared" si="97"/>
        <v>840</v>
      </c>
      <c r="DC25" s="32">
        <f t="shared" si="97"/>
        <v>1020</v>
      </c>
      <c r="DD25" s="32">
        <f t="shared" si="97"/>
        <v>998</v>
      </c>
      <c r="DE25" s="32">
        <f t="shared" si="97"/>
        <v>679</v>
      </c>
      <c r="DF25" s="32">
        <f t="shared" si="97"/>
        <v>1220</v>
      </c>
      <c r="DG25" s="32">
        <f t="shared" si="97"/>
        <v>952</v>
      </c>
      <c r="DH25" s="32">
        <f t="shared" si="97"/>
        <v>839</v>
      </c>
      <c r="DI25" s="38">
        <f t="shared" si="0"/>
        <v>10961</v>
      </c>
      <c r="DJ25" s="36">
        <f t="shared" si="17"/>
        <v>13661</v>
      </c>
      <c r="DK25" s="26"/>
      <c r="DL25" s="32">
        <f>SUM(DL22:DL24)</f>
        <v>18</v>
      </c>
      <c r="DM25" s="32">
        <f t="shared" ref="DM25:DW25" si="98">SUM(DM22:DM24)</f>
        <v>7</v>
      </c>
      <c r="DN25" s="32">
        <f t="shared" si="98"/>
        <v>11</v>
      </c>
      <c r="DO25" s="32">
        <f t="shared" si="98"/>
        <v>22</v>
      </c>
      <c r="DP25" s="32">
        <f t="shared" si="98"/>
        <v>7</v>
      </c>
      <c r="DQ25" s="32">
        <f t="shared" si="98"/>
        <v>10</v>
      </c>
      <c r="DR25" s="32">
        <f t="shared" si="98"/>
        <v>24</v>
      </c>
      <c r="DS25" s="32">
        <f t="shared" si="98"/>
        <v>14</v>
      </c>
      <c r="DT25" s="32">
        <f t="shared" si="98"/>
        <v>18</v>
      </c>
      <c r="DU25" s="32">
        <f t="shared" si="98"/>
        <v>20</v>
      </c>
      <c r="DV25" s="32">
        <f t="shared" si="98"/>
        <v>19</v>
      </c>
      <c r="DW25" s="69">
        <f t="shared" si="98"/>
        <v>19</v>
      </c>
      <c r="DX25" s="38">
        <f t="shared" si="1"/>
        <v>189</v>
      </c>
      <c r="DY25" s="63">
        <f>SUM(DY22:DY24)</f>
        <v>687</v>
      </c>
      <c r="DZ25" s="63">
        <f t="shared" ref="DZ25:EJ25" si="99">SUM(DZ22:DZ24)</f>
        <v>311</v>
      </c>
      <c r="EA25" s="63">
        <f t="shared" si="99"/>
        <v>443</v>
      </c>
      <c r="EB25" s="63">
        <f t="shared" si="99"/>
        <v>467</v>
      </c>
      <c r="EC25" s="63">
        <f t="shared" si="99"/>
        <v>524</v>
      </c>
      <c r="ED25" s="63">
        <f t="shared" si="99"/>
        <v>804</v>
      </c>
      <c r="EE25" s="63">
        <f t="shared" si="99"/>
        <v>860</v>
      </c>
      <c r="EF25" s="63">
        <f t="shared" si="99"/>
        <v>487</v>
      </c>
      <c r="EG25" s="63">
        <f t="shared" si="99"/>
        <v>545</v>
      </c>
      <c r="EH25" s="63">
        <f t="shared" si="99"/>
        <v>700</v>
      </c>
      <c r="EI25" s="63">
        <f t="shared" si="99"/>
        <v>489</v>
      </c>
      <c r="EJ25" s="63">
        <f t="shared" si="99"/>
        <v>525</v>
      </c>
      <c r="EK25" s="38">
        <f t="shared" si="18"/>
        <v>6842</v>
      </c>
      <c r="EL25" s="36">
        <f t="shared" si="19"/>
        <v>7031</v>
      </c>
      <c r="EM25" s="26"/>
      <c r="EN25" s="32">
        <f>SUM(EN22:EN24)</f>
        <v>1014</v>
      </c>
      <c r="EO25" s="32">
        <f t="shared" ref="EO25:EY25" si="100">SUM(EO22:EO24)</f>
        <v>808</v>
      </c>
      <c r="EP25" s="32">
        <f t="shared" si="100"/>
        <v>1010</v>
      </c>
      <c r="EQ25" s="32">
        <f t="shared" si="100"/>
        <v>826</v>
      </c>
      <c r="ER25" s="32">
        <f t="shared" si="100"/>
        <v>782</v>
      </c>
      <c r="ES25" s="32">
        <f t="shared" si="100"/>
        <v>1074</v>
      </c>
      <c r="ET25" s="32">
        <f t="shared" si="100"/>
        <v>1150</v>
      </c>
      <c r="EU25" s="32">
        <f t="shared" si="100"/>
        <v>928</v>
      </c>
      <c r="EV25" s="32">
        <f t="shared" si="100"/>
        <v>1086</v>
      </c>
      <c r="EW25" s="32">
        <f t="shared" si="100"/>
        <v>1322</v>
      </c>
      <c r="EX25" s="32">
        <f t="shared" si="100"/>
        <v>1190</v>
      </c>
      <c r="EY25" s="32">
        <f t="shared" si="100"/>
        <v>936</v>
      </c>
      <c r="EZ25" s="38">
        <f t="shared" si="2"/>
        <v>12126</v>
      </c>
      <c r="FA25" s="26"/>
      <c r="FB25" s="54">
        <f>SUM(FB22:FB24)</f>
        <v>311</v>
      </c>
      <c r="FC25" s="54">
        <f t="shared" ref="FC25:FM25" si="101">SUM(FC22:FC24)</f>
        <v>235</v>
      </c>
      <c r="FD25" s="54">
        <f t="shared" si="101"/>
        <v>270</v>
      </c>
      <c r="FE25" s="54">
        <f t="shared" si="101"/>
        <v>285</v>
      </c>
      <c r="FF25" s="54">
        <f t="shared" si="101"/>
        <v>265</v>
      </c>
      <c r="FG25" s="54">
        <f t="shared" si="101"/>
        <v>303</v>
      </c>
      <c r="FH25" s="54">
        <f t="shared" si="101"/>
        <v>397</v>
      </c>
      <c r="FI25" s="54">
        <f t="shared" si="101"/>
        <v>460</v>
      </c>
      <c r="FJ25" s="54">
        <f t="shared" si="101"/>
        <v>539</v>
      </c>
      <c r="FK25" s="54">
        <f t="shared" si="101"/>
        <v>596</v>
      </c>
      <c r="FL25" s="54">
        <f t="shared" si="101"/>
        <v>505</v>
      </c>
      <c r="FM25" s="54">
        <f t="shared" si="101"/>
        <v>544</v>
      </c>
      <c r="FN25" s="38">
        <f t="shared" si="20"/>
        <v>4710</v>
      </c>
      <c r="FO25" s="26"/>
      <c r="FP25" s="32">
        <f>SUM(FP22:FP24)</f>
        <v>251</v>
      </c>
      <c r="FQ25" s="32">
        <f t="shared" ref="FQ25:GA25" si="102">SUM(FQ22:FQ24)</f>
        <v>182</v>
      </c>
      <c r="FR25" s="32">
        <f t="shared" si="102"/>
        <v>121</v>
      </c>
      <c r="FS25" s="32">
        <f t="shared" si="102"/>
        <v>841</v>
      </c>
      <c r="FT25" s="32">
        <f t="shared" si="102"/>
        <v>116</v>
      </c>
      <c r="FU25" s="32">
        <f t="shared" si="102"/>
        <v>172</v>
      </c>
      <c r="FV25" s="32">
        <f t="shared" si="102"/>
        <v>194</v>
      </c>
      <c r="FW25" s="32">
        <f t="shared" si="102"/>
        <v>241</v>
      </c>
      <c r="FX25" s="32">
        <f t="shared" si="102"/>
        <v>226</v>
      </c>
      <c r="FY25" s="32">
        <f t="shared" si="102"/>
        <v>290</v>
      </c>
      <c r="FZ25" s="32">
        <f t="shared" si="102"/>
        <v>406</v>
      </c>
      <c r="GA25" s="32">
        <f t="shared" si="102"/>
        <v>282</v>
      </c>
      <c r="GB25" s="38">
        <f t="shared" si="21"/>
        <v>3322</v>
      </c>
      <c r="GC25" s="26"/>
      <c r="GD25" s="32">
        <f>SUM(GD22:GD24)</f>
        <v>146</v>
      </c>
      <c r="GE25" s="32">
        <f t="shared" ref="GE25:GO25" si="103">SUM(GE22:GE24)</f>
        <v>168</v>
      </c>
      <c r="GF25" s="32">
        <f t="shared" si="103"/>
        <v>208</v>
      </c>
      <c r="GG25" s="32">
        <f t="shared" si="103"/>
        <v>184</v>
      </c>
      <c r="GH25" s="32">
        <f t="shared" si="103"/>
        <v>163</v>
      </c>
      <c r="GI25" s="32">
        <f t="shared" si="103"/>
        <v>202</v>
      </c>
      <c r="GJ25" s="32">
        <f t="shared" si="103"/>
        <v>150</v>
      </c>
      <c r="GK25" s="32">
        <f t="shared" si="103"/>
        <v>175</v>
      </c>
      <c r="GL25" s="32">
        <f t="shared" si="103"/>
        <v>198</v>
      </c>
      <c r="GM25" s="32">
        <f t="shared" si="103"/>
        <v>370</v>
      </c>
      <c r="GN25" s="32">
        <f t="shared" si="103"/>
        <v>369</v>
      </c>
      <c r="GO25" s="32">
        <f t="shared" si="103"/>
        <v>298</v>
      </c>
      <c r="GP25" s="38">
        <f t="shared" si="22"/>
        <v>2631</v>
      </c>
      <c r="GQ25" s="26"/>
      <c r="GR25" s="32">
        <f>SUM(GR22:GR24)</f>
        <v>12</v>
      </c>
      <c r="GS25" s="32">
        <f t="shared" ref="GS25:HC25" si="104">SUM(GS22:GS24)</f>
        <v>15</v>
      </c>
      <c r="GT25" s="32">
        <f t="shared" si="104"/>
        <v>12</v>
      </c>
      <c r="GU25" s="32">
        <f t="shared" si="104"/>
        <v>17</v>
      </c>
      <c r="GV25" s="32">
        <f t="shared" si="104"/>
        <v>11</v>
      </c>
      <c r="GW25" s="32">
        <f t="shared" si="104"/>
        <v>19</v>
      </c>
      <c r="GX25" s="32">
        <f t="shared" si="104"/>
        <v>27</v>
      </c>
      <c r="GY25" s="32">
        <f t="shared" si="104"/>
        <v>17</v>
      </c>
      <c r="GZ25" s="32">
        <f t="shared" si="104"/>
        <v>23</v>
      </c>
      <c r="HA25" s="32">
        <f t="shared" si="104"/>
        <v>33</v>
      </c>
      <c r="HB25" s="32">
        <f t="shared" si="104"/>
        <v>27</v>
      </c>
      <c r="HC25" s="32">
        <f t="shared" si="104"/>
        <v>21</v>
      </c>
      <c r="HD25" s="38">
        <f t="shared" si="23"/>
        <v>234</v>
      </c>
      <c r="HE25" s="26"/>
      <c r="HF25" s="45">
        <f>SUM(HF22:HF24)</f>
        <v>761</v>
      </c>
      <c r="HG25" s="45">
        <f t="shared" ref="HG25:HQ25" si="105">SUM(HG22:HG24)</f>
        <v>709</v>
      </c>
      <c r="HH25" s="45">
        <f t="shared" si="105"/>
        <v>619</v>
      </c>
      <c r="HI25" s="45">
        <f t="shared" si="105"/>
        <v>496</v>
      </c>
      <c r="HJ25" s="45">
        <f t="shared" si="105"/>
        <v>507</v>
      </c>
      <c r="HK25" s="45">
        <f t="shared" si="105"/>
        <v>589</v>
      </c>
      <c r="HL25" s="45">
        <f t="shared" si="105"/>
        <v>550</v>
      </c>
      <c r="HM25" s="45">
        <f t="shared" si="105"/>
        <v>803</v>
      </c>
      <c r="HN25" s="45">
        <f t="shared" si="105"/>
        <v>951</v>
      </c>
      <c r="HO25" s="45">
        <f t="shared" si="105"/>
        <v>960</v>
      </c>
      <c r="HP25" s="45">
        <f t="shared" si="105"/>
        <v>748</v>
      </c>
      <c r="HQ25" s="45">
        <f t="shared" si="105"/>
        <v>690</v>
      </c>
      <c r="HR25" s="38">
        <f t="shared" si="24"/>
        <v>8383</v>
      </c>
      <c r="HS25" s="26"/>
      <c r="HT25" s="32">
        <f>SUM(HT22:HT24)</f>
        <v>329</v>
      </c>
      <c r="HU25" s="32">
        <f t="shared" ref="HU25:IE25" si="106">SUM(HU22:HU24)</f>
        <v>281</v>
      </c>
      <c r="HV25" s="32">
        <f t="shared" si="106"/>
        <v>318</v>
      </c>
      <c r="HW25" s="32">
        <f t="shared" si="106"/>
        <v>225</v>
      </c>
      <c r="HX25" s="32">
        <f t="shared" si="106"/>
        <v>335</v>
      </c>
      <c r="HY25" s="32">
        <f t="shared" si="106"/>
        <v>224</v>
      </c>
      <c r="HZ25" s="32">
        <f t="shared" si="106"/>
        <v>279</v>
      </c>
      <c r="IA25" s="32">
        <f t="shared" si="106"/>
        <v>276</v>
      </c>
      <c r="IB25" s="32">
        <f t="shared" si="106"/>
        <v>350</v>
      </c>
      <c r="IC25" s="32">
        <f t="shared" si="106"/>
        <v>429</v>
      </c>
      <c r="ID25" s="32">
        <f t="shared" si="106"/>
        <v>331</v>
      </c>
      <c r="IE25" s="32">
        <f t="shared" si="106"/>
        <v>305</v>
      </c>
      <c r="IF25" s="38">
        <f t="shared" si="3"/>
        <v>3682</v>
      </c>
      <c r="IG25" s="104">
        <f>SUM(IG22:IG24)</f>
        <v>160</v>
      </c>
      <c r="IH25" s="104">
        <f t="shared" ref="IH25:IR25" si="107">SUM(IH22:IH24)</f>
        <v>130</v>
      </c>
      <c r="II25" s="104">
        <f t="shared" si="107"/>
        <v>124</v>
      </c>
      <c r="IJ25" s="104">
        <f t="shared" si="107"/>
        <v>129</v>
      </c>
      <c r="IK25" s="104">
        <f t="shared" si="107"/>
        <v>104</v>
      </c>
      <c r="IL25" s="104">
        <f t="shared" si="107"/>
        <v>106</v>
      </c>
      <c r="IM25" s="104">
        <f t="shared" si="107"/>
        <v>163</v>
      </c>
      <c r="IN25" s="104">
        <f t="shared" si="107"/>
        <v>147</v>
      </c>
      <c r="IO25" s="104">
        <f t="shared" si="107"/>
        <v>132</v>
      </c>
      <c r="IP25" s="104">
        <f t="shared" si="107"/>
        <v>142</v>
      </c>
      <c r="IQ25" s="104">
        <f t="shared" si="107"/>
        <v>1139</v>
      </c>
      <c r="IR25" s="104">
        <f t="shared" si="107"/>
        <v>122</v>
      </c>
      <c r="IS25" s="38">
        <f t="shared" si="25"/>
        <v>2598</v>
      </c>
      <c r="IT25" s="36">
        <f t="shared" si="26"/>
        <v>6280</v>
      </c>
      <c r="IU25" s="26"/>
      <c r="IV25" s="32">
        <f>SUM(IV22:IV24)</f>
        <v>361</v>
      </c>
      <c r="IW25" s="32">
        <f t="shared" ref="IW25:JG25" si="108">SUM(IW22:IW24)</f>
        <v>349</v>
      </c>
      <c r="IX25" s="32">
        <f t="shared" si="108"/>
        <v>354</v>
      </c>
      <c r="IY25" s="32">
        <f t="shared" si="108"/>
        <v>341</v>
      </c>
      <c r="IZ25" s="32">
        <f t="shared" si="108"/>
        <v>332</v>
      </c>
      <c r="JA25" s="32">
        <f t="shared" si="108"/>
        <v>330</v>
      </c>
      <c r="JB25" s="32">
        <f t="shared" si="108"/>
        <v>312</v>
      </c>
      <c r="JC25" s="32">
        <f t="shared" si="108"/>
        <v>371</v>
      </c>
      <c r="JD25" s="32">
        <f t="shared" si="108"/>
        <v>332</v>
      </c>
      <c r="JE25" s="32">
        <f t="shared" si="108"/>
        <v>359</v>
      </c>
      <c r="JF25" s="32">
        <f t="shared" si="108"/>
        <v>350</v>
      </c>
      <c r="JG25" s="32">
        <f t="shared" si="108"/>
        <v>278</v>
      </c>
      <c r="JH25" s="38">
        <f t="shared" si="27"/>
        <v>4069</v>
      </c>
      <c r="JI25" s="32">
        <f>SUM(JI22:JI24)</f>
        <v>1189.6000000000001</v>
      </c>
      <c r="JJ25" s="32">
        <f t="shared" ref="JJ25:JT25" si="109">SUM(JJ22:JJ24)</f>
        <v>1328.6000000000001</v>
      </c>
      <c r="JK25" s="32">
        <f t="shared" si="109"/>
        <v>1026.5999999999999</v>
      </c>
      <c r="JL25" s="32">
        <f t="shared" si="109"/>
        <v>801.2</v>
      </c>
      <c r="JM25" s="32">
        <f t="shared" si="109"/>
        <v>1040.8</v>
      </c>
      <c r="JN25" s="32">
        <f t="shared" si="109"/>
        <v>1038.8</v>
      </c>
      <c r="JO25" s="32">
        <f t="shared" si="109"/>
        <v>1074.5999999999999</v>
      </c>
      <c r="JP25" s="32">
        <f t="shared" si="109"/>
        <v>1099.4000000000001</v>
      </c>
      <c r="JQ25" s="32">
        <f t="shared" si="109"/>
        <v>1120.5999999999999</v>
      </c>
      <c r="JR25" s="32">
        <f t="shared" si="109"/>
        <v>969.80000000000007</v>
      </c>
      <c r="JS25" s="32">
        <f t="shared" si="109"/>
        <v>1095</v>
      </c>
      <c r="JT25" s="32">
        <f t="shared" si="109"/>
        <v>1015.4000000000001</v>
      </c>
      <c r="JU25" s="112">
        <f t="shared" si="4"/>
        <v>12800.4</v>
      </c>
      <c r="JV25" s="36">
        <f t="shared" si="28"/>
        <v>16869.400000000001</v>
      </c>
      <c r="JW25" s="26"/>
      <c r="JX25" s="32">
        <f>SUM(JX22:JX24)</f>
        <v>116</v>
      </c>
      <c r="JY25" s="32">
        <f t="shared" ref="JY25:KI25" si="110">SUM(JY22:JY24)</f>
        <v>82</v>
      </c>
      <c r="JZ25" s="32">
        <f t="shared" si="110"/>
        <v>101</v>
      </c>
      <c r="KA25" s="32">
        <f t="shared" si="110"/>
        <v>90</v>
      </c>
      <c r="KB25" s="32">
        <f t="shared" si="110"/>
        <v>88</v>
      </c>
      <c r="KC25" s="32">
        <f t="shared" si="110"/>
        <v>75</v>
      </c>
      <c r="KD25" s="32">
        <f t="shared" si="110"/>
        <v>118</v>
      </c>
      <c r="KE25" s="32">
        <f t="shared" si="110"/>
        <v>96</v>
      </c>
      <c r="KF25" s="32">
        <f t="shared" si="110"/>
        <v>68</v>
      </c>
      <c r="KG25" s="32">
        <f t="shared" si="110"/>
        <v>137</v>
      </c>
      <c r="KH25" s="32">
        <f t="shared" si="110"/>
        <v>90</v>
      </c>
      <c r="KI25" s="32">
        <f t="shared" si="110"/>
        <v>111</v>
      </c>
      <c r="KJ25" s="38">
        <f t="shared" si="29"/>
        <v>1172</v>
      </c>
      <c r="KK25" s="32">
        <f>SUM(KK22:KK24)</f>
        <v>542</v>
      </c>
      <c r="KL25" s="32">
        <f t="shared" ref="KL25:KV25" si="111">SUM(KL22:KL24)</f>
        <v>357</v>
      </c>
      <c r="KM25" s="32">
        <f t="shared" si="111"/>
        <v>700</v>
      </c>
      <c r="KN25" s="32">
        <f t="shared" si="111"/>
        <v>928</v>
      </c>
      <c r="KO25" s="32">
        <f t="shared" si="111"/>
        <v>460</v>
      </c>
      <c r="KP25" s="32">
        <f t="shared" si="111"/>
        <v>401</v>
      </c>
      <c r="KQ25" s="32">
        <f t="shared" si="111"/>
        <v>635</v>
      </c>
      <c r="KR25" s="32">
        <f t="shared" si="111"/>
        <v>598</v>
      </c>
      <c r="KS25" s="32">
        <f t="shared" si="111"/>
        <v>755</v>
      </c>
      <c r="KT25" s="32">
        <f t="shared" si="111"/>
        <v>876</v>
      </c>
      <c r="KU25" s="32">
        <f t="shared" si="111"/>
        <v>691</v>
      </c>
      <c r="KV25" s="32">
        <f t="shared" si="111"/>
        <v>812</v>
      </c>
      <c r="KW25" s="38">
        <f t="shared" si="5"/>
        <v>7755</v>
      </c>
      <c r="KX25" s="36">
        <f t="shared" si="30"/>
        <v>8927</v>
      </c>
      <c r="KY25" s="26"/>
      <c r="KZ25" s="32">
        <f>SUM(KZ22:KZ24)</f>
        <v>0</v>
      </c>
      <c r="LA25" s="32">
        <f t="shared" ref="LA25:LK25" si="112">SUM(LA22:LA24)</f>
        <v>0</v>
      </c>
      <c r="LB25" s="32">
        <f t="shared" si="112"/>
        <v>0</v>
      </c>
      <c r="LC25" s="32">
        <f t="shared" si="112"/>
        <v>0</v>
      </c>
      <c r="LD25" s="32">
        <f t="shared" si="112"/>
        <v>0</v>
      </c>
      <c r="LE25" s="32">
        <f t="shared" si="112"/>
        <v>0</v>
      </c>
      <c r="LF25" s="32">
        <f t="shared" si="112"/>
        <v>0</v>
      </c>
      <c r="LG25" s="32">
        <f t="shared" si="112"/>
        <v>0</v>
      </c>
      <c r="LH25" s="32">
        <f t="shared" si="112"/>
        <v>0</v>
      </c>
      <c r="LI25" s="32">
        <f t="shared" si="112"/>
        <v>0</v>
      </c>
      <c r="LJ25" s="32">
        <f t="shared" si="112"/>
        <v>0</v>
      </c>
      <c r="LK25" s="32">
        <f t="shared" si="112"/>
        <v>0</v>
      </c>
      <c r="LL25" s="38">
        <f t="shared" si="6"/>
        <v>0</v>
      </c>
      <c r="LM25" s="26"/>
      <c r="LN25" s="71">
        <f>SUM(LN22:LN24)</f>
        <v>941</v>
      </c>
      <c r="LO25" s="71">
        <f t="shared" ref="LO25:LY25" si="113">SUM(LO22:LO24)</f>
        <v>836</v>
      </c>
      <c r="LP25" s="71">
        <f t="shared" si="113"/>
        <v>790</v>
      </c>
      <c r="LQ25" s="71">
        <f t="shared" si="113"/>
        <v>772</v>
      </c>
      <c r="LR25" s="71">
        <f t="shared" si="113"/>
        <v>716</v>
      </c>
      <c r="LS25" s="71">
        <f t="shared" si="113"/>
        <v>806</v>
      </c>
      <c r="LT25" s="71">
        <f t="shared" si="113"/>
        <v>870</v>
      </c>
      <c r="LU25" s="71">
        <f t="shared" si="113"/>
        <v>1041</v>
      </c>
      <c r="LV25" s="71">
        <f t="shared" si="113"/>
        <v>1031</v>
      </c>
      <c r="LW25" s="71">
        <f t="shared" si="113"/>
        <v>1205</v>
      </c>
      <c r="LX25" s="71">
        <f t="shared" si="113"/>
        <v>867</v>
      </c>
      <c r="LY25" s="71">
        <f t="shared" si="113"/>
        <v>784</v>
      </c>
      <c r="LZ25" s="38">
        <f t="shared" si="31"/>
        <v>10659</v>
      </c>
      <c r="MA25" s="26"/>
      <c r="MB25" s="45">
        <f>SUM(MB22:MB24)</f>
        <v>1245</v>
      </c>
      <c r="MC25" s="45">
        <f t="shared" ref="MC25:MM25" si="114">SUM(MC22:MC24)</f>
        <v>1116</v>
      </c>
      <c r="MD25" s="45">
        <f t="shared" si="114"/>
        <v>1135</v>
      </c>
      <c r="ME25" s="45">
        <f t="shared" si="114"/>
        <v>967</v>
      </c>
      <c r="MF25" s="45">
        <f t="shared" si="114"/>
        <v>921</v>
      </c>
      <c r="MG25" s="45">
        <f t="shared" si="114"/>
        <v>886</v>
      </c>
      <c r="MH25" s="45">
        <f t="shared" si="114"/>
        <v>877</v>
      </c>
      <c r="MI25" s="45">
        <f t="shared" si="114"/>
        <v>1386</v>
      </c>
      <c r="MJ25" s="45">
        <f t="shared" si="114"/>
        <v>1721</v>
      </c>
      <c r="MK25" s="45">
        <f t="shared" si="114"/>
        <v>1704</v>
      </c>
      <c r="ML25" s="45">
        <f t="shared" si="114"/>
        <v>1520</v>
      </c>
      <c r="MM25" s="45">
        <f t="shared" si="114"/>
        <v>1346</v>
      </c>
      <c r="MN25" s="38">
        <f t="shared" si="32"/>
        <v>14824</v>
      </c>
      <c r="MO25" s="32">
        <f>SUM(MO22:MO24)</f>
        <v>1645</v>
      </c>
      <c r="MP25" s="32">
        <f t="shared" ref="MP25:MZ25" si="115">SUM(MP22:MP24)</f>
        <v>1158</v>
      </c>
      <c r="MQ25" s="32">
        <f t="shared" si="115"/>
        <v>966</v>
      </c>
      <c r="MR25" s="32">
        <f t="shared" si="115"/>
        <v>945</v>
      </c>
      <c r="MS25" s="32">
        <f t="shared" si="115"/>
        <v>1218</v>
      </c>
      <c r="MT25" s="32">
        <f t="shared" si="115"/>
        <v>1451</v>
      </c>
      <c r="MU25" s="32">
        <f t="shared" si="115"/>
        <v>1734</v>
      </c>
      <c r="MV25" s="32">
        <f t="shared" si="115"/>
        <v>1594</v>
      </c>
      <c r="MW25" s="32">
        <f t="shared" si="115"/>
        <v>1509</v>
      </c>
      <c r="MX25" s="32">
        <f t="shared" si="115"/>
        <v>1794</v>
      </c>
      <c r="MY25" s="32">
        <f t="shared" si="115"/>
        <v>1241</v>
      </c>
      <c r="MZ25" s="32">
        <f t="shared" si="115"/>
        <v>1219</v>
      </c>
      <c r="NA25" s="38">
        <f t="shared" si="33"/>
        <v>16474</v>
      </c>
      <c r="NB25" s="36">
        <f t="shared" si="34"/>
        <v>31298</v>
      </c>
      <c r="NC25" s="26"/>
      <c r="ND25" s="32">
        <f>SUM(ND22:ND24)</f>
        <v>121</v>
      </c>
      <c r="NE25" s="32">
        <f t="shared" ref="NE25:NO25" si="116">SUM(NE22:NE24)</f>
        <v>142</v>
      </c>
      <c r="NF25" s="32">
        <f t="shared" si="116"/>
        <v>126</v>
      </c>
      <c r="NG25" s="32">
        <f t="shared" si="116"/>
        <v>181</v>
      </c>
      <c r="NH25" s="32">
        <f t="shared" si="116"/>
        <v>107</v>
      </c>
      <c r="NI25" s="32">
        <f t="shared" si="116"/>
        <v>143</v>
      </c>
      <c r="NJ25" s="32">
        <f t="shared" si="116"/>
        <v>167</v>
      </c>
      <c r="NK25" s="32">
        <f t="shared" si="116"/>
        <v>141</v>
      </c>
      <c r="NL25" s="32">
        <f t="shared" si="116"/>
        <v>94</v>
      </c>
      <c r="NM25" s="32">
        <f t="shared" si="116"/>
        <v>220</v>
      </c>
      <c r="NN25" s="32">
        <f t="shared" si="116"/>
        <v>107</v>
      </c>
      <c r="NO25" s="32">
        <f t="shared" si="116"/>
        <v>150</v>
      </c>
      <c r="NP25" s="38">
        <f t="shared" si="35"/>
        <v>1699</v>
      </c>
      <c r="NQ25" s="36">
        <f t="shared" si="36"/>
        <v>34503</v>
      </c>
      <c r="NR25" s="36">
        <f t="shared" si="37"/>
        <v>94001</v>
      </c>
      <c r="NS25" s="36">
        <f t="shared" si="38"/>
        <v>29274.400000000001</v>
      </c>
      <c r="NT25" s="36">
        <f t="shared" si="39"/>
        <v>157778.4</v>
      </c>
      <c r="NU25" s="18"/>
      <c r="NV25" s="18"/>
      <c r="NW25" s="18"/>
      <c r="NX25" s="19"/>
      <c r="NY25" s="19"/>
      <c r="NZ25" s="19"/>
      <c r="OA25" s="19"/>
      <c r="OB25" s="19"/>
      <c r="OC25" s="19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8"/>
      <c r="OR25" s="18"/>
      <c r="OS25" s="18"/>
      <c r="OT25" s="18"/>
      <c r="OU25" s="18"/>
      <c r="OV25" s="18"/>
      <c r="OW25" s="18"/>
      <c r="OX25" s="19"/>
      <c r="OY25" s="19"/>
      <c r="OZ25" s="19"/>
      <c r="PA25" s="19"/>
      <c r="PB25" s="19"/>
      <c r="PC25" s="19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8"/>
      <c r="PR25" s="18"/>
      <c r="PS25" s="18"/>
      <c r="PT25" s="18"/>
      <c r="PU25" s="18"/>
      <c r="PV25" s="18"/>
      <c r="PW25" s="18"/>
      <c r="PX25" s="19"/>
      <c r="PY25" s="19"/>
      <c r="PZ25" s="19"/>
      <c r="QA25" s="19"/>
      <c r="QB25" s="19"/>
      <c r="QC25" s="19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</row>
    <row r="26" spans="1:458" s="1" customFormat="1" ht="50.1" customHeight="1" x14ac:dyDescent="0.25">
      <c r="A26" s="120"/>
      <c r="B26" s="6" t="s">
        <v>21</v>
      </c>
      <c r="C26" s="23"/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38">
        <f t="shared" si="7"/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38">
        <f t="shared" si="8"/>
        <v>0</v>
      </c>
      <c r="AD26" s="36">
        <f t="shared" si="9"/>
        <v>0</v>
      </c>
      <c r="AE26" s="26"/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8">
        <f t="shared" si="10"/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8">
        <f t="shared" si="11"/>
        <v>0</v>
      </c>
      <c r="BF26" s="36">
        <f t="shared" si="12"/>
        <v>0</v>
      </c>
      <c r="BG26" s="26"/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  <c r="BQ26" s="41">
        <v>0</v>
      </c>
      <c r="BR26" s="41">
        <v>0</v>
      </c>
      <c r="BS26" s="41">
        <v>0</v>
      </c>
      <c r="BT26" s="38">
        <f t="shared" si="13"/>
        <v>0</v>
      </c>
      <c r="BU26" s="56">
        <v>0</v>
      </c>
      <c r="BV26" s="56">
        <v>0</v>
      </c>
      <c r="BW26" s="56">
        <v>0</v>
      </c>
      <c r="BX26" s="56">
        <v>0</v>
      </c>
      <c r="BY26" s="56">
        <v>0</v>
      </c>
      <c r="BZ26" s="56">
        <v>2</v>
      </c>
      <c r="CA26" s="56">
        <v>0</v>
      </c>
      <c r="CB26" s="56">
        <v>0</v>
      </c>
      <c r="CC26" s="56">
        <v>0</v>
      </c>
      <c r="CD26" s="56">
        <v>1</v>
      </c>
      <c r="CE26" s="56">
        <v>0</v>
      </c>
      <c r="CF26" s="56">
        <v>0</v>
      </c>
      <c r="CG26" s="61">
        <f t="shared" si="14"/>
        <v>3</v>
      </c>
      <c r="CH26" s="57">
        <f t="shared" si="15"/>
        <v>3</v>
      </c>
      <c r="CI26" s="26"/>
      <c r="CJ26" s="32">
        <v>6</v>
      </c>
      <c r="CK26" s="32">
        <v>0</v>
      </c>
      <c r="CL26" s="32">
        <v>0</v>
      </c>
      <c r="CM26" s="32">
        <v>0</v>
      </c>
      <c r="CN26" s="32">
        <v>8</v>
      </c>
      <c r="CO26" s="32">
        <v>12</v>
      </c>
      <c r="CP26" s="32">
        <v>7</v>
      </c>
      <c r="CQ26" s="32">
        <v>11</v>
      </c>
      <c r="CR26" s="32">
        <v>9</v>
      </c>
      <c r="CS26" s="32">
        <v>9</v>
      </c>
      <c r="CT26" s="32">
        <v>11</v>
      </c>
      <c r="CU26" s="69">
        <v>6</v>
      </c>
      <c r="CV26" s="38">
        <f t="shared" si="16"/>
        <v>79</v>
      </c>
      <c r="CW26" s="45">
        <v>2</v>
      </c>
      <c r="CX26" s="45">
        <v>1</v>
      </c>
      <c r="CY26" s="45">
        <v>6</v>
      </c>
      <c r="CZ26" s="45">
        <v>5</v>
      </c>
      <c r="DA26" s="45">
        <v>2</v>
      </c>
      <c r="DB26" s="45">
        <v>1</v>
      </c>
      <c r="DC26" s="45">
        <v>7</v>
      </c>
      <c r="DD26" s="45">
        <v>3</v>
      </c>
      <c r="DE26" s="45">
        <v>5</v>
      </c>
      <c r="DF26" s="45">
        <v>4</v>
      </c>
      <c r="DG26" s="45">
        <v>1</v>
      </c>
      <c r="DH26" s="45">
        <v>4</v>
      </c>
      <c r="DI26" s="38">
        <f t="shared" si="0"/>
        <v>41</v>
      </c>
      <c r="DJ26" s="36">
        <f t="shared" si="17"/>
        <v>120</v>
      </c>
      <c r="DK26" s="26"/>
      <c r="DL26" s="75">
        <v>0</v>
      </c>
      <c r="DM26" s="75">
        <v>0</v>
      </c>
      <c r="DN26" s="75">
        <v>0</v>
      </c>
      <c r="DO26" s="75">
        <v>0</v>
      </c>
      <c r="DP26" s="75">
        <v>0</v>
      </c>
      <c r="DQ26" s="75">
        <v>0</v>
      </c>
      <c r="DR26" s="75">
        <v>0</v>
      </c>
      <c r="DS26" s="75">
        <v>0</v>
      </c>
      <c r="DT26" s="75">
        <v>0</v>
      </c>
      <c r="DU26" s="75">
        <v>0</v>
      </c>
      <c r="DV26" s="75">
        <v>0</v>
      </c>
      <c r="DW26" s="83">
        <v>0</v>
      </c>
      <c r="DX26" s="38">
        <f t="shared" si="1"/>
        <v>0</v>
      </c>
      <c r="DY26" s="65">
        <v>2</v>
      </c>
      <c r="DZ26" s="65">
        <v>2</v>
      </c>
      <c r="EA26" s="65">
        <v>2</v>
      </c>
      <c r="EB26" s="65">
        <v>3</v>
      </c>
      <c r="EC26" s="65">
        <v>5</v>
      </c>
      <c r="ED26" s="65">
        <v>3</v>
      </c>
      <c r="EE26" s="65">
        <v>2</v>
      </c>
      <c r="EF26" s="65">
        <v>3</v>
      </c>
      <c r="EG26" s="65">
        <v>2</v>
      </c>
      <c r="EH26" s="65">
        <v>2</v>
      </c>
      <c r="EI26" s="65">
        <v>3</v>
      </c>
      <c r="EJ26" s="65">
        <v>3</v>
      </c>
      <c r="EK26" s="38">
        <f t="shared" si="18"/>
        <v>32</v>
      </c>
      <c r="EL26" s="36">
        <f t="shared" si="19"/>
        <v>32</v>
      </c>
      <c r="EM26" s="26"/>
      <c r="EN26" s="32">
        <v>0</v>
      </c>
      <c r="EO26" s="32">
        <v>0</v>
      </c>
      <c r="EP26" s="32">
        <v>0</v>
      </c>
      <c r="EQ26" s="32">
        <v>0</v>
      </c>
      <c r="ER26" s="32">
        <v>0</v>
      </c>
      <c r="ES26" s="32">
        <v>0</v>
      </c>
      <c r="ET26" s="32">
        <v>0</v>
      </c>
      <c r="EU26" s="32">
        <v>0</v>
      </c>
      <c r="EV26" s="32">
        <v>0</v>
      </c>
      <c r="EW26" s="32">
        <v>0</v>
      </c>
      <c r="EX26" s="32">
        <v>0</v>
      </c>
      <c r="EY26" s="32">
        <v>0</v>
      </c>
      <c r="EZ26" s="38">
        <f t="shared" si="2"/>
        <v>0</v>
      </c>
      <c r="FA26" s="26"/>
      <c r="FB26" s="54">
        <v>0</v>
      </c>
      <c r="FC26" s="54">
        <v>0</v>
      </c>
      <c r="FD26" s="54">
        <v>0</v>
      </c>
      <c r="FE26" s="54">
        <v>0</v>
      </c>
      <c r="FF26" s="54">
        <v>0</v>
      </c>
      <c r="FG26" s="54">
        <v>0</v>
      </c>
      <c r="FH26" s="54">
        <v>0</v>
      </c>
      <c r="FI26" s="54">
        <v>0</v>
      </c>
      <c r="FJ26" s="54">
        <v>0</v>
      </c>
      <c r="FK26" s="54">
        <v>0</v>
      </c>
      <c r="FL26" s="54">
        <v>0</v>
      </c>
      <c r="FM26" s="54">
        <v>0</v>
      </c>
      <c r="FN26" s="38">
        <f t="shared" si="20"/>
        <v>0</v>
      </c>
      <c r="FO26" s="26"/>
      <c r="FP26" s="32">
        <v>0</v>
      </c>
      <c r="FQ26" s="32">
        <v>0</v>
      </c>
      <c r="FR26" s="32">
        <v>0</v>
      </c>
      <c r="FS26" s="32">
        <v>0</v>
      </c>
      <c r="FT26" s="32">
        <v>0</v>
      </c>
      <c r="FU26" s="32">
        <v>0</v>
      </c>
      <c r="FV26" s="32">
        <v>0</v>
      </c>
      <c r="FW26" s="32">
        <v>0</v>
      </c>
      <c r="FX26" s="32">
        <v>0</v>
      </c>
      <c r="FY26" s="32">
        <v>0</v>
      </c>
      <c r="FZ26" s="32">
        <v>0</v>
      </c>
      <c r="GA26" s="32">
        <v>0</v>
      </c>
      <c r="GB26" s="38">
        <f t="shared" si="21"/>
        <v>0</v>
      </c>
      <c r="GC26" s="26"/>
      <c r="GD26" s="32">
        <v>0</v>
      </c>
      <c r="GE26" s="32">
        <v>0</v>
      </c>
      <c r="GF26" s="32">
        <v>0</v>
      </c>
      <c r="GG26" s="32">
        <v>0</v>
      </c>
      <c r="GH26" s="32">
        <v>0</v>
      </c>
      <c r="GI26" s="32">
        <v>0</v>
      </c>
      <c r="GJ26" s="32">
        <v>0</v>
      </c>
      <c r="GK26" s="32">
        <v>0</v>
      </c>
      <c r="GL26" s="32">
        <v>0</v>
      </c>
      <c r="GM26" s="32">
        <v>0</v>
      </c>
      <c r="GN26" s="32">
        <v>0</v>
      </c>
      <c r="GO26" s="32">
        <v>0</v>
      </c>
      <c r="GP26" s="38">
        <f t="shared" si="22"/>
        <v>0</v>
      </c>
      <c r="GQ26" s="26"/>
      <c r="GR26" s="32">
        <v>0</v>
      </c>
      <c r="GS26" s="32">
        <v>0</v>
      </c>
      <c r="GT26" s="32">
        <v>0</v>
      </c>
      <c r="GU26" s="32">
        <v>0</v>
      </c>
      <c r="GV26" s="32">
        <v>0</v>
      </c>
      <c r="GW26" s="32">
        <v>0</v>
      </c>
      <c r="GX26" s="32">
        <v>0</v>
      </c>
      <c r="GY26" s="32">
        <v>0</v>
      </c>
      <c r="GZ26" s="32">
        <v>0</v>
      </c>
      <c r="HA26" s="32">
        <v>0</v>
      </c>
      <c r="HB26" s="32">
        <v>0</v>
      </c>
      <c r="HC26" s="32">
        <v>0</v>
      </c>
      <c r="HD26" s="38">
        <f t="shared" si="23"/>
        <v>0</v>
      </c>
      <c r="HE26" s="26"/>
      <c r="HF26" s="45">
        <v>0</v>
      </c>
      <c r="HG26" s="45">
        <v>0</v>
      </c>
      <c r="HH26" s="45">
        <v>0</v>
      </c>
      <c r="HI26" s="45">
        <v>0</v>
      </c>
      <c r="HJ26" s="45">
        <v>0</v>
      </c>
      <c r="HK26" s="45">
        <v>0</v>
      </c>
      <c r="HL26" s="45">
        <v>0</v>
      </c>
      <c r="HM26" s="45">
        <v>0</v>
      </c>
      <c r="HN26" s="45">
        <v>0</v>
      </c>
      <c r="HO26" s="45">
        <v>0</v>
      </c>
      <c r="HP26" s="45">
        <v>0</v>
      </c>
      <c r="HQ26" s="45">
        <v>0</v>
      </c>
      <c r="HR26" s="38">
        <f t="shared" si="24"/>
        <v>0</v>
      </c>
      <c r="HS26" s="26"/>
      <c r="HT26" s="32">
        <v>0</v>
      </c>
      <c r="HU26" s="32">
        <v>0</v>
      </c>
      <c r="HV26" s="32">
        <v>0</v>
      </c>
      <c r="HW26" s="32">
        <v>0</v>
      </c>
      <c r="HX26" s="32">
        <v>0</v>
      </c>
      <c r="HY26" s="32">
        <v>0</v>
      </c>
      <c r="HZ26" s="32">
        <v>0</v>
      </c>
      <c r="IA26" s="32">
        <v>0</v>
      </c>
      <c r="IB26" s="32">
        <v>0</v>
      </c>
      <c r="IC26" s="32">
        <v>0</v>
      </c>
      <c r="ID26" s="32">
        <v>0</v>
      </c>
      <c r="IE26" s="32">
        <v>0</v>
      </c>
      <c r="IF26" s="38">
        <f t="shared" si="3"/>
        <v>0</v>
      </c>
      <c r="IG26" s="104">
        <v>0</v>
      </c>
      <c r="IH26" s="104">
        <v>0</v>
      </c>
      <c r="II26" s="104">
        <v>0</v>
      </c>
      <c r="IJ26" s="104">
        <v>0</v>
      </c>
      <c r="IK26" s="104">
        <v>0</v>
      </c>
      <c r="IL26" s="104">
        <v>0</v>
      </c>
      <c r="IM26" s="104">
        <v>1</v>
      </c>
      <c r="IN26" s="104">
        <v>0</v>
      </c>
      <c r="IO26" s="104">
        <v>0</v>
      </c>
      <c r="IP26" s="104">
        <v>0</v>
      </c>
      <c r="IQ26" s="104">
        <v>0</v>
      </c>
      <c r="IR26" s="104">
        <v>0</v>
      </c>
      <c r="IS26" s="38">
        <f t="shared" si="25"/>
        <v>1</v>
      </c>
      <c r="IT26" s="36">
        <f t="shared" si="26"/>
        <v>1</v>
      </c>
      <c r="IU26" s="26"/>
      <c r="IV26" s="32">
        <v>2</v>
      </c>
      <c r="IW26" s="32">
        <v>2</v>
      </c>
      <c r="IX26" s="32">
        <v>1</v>
      </c>
      <c r="IY26" s="32">
        <v>3</v>
      </c>
      <c r="IZ26" s="32">
        <v>4</v>
      </c>
      <c r="JA26" s="32">
        <v>3</v>
      </c>
      <c r="JB26" s="32">
        <v>5</v>
      </c>
      <c r="JC26" s="32">
        <v>2</v>
      </c>
      <c r="JD26" s="32">
        <v>3</v>
      </c>
      <c r="JE26" s="32">
        <v>4</v>
      </c>
      <c r="JF26" s="32">
        <v>4</v>
      </c>
      <c r="JG26" s="32">
        <v>4</v>
      </c>
      <c r="JH26" s="38">
        <f t="shared" si="27"/>
        <v>37</v>
      </c>
      <c r="JI26" s="32">
        <v>1</v>
      </c>
      <c r="JJ26" s="32">
        <v>0</v>
      </c>
      <c r="JK26" s="32">
        <v>1</v>
      </c>
      <c r="JL26" s="32">
        <v>2</v>
      </c>
      <c r="JM26" s="32">
        <v>1</v>
      </c>
      <c r="JN26" s="32">
        <v>3</v>
      </c>
      <c r="JO26" s="32">
        <v>0</v>
      </c>
      <c r="JP26" s="32">
        <v>1</v>
      </c>
      <c r="JQ26" s="32">
        <v>1</v>
      </c>
      <c r="JR26" s="32">
        <v>0</v>
      </c>
      <c r="JS26" s="32">
        <v>0</v>
      </c>
      <c r="JT26" s="32">
        <v>1</v>
      </c>
      <c r="JU26" s="112">
        <f t="shared" si="4"/>
        <v>11</v>
      </c>
      <c r="JV26" s="36">
        <f t="shared" si="28"/>
        <v>48</v>
      </c>
      <c r="JW26" s="26"/>
      <c r="JX26" s="32">
        <v>0</v>
      </c>
      <c r="JY26" s="32">
        <v>0</v>
      </c>
      <c r="JZ26" s="32">
        <v>0</v>
      </c>
      <c r="KA26" s="32">
        <v>0</v>
      </c>
      <c r="KB26" s="32">
        <v>0</v>
      </c>
      <c r="KC26" s="32">
        <v>0</v>
      </c>
      <c r="KD26" s="32">
        <v>0</v>
      </c>
      <c r="KE26" s="32">
        <v>0</v>
      </c>
      <c r="KF26" s="32">
        <v>0</v>
      </c>
      <c r="KG26" s="32">
        <v>0</v>
      </c>
      <c r="KH26" s="32">
        <v>0</v>
      </c>
      <c r="KI26" s="32">
        <v>0</v>
      </c>
      <c r="KJ26" s="38">
        <f t="shared" si="29"/>
        <v>0</v>
      </c>
      <c r="KK26" s="114">
        <v>33</v>
      </c>
      <c r="KL26" s="114">
        <v>15</v>
      </c>
      <c r="KM26" s="114">
        <v>23</v>
      </c>
      <c r="KN26" s="114">
        <v>31</v>
      </c>
      <c r="KO26" s="114">
        <v>18</v>
      </c>
      <c r="KP26" s="114">
        <v>9</v>
      </c>
      <c r="KQ26" s="114">
        <v>8</v>
      </c>
      <c r="KR26" s="114">
        <v>4</v>
      </c>
      <c r="KS26" s="114">
        <v>32</v>
      </c>
      <c r="KT26" s="114">
        <v>16</v>
      </c>
      <c r="KU26" s="114">
        <v>10</v>
      </c>
      <c r="KV26" s="114">
        <v>20</v>
      </c>
      <c r="KW26" s="38">
        <f t="shared" si="5"/>
        <v>219</v>
      </c>
      <c r="KX26" s="36">
        <f t="shared" si="30"/>
        <v>219</v>
      </c>
      <c r="KY26" s="26"/>
      <c r="KZ26" s="32">
        <v>0</v>
      </c>
      <c r="LA26" s="32">
        <v>0</v>
      </c>
      <c r="LB26" s="32">
        <v>0</v>
      </c>
      <c r="LC26" s="32">
        <v>0</v>
      </c>
      <c r="LD26" s="32">
        <v>0</v>
      </c>
      <c r="LE26" s="32">
        <v>0</v>
      </c>
      <c r="LF26" s="32">
        <v>0</v>
      </c>
      <c r="LG26" s="32">
        <v>0</v>
      </c>
      <c r="LH26" s="32">
        <v>0</v>
      </c>
      <c r="LI26" s="32">
        <v>0</v>
      </c>
      <c r="LJ26" s="32">
        <v>0</v>
      </c>
      <c r="LK26" s="32">
        <v>0</v>
      </c>
      <c r="LL26" s="38">
        <f t="shared" si="6"/>
        <v>0</v>
      </c>
      <c r="LM26" s="26"/>
      <c r="LN26" s="71">
        <v>2</v>
      </c>
      <c r="LO26" s="71">
        <v>3</v>
      </c>
      <c r="LP26" s="71">
        <v>4</v>
      </c>
      <c r="LQ26" s="71">
        <v>3</v>
      </c>
      <c r="LR26" s="71">
        <v>7</v>
      </c>
      <c r="LS26" s="71">
        <v>4</v>
      </c>
      <c r="LT26" s="71">
        <v>5</v>
      </c>
      <c r="LU26" s="45">
        <v>5</v>
      </c>
      <c r="LV26" s="45">
        <v>6</v>
      </c>
      <c r="LW26" s="45">
        <v>1</v>
      </c>
      <c r="LX26" s="45">
        <v>3</v>
      </c>
      <c r="LY26" s="45">
        <v>2</v>
      </c>
      <c r="LZ26" s="38">
        <f t="shared" si="31"/>
        <v>45</v>
      </c>
      <c r="MA26" s="26"/>
      <c r="MB26" s="45">
        <v>0</v>
      </c>
      <c r="MC26" s="45">
        <v>0</v>
      </c>
      <c r="MD26" s="45">
        <v>0</v>
      </c>
      <c r="ME26" s="45">
        <v>0</v>
      </c>
      <c r="MF26" s="45">
        <v>0</v>
      </c>
      <c r="MG26" s="45">
        <v>0</v>
      </c>
      <c r="MH26" s="45">
        <v>0</v>
      </c>
      <c r="MI26" s="45">
        <v>0</v>
      </c>
      <c r="MJ26" s="45">
        <v>0</v>
      </c>
      <c r="MK26" s="45">
        <v>0</v>
      </c>
      <c r="ML26" s="45">
        <v>0</v>
      </c>
      <c r="MM26" s="45">
        <v>0</v>
      </c>
      <c r="MN26" s="38">
        <f t="shared" si="32"/>
        <v>0</v>
      </c>
      <c r="MO26" s="32">
        <v>20</v>
      </c>
      <c r="MP26" s="32">
        <v>31</v>
      </c>
      <c r="MQ26" s="32">
        <v>40</v>
      </c>
      <c r="MR26" s="32">
        <v>43</v>
      </c>
      <c r="MS26" s="32">
        <v>10</v>
      </c>
      <c r="MT26" s="32">
        <v>6</v>
      </c>
      <c r="MU26" s="32">
        <v>7</v>
      </c>
      <c r="MV26" s="32">
        <v>3</v>
      </c>
      <c r="MW26" s="32">
        <v>4</v>
      </c>
      <c r="MX26" s="32">
        <v>7</v>
      </c>
      <c r="MY26" s="32">
        <v>2</v>
      </c>
      <c r="MZ26" s="32">
        <v>6</v>
      </c>
      <c r="NA26" s="38">
        <f t="shared" si="33"/>
        <v>179</v>
      </c>
      <c r="NB26" s="36">
        <f t="shared" si="34"/>
        <v>179</v>
      </c>
      <c r="NC26" s="26"/>
      <c r="ND26" s="32">
        <v>0</v>
      </c>
      <c r="NE26" s="32">
        <v>0</v>
      </c>
      <c r="NF26" s="32">
        <v>0</v>
      </c>
      <c r="NG26" s="32">
        <v>0</v>
      </c>
      <c r="NH26" s="32">
        <v>0</v>
      </c>
      <c r="NI26" s="32">
        <v>0</v>
      </c>
      <c r="NJ26" s="32">
        <v>0</v>
      </c>
      <c r="NK26" s="32">
        <v>0</v>
      </c>
      <c r="NL26" s="32">
        <v>0</v>
      </c>
      <c r="NM26" s="32">
        <v>0</v>
      </c>
      <c r="NN26" s="32">
        <v>0</v>
      </c>
      <c r="NO26" s="32">
        <v>0</v>
      </c>
      <c r="NP26" s="38">
        <f t="shared" si="35"/>
        <v>0</v>
      </c>
      <c r="NQ26" s="36">
        <f t="shared" si="36"/>
        <v>79</v>
      </c>
      <c r="NR26" s="36">
        <f t="shared" si="37"/>
        <v>378</v>
      </c>
      <c r="NS26" s="36">
        <f t="shared" si="38"/>
        <v>190</v>
      </c>
      <c r="NT26" s="36">
        <f t="shared" si="39"/>
        <v>647</v>
      </c>
      <c r="NU26" s="18"/>
      <c r="NV26" s="18"/>
      <c r="NW26" s="18"/>
      <c r="NX26" s="19"/>
      <c r="NY26" s="19"/>
      <c r="NZ26" s="19"/>
      <c r="OA26" s="19"/>
      <c r="OB26" s="19"/>
      <c r="OC26" s="19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8"/>
      <c r="OR26" s="18"/>
      <c r="OS26" s="18"/>
      <c r="OT26" s="18"/>
      <c r="OU26" s="18"/>
      <c r="OV26" s="18"/>
      <c r="OW26" s="18"/>
      <c r="OX26" s="19"/>
      <c r="OY26" s="19"/>
      <c r="OZ26" s="19"/>
      <c r="PA26" s="19"/>
      <c r="PB26" s="19"/>
      <c r="PC26" s="19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8"/>
      <c r="PR26" s="18"/>
      <c r="PS26" s="18"/>
      <c r="PT26" s="18"/>
      <c r="PU26" s="18"/>
      <c r="PV26" s="18"/>
      <c r="PW26" s="18"/>
      <c r="PX26" s="19"/>
      <c r="PY26" s="19"/>
      <c r="PZ26" s="19"/>
      <c r="QA26" s="19"/>
      <c r="QB26" s="19"/>
      <c r="QC26" s="19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</row>
    <row r="27" spans="1:458" s="1" customFormat="1" ht="50.1" customHeight="1" x14ac:dyDescent="0.25">
      <c r="A27" s="120"/>
      <c r="B27" s="6" t="s">
        <v>22</v>
      </c>
      <c r="C27" s="23"/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38">
        <f t="shared" si="7"/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38">
        <f t="shared" si="8"/>
        <v>0</v>
      </c>
      <c r="AD27" s="36">
        <f t="shared" si="9"/>
        <v>0</v>
      </c>
      <c r="AE27" s="26"/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8">
        <f t="shared" si="10"/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8">
        <f t="shared" si="11"/>
        <v>0</v>
      </c>
      <c r="BF27" s="36">
        <f t="shared" si="12"/>
        <v>0</v>
      </c>
      <c r="BG27" s="26"/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  <c r="BQ27" s="41">
        <v>0</v>
      </c>
      <c r="BR27" s="41">
        <v>0</v>
      </c>
      <c r="BS27" s="41">
        <v>0</v>
      </c>
      <c r="BT27" s="38">
        <f t="shared" si="13"/>
        <v>0</v>
      </c>
      <c r="BU27" s="56">
        <v>0</v>
      </c>
      <c r="BV27" s="56">
        <v>0</v>
      </c>
      <c r="BW27" s="56">
        <v>0</v>
      </c>
      <c r="BX27" s="56">
        <v>0</v>
      </c>
      <c r="BY27" s="56">
        <v>0</v>
      </c>
      <c r="BZ27" s="56">
        <v>0</v>
      </c>
      <c r="CA27" s="56">
        <v>0</v>
      </c>
      <c r="CB27" s="56">
        <v>0</v>
      </c>
      <c r="CC27" s="56">
        <v>0</v>
      </c>
      <c r="CD27" s="56">
        <v>0</v>
      </c>
      <c r="CE27" s="56">
        <v>0</v>
      </c>
      <c r="CF27" s="56">
        <v>0</v>
      </c>
      <c r="CG27" s="61">
        <f t="shared" si="14"/>
        <v>0</v>
      </c>
      <c r="CH27" s="57">
        <f t="shared" si="15"/>
        <v>0</v>
      </c>
      <c r="CI27" s="26"/>
      <c r="CJ27" s="32">
        <v>0</v>
      </c>
      <c r="CK27" s="32">
        <v>0</v>
      </c>
      <c r="CL27" s="32">
        <v>0</v>
      </c>
      <c r="CM27" s="32">
        <v>0</v>
      </c>
      <c r="CN27" s="32">
        <v>0</v>
      </c>
      <c r="CO27" s="32">
        <v>0</v>
      </c>
      <c r="CP27" s="32">
        <v>0</v>
      </c>
      <c r="CQ27" s="32">
        <v>0</v>
      </c>
      <c r="CR27" s="32">
        <v>0</v>
      </c>
      <c r="CS27" s="32">
        <v>0</v>
      </c>
      <c r="CT27" s="32">
        <v>0</v>
      </c>
      <c r="CU27" s="69">
        <v>0</v>
      </c>
      <c r="CV27" s="38">
        <f t="shared" si="16"/>
        <v>0</v>
      </c>
      <c r="CW27" s="45">
        <v>0</v>
      </c>
      <c r="CX27" s="45">
        <v>0</v>
      </c>
      <c r="CY27" s="45">
        <v>0</v>
      </c>
      <c r="CZ27" s="45">
        <v>0</v>
      </c>
      <c r="DA27" s="45">
        <v>0</v>
      </c>
      <c r="DB27" s="45">
        <v>0</v>
      </c>
      <c r="DC27" s="45">
        <v>0</v>
      </c>
      <c r="DD27" s="45">
        <v>0</v>
      </c>
      <c r="DE27" s="45">
        <v>0</v>
      </c>
      <c r="DF27" s="45">
        <v>0</v>
      </c>
      <c r="DG27" s="45">
        <v>0</v>
      </c>
      <c r="DH27" s="45">
        <v>0</v>
      </c>
      <c r="DI27" s="38">
        <f t="shared" si="0"/>
        <v>0</v>
      </c>
      <c r="DJ27" s="36">
        <f t="shared" si="17"/>
        <v>0</v>
      </c>
      <c r="DK27" s="26"/>
      <c r="DL27" s="75">
        <v>0</v>
      </c>
      <c r="DM27" s="75">
        <v>0</v>
      </c>
      <c r="DN27" s="75">
        <v>0</v>
      </c>
      <c r="DO27" s="75">
        <v>0</v>
      </c>
      <c r="DP27" s="75">
        <v>0</v>
      </c>
      <c r="DQ27" s="75">
        <v>0</v>
      </c>
      <c r="DR27" s="75">
        <v>0</v>
      </c>
      <c r="DS27" s="75">
        <v>0</v>
      </c>
      <c r="DT27" s="75">
        <v>0</v>
      </c>
      <c r="DU27" s="75">
        <v>0</v>
      </c>
      <c r="DV27" s="75">
        <v>0</v>
      </c>
      <c r="DW27" s="83">
        <v>0</v>
      </c>
      <c r="DX27" s="38">
        <f t="shared" si="1"/>
        <v>0</v>
      </c>
      <c r="DY27" s="63">
        <v>0</v>
      </c>
      <c r="DZ27" s="63">
        <v>0</v>
      </c>
      <c r="EA27" s="63">
        <v>0</v>
      </c>
      <c r="EB27" s="63">
        <v>0</v>
      </c>
      <c r="EC27" s="63">
        <v>0</v>
      </c>
      <c r="ED27" s="63">
        <v>0</v>
      </c>
      <c r="EE27" s="63">
        <v>0</v>
      </c>
      <c r="EF27" s="63">
        <v>0</v>
      </c>
      <c r="EG27" s="63">
        <v>0</v>
      </c>
      <c r="EH27" s="63">
        <v>0</v>
      </c>
      <c r="EI27" s="63">
        <v>0</v>
      </c>
      <c r="EJ27" s="63">
        <v>0</v>
      </c>
      <c r="EK27" s="38">
        <f t="shared" si="18"/>
        <v>0</v>
      </c>
      <c r="EL27" s="36">
        <f t="shared" si="19"/>
        <v>0</v>
      </c>
      <c r="EM27" s="26"/>
      <c r="EN27" s="32">
        <v>0</v>
      </c>
      <c r="EO27" s="32">
        <v>0</v>
      </c>
      <c r="EP27" s="32">
        <v>0</v>
      </c>
      <c r="EQ27" s="32">
        <v>0</v>
      </c>
      <c r="ER27" s="32">
        <v>0</v>
      </c>
      <c r="ES27" s="32">
        <v>0</v>
      </c>
      <c r="ET27" s="32">
        <v>0</v>
      </c>
      <c r="EU27" s="32">
        <v>0</v>
      </c>
      <c r="EV27" s="32">
        <v>0</v>
      </c>
      <c r="EW27" s="32">
        <v>0</v>
      </c>
      <c r="EX27" s="32">
        <v>0</v>
      </c>
      <c r="EY27" s="32">
        <v>0</v>
      </c>
      <c r="EZ27" s="38">
        <f t="shared" si="2"/>
        <v>0</v>
      </c>
      <c r="FA27" s="26"/>
      <c r="FB27" s="54">
        <v>0</v>
      </c>
      <c r="FC27" s="54">
        <v>0</v>
      </c>
      <c r="FD27" s="54">
        <v>0</v>
      </c>
      <c r="FE27" s="54">
        <v>0</v>
      </c>
      <c r="FF27" s="54">
        <v>0</v>
      </c>
      <c r="FG27" s="54">
        <v>0</v>
      </c>
      <c r="FH27" s="54">
        <v>0</v>
      </c>
      <c r="FI27" s="54">
        <v>0</v>
      </c>
      <c r="FJ27" s="54">
        <v>0</v>
      </c>
      <c r="FK27" s="54">
        <v>0</v>
      </c>
      <c r="FL27" s="54">
        <v>0</v>
      </c>
      <c r="FM27" s="54">
        <v>0</v>
      </c>
      <c r="FN27" s="38">
        <f t="shared" si="20"/>
        <v>0</v>
      </c>
      <c r="FO27" s="26"/>
      <c r="FP27" s="32">
        <v>0</v>
      </c>
      <c r="FQ27" s="32">
        <v>0</v>
      </c>
      <c r="FR27" s="32">
        <v>0</v>
      </c>
      <c r="FS27" s="32">
        <v>0</v>
      </c>
      <c r="FT27" s="32">
        <v>0</v>
      </c>
      <c r="FU27" s="32">
        <v>0</v>
      </c>
      <c r="FV27" s="32">
        <v>0</v>
      </c>
      <c r="FW27" s="32">
        <v>0</v>
      </c>
      <c r="FX27" s="32">
        <v>0</v>
      </c>
      <c r="FY27" s="32">
        <v>0</v>
      </c>
      <c r="FZ27" s="32">
        <v>0</v>
      </c>
      <c r="GA27" s="32">
        <v>0</v>
      </c>
      <c r="GB27" s="38">
        <f t="shared" si="21"/>
        <v>0</v>
      </c>
      <c r="GC27" s="26"/>
      <c r="GD27" s="32">
        <v>0</v>
      </c>
      <c r="GE27" s="32">
        <v>0</v>
      </c>
      <c r="GF27" s="32">
        <v>0</v>
      </c>
      <c r="GG27" s="32">
        <v>0</v>
      </c>
      <c r="GH27" s="32">
        <v>0</v>
      </c>
      <c r="GI27" s="32">
        <v>0</v>
      </c>
      <c r="GJ27" s="32">
        <v>0</v>
      </c>
      <c r="GK27" s="32">
        <v>0</v>
      </c>
      <c r="GL27" s="32">
        <v>0</v>
      </c>
      <c r="GM27" s="32">
        <v>0</v>
      </c>
      <c r="GN27" s="32">
        <v>0</v>
      </c>
      <c r="GO27" s="32">
        <v>0</v>
      </c>
      <c r="GP27" s="38">
        <f t="shared" si="22"/>
        <v>0</v>
      </c>
      <c r="GQ27" s="26"/>
      <c r="GR27" s="32">
        <v>0</v>
      </c>
      <c r="GS27" s="32">
        <v>0</v>
      </c>
      <c r="GT27" s="32">
        <v>0</v>
      </c>
      <c r="GU27" s="32">
        <v>0</v>
      </c>
      <c r="GV27" s="32">
        <v>0</v>
      </c>
      <c r="GW27" s="32">
        <v>0</v>
      </c>
      <c r="GX27" s="32">
        <v>0</v>
      </c>
      <c r="GY27" s="32">
        <v>0</v>
      </c>
      <c r="GZ27" s="32">
        <v>0</v>
      </c>
      <c r="HA27" s="32">
        <v>0</v>
      </c>
      <c r="HB27" s="32">
        <v>0</v>
      </c>
      <c r="HC27" s="32">
        <v>0</v>
      </c>
      <c r="HD27" s="38">
        <f t="shared" si="23"/>
        <v>0</v>
      </c>
      <c r="HE27" s="26"/>
      <c r="HF27" s="45">
        <v>0</v>
      </c>
      <c r="HG27" s="45">
        <v>0</v>
      </c>
      <c r="HH27" s="45">
        <v>0</v>
      </c>
      <c r="HI27" s="45">
        <v>0</v>
      </c>
      <c r="HJ27" s="45">
        <v>0</v>
      </c>
      <c r="HK27" s="45">
        <v>0</v>
      </c>
      <c r="HL27" s="45">
        <v>0</v>
      </c>
      <c r="HM27" s="45">
        <v>0</v>
      </c>
      <c r="HN27" s="45">
        <v>0</v>
      </c>
      <c r="HO27" s="45">
        <v>0</v>
      </c>
      <c r="HP27" s="45">
        <v>0</v>
      </c>
      <c r="HQ27" s="45">
        <v>0</v>
      </c>
      <c r="HR27" s="38">
        <f t="shared" si="24"/>
        <v>0</v>
      </c>
      <c r="HS27" s="26"/>
      <c r="HT27" s="32">
        <v>0</v>
      </c>
      <c r="HU27" s="32">
        <v>0</v>
      </c>
      <c r="HV27" s="32">
        <v>0</v>
      </c>
      <c r="HW27" s="32">
        <v>0</v>
      </c>
      <c r="HX27" s="32">
        <v>0</v>
      </c>
      <c r="HY27" s="32">
        <v>0</v>
      </c>
      <c r="HZ27" s="32">
        <v>0</v>
      </c>
      <c r="IA27" s="32">
        <v>0</v>
      </c>
      <c r="IB27" s="32">
        <v>0</v>
      </c>
      <c r="IC27" s="32">
        <v>0</v>
      </c>
      <c r="ID27" s="32">
        <v>0</v>
      </c>
      <c r="IE27" s="32">
        <v>0</v>
      </c>
      <c r="IF27" s="38">
        <f t="shared" si="3"/>
        <v>0</v>
      </c>
      <c r="IG27" s="104">
        <v>0</v>
      </c>
      <c r="IH27" s="104">
        <v>0</v>
      </c>
      <c r="II27" s="104">
        <v>0</v>
      </c>
      <c r="IJ27" s="104">
        <v>0</v>
      </c>
      <c r="IK27" s="104">
        <v>0</v>
      </c>
      <c r="IL27" s="104">
        <v>0</v>
      </c>
      <c r="IM27" s="104">
        <v>0</v>
      </c>
      <c r="IN27" s="104">
        <v>0</v>
      </c>
      <c r="IO27" s="104">
        <v>0</v>
      </c>
      <c r="IP27" s="104">
        <v>0</v>
      </c>
      <c r="IQ27" s="104">
        <v>0</v>
      </c>
      <c r="IR27" s="104">
        <v>0</v>
      </c>
      <c r="IS27" s="38">
        <f t="shared" si="25"/>
        <v>0</v>
      </c>
      <c r="IT27" s="36">
        <f t="shared" si="26"/>
        <v>0</v>
      </c>
      <c r="IU27" s="26"/>
      <c r="IV27" s="32">
        <v>0</v>
      </c>
      <c r="IW27" s="32">
        <v>0</v>
      </c>
      <c r="IX27" s="32">
        <v>0</v>
      </c>
      <c r="IY27" s="32">
        <v>0</v>
      </c>
      <c r="IZ27" s="32">
        <v>0</v>
      </c>
      <c r="JA27" s="32">
        <v>0</v>
      </c>
      <c r="JB27" s="32">
        <v>0</v>
      </c>
      <c r="JC27" s="32">
        <v>0</v>
      </c>
      <c r="JD27" s="32">
        <v>0</v>
      </c>
      <c r="JE27" s="32">
        <v>0</v>
      </c>
      <c r="JF27" s="32">
        <v>0</v>
      </c>
      <c r="JG27" s="32">
        <v>0</v>
      </c>
      <c r="JH27" s="38">
        <f t="shared" si="27"/>
        <v>0</v>
      </c>
      <c r="JI27" s="32">
        <v>0</v>
      </c>
      <c r="JJ27" s="32">
        <v>0</v>
      </c>
      <c r="JK27" s="32">
        <v>0</v>
      </c>
      <c r="JL27" s="32">
        <v>0</v>
      </c>
      <c r="JM27" s="32">
        <v>0</v>
      </c>
      <c r="JN27" s="32">
        <v>0</v>
      </c>
      <c r="JO27" s="32">
        <v>0</v>
      </c>
      <c r="JP27" s="32">
        <v>0</v>
      </c>
      <c r="JQ27" s="32">
        <v>0</v>
      </c>
      <c r="JR27" s="32">
        <v>0</v>
      </c>
      <c r="JS27" s="32">
        <v>0</v>
      </c>
      <c r="JT27" s="32">
        <v>0</v>
      </c>
      <c r="JU27" s="112">
        <f t="shared" si="4"/>
        <v>0</v>
      </c>
      <c r="JV27" s="36">
        <f t="shared" si="28"/>
        <v>0</v>
      </c>
      <c r="JW27" s="26"/>
      <c r="JX27" s="32">
        <v>0</v>
      </c>
      <c r="JY27" s="32">
        <v>0</v>
      </c>
      <c r="JZ27" s="32">
        <v>0</v>
      </c>
      <c r="KA27" s="32">
        <v>0</v>
      </c>
      <c r="KB27" s="32">
        <v>0</v>
      </c>
      <c r="KC27" s="32">
        <v>0</v>
      </c>
      <c r="KD27" s="32">
        <v>0</v>
      </c>
      <c r="KE27" s="32">
        <v>0</v>
      </c>
      <c r="KF27" s="32">
        <v>0</v>
      </c>
      <c r="KG27" s="32">
        <v>0</v>
      </c>
      <c r="KH27" s="32">
        <v>0</v>
      </c>
      <c r="KI27" s="32">
        <v>0</v>
      </c>
      <c r="KJ27" s="38">
        <f t="shared" si="29"/>
        <v>0</v>
      </c>
      <c r="KK27" s="32">
        <v>0</v>
      </c>
      <c r="KL27" s="32">
        <v>0</v>
      </c>
      <c r="KM27" s="32">
        <v>0</v>
      </c>
      <c r="KN27" s="32">
        <v>0</v>
      </c>
      <c r="KO27" s="32">
        <v>0</v>
      </c>
      <c r="KP27" s="32">
        <v>0</v>
      </c>
      <c r="KQ27" s="32">
        <v>0</v>
      </c>
      <c r="KR27" s="32">
        <v>0</v>
      </c>
      <c r="KS27" s="32">
        <v>0</v>
      </c>
      <c r="KT27" s="32">
        <v>0</v>
      </c>
      <c r="KU27" s="32">
        <v>0</v>
      </c>
      <c r="KV27" s="32">
        <v>0</v>
      </c>
      <c r="KW27" s="38">
        <f t="shared" si="5"/>
        <v>0</v>
      </c>
      <c r="KX27" s="36">
        <f t="shared" si="30"/>
        <v>0</v>
      </c>
      <c r="KY27" s="26"/>
      <c r="KZ27" s="32">
        <v>0</v>
      </c>
      <c r="LA27" s="32">
        <v>0</v>
      </c>
      <c r="LB27" s="32">
        <v>0</v>
      </c>
      <c r="LC27" s="32">
        <v>0</v>
      </c>
      <c r="LD27" s="32">
        <v>0</v>
      </c>
      <c r="LE27" s="32">
        <v>0</v>
      </c>
      <c r="LF27" s="32">
        <v>0</v>
      </c>
      <c r="LG27" s="32">
        <v>0</v>
      </c>
      <c r="LH27" s="32">
        <v>0</v>
      </c>
      <c r="LI27" s="32">
        <v>0</v>
      </c>
      <c r="LJ27" s="32">
        <v>0</v>
      </c>
      <c r="LK27" s="32">
        <v>0</v>
      </c>
      <c r="LL27" s="38">
        <f t="shared" si="6"/>
        <v>0</v>
      </c>
      <c r="LM27" s="26"/>
      <c r="LN27" s="71">
        <v>0</v>
      </c>
      <c r="LO27" s="71">
        <v>0</v>
      </c>
      <c r="LP27" s="71">
        <v>0</v>
      </c>
      <c r="LQ27" s="71">
        <v>0</v>
      </c>
      <c r="LR27" s="71">
        <v>0</v>
      </c>
      <c r="LS27" s="71">
        <v>0</v>
      </c>
      <c r="LT27" s="71">
        <v>0</v>
      </c>
      <c r="LU27" s="45">
        <v>0</v>
      </c>
      <c r="LV27" s="45">
        <v>0</v>
      </c>
      <c r="LW27" s="45">
        <v>0</v>
      </c>
      <c r="LX27" s="45">
        <v>0</v>
      </c>
      <c r="LY27" s="45">
        <v>0</v>
      </c>
      <c r="LZ27" s="38">
        <f t="shared" si="31"/>
        <v>0</v>
      </c>
      <c r="MA27" s="26"/>
      <c r="MB27" s="45">
        <v>0</v>
      </c>
      <c r="MC27" s="45">
        <v>0</v>
      </c>
      <c r="MD27" s="45">
        <v>0</v>
      </c>
      <c r="ME27" s="45">
        <v>0</v>
      </c>
      <c r="MF27" s="45">
        <v>0</v>
      </c>
      <c r="MG27" s="45">
        <v>0</v>
      </c>
      <c r="MH27" s="45">
        <v>0</v>
      </c>
      <c r="MI27" s="45">
        <v>0</v>
      </c>
      <c r="MJ27" s="45">
        <v>0</v>
      </c>
      <c r="MK27" s="45">
        <v>0</v>
      </c>
      <c r="ML27" s="45">
        <v>0</v>
      </c>
      <c r="MM27" s="45">
        <v>0</v>
      </c>
      <c r="MN27" s="38">
        <f t="shared" si="32"/>
        <v>0</v>
      </c>
      <c r="MO27" s="32">
        <v>0</v>
      </c>
      <c r="MP27" s="32">
        <v>0</v>
      </c>
      <c r="MQ27" s="32">
        <v>0</v>
      </c>
      <c r="MR27" s="32">
        <v>0</v>
      </c>
      <c r="MS27" s="32">
        <v>0</v>
      </c>
      <c r="MT27" s="32">
        <v>0</v>
      </c>
      <c r="MU27" s="32">
        <v>0</v>
      </c>
      <c r="MV27" s="32">
        <v>0</v>
      </c>
      <c r="MW27" s="32">
        <v>0</v>
      </c>
      <c r="MX27" s="32">
        <v>0</v>
      </c>
      <c r="MY27" s="32">
        <v>0</v>
      </c>
      <c r="MZ27" s="32">
        <v>0</v>
      </c>
      <c r="NA27" s="38">
        <f t="shared" si="33"/>
        <v>0</v>
      </c>
      <c r="NB27" s="36">
        <f t="shared" si="34"/>
        <v>0</v>
      </c>
      <c r="NC27" s="26"/>
      <c r="ND27" s="32">
        <v>0</v>
      </c>
      <c r="NE27" s="32">
        <v>0</v>
      </c>
      <c r="NF27" s="32">
        <v>0</v>
      </c>
      <c r="NG27" s="32">
        <v>0</v>
      </c>
      <c r="NH27" s="32">
        <v>0</v>
      </c>
      <c r="NI27" s="32">
        <v>0</v>
      </c>
      <c r="NJ27" s="32">
        <v>0</v>
      </c>
      <c r="NK27" s="32">
        <v>0</v>
      </c>
      <c r="NL27" s="32">
        <v>0</v>
      </c>
      <c r="NM27" s="32">
        <v>0</v>
      </c>
      <c r="NN27" s="32">
        <v>0</v>
      </c>
      <c r="NO27" s="32">
        <v>0</v>
      </c>
      <c r="NP27" s="38">
        <f t="shared" si="35"/>
        <v>0</v>
      </c>
      <c r="NQ27" s="36">
        <f t="shared" si="36"/>
        <v>0</v>
      </c>
      <c r="NR27" s="36">
        <f t="shared" si="37"/>
        <v>0</v>
      </c>
      <c r="NS27" s="36">
        <f t="shared" si="38"/>
        <v>0</v>
      </c>
      <c r="NT27" s="36">
        <f t="shared" si="39"/>
        <v>0</v>
      </c>
      <c r="NU27" s="18"/>
      <c r="NV27" s="18"/>
      <c r="NW27" s="18"/>
      <c r="NX27" s="19"/>
      <c r="NY27" s="19"/>
      <c r="NZ27" s="19"/>
      <c r="OA27" s="19"/>
      <c r="OB27" s="19"/>
      <c r="OC27" s="19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8"/>
      <c r="OR27" s="18"/>
      <c r="OS27" s="18"/>
      <c r="OT27" s="18"/>
      <c r="OU27" s="18"/>
      <c r="OV27" s="18"/>
      <c r="OW27" s="18"/>
      <c r="OX27" s="19"/>
      <c r="OY27" s="19"/>
      <c r="OZ27" s="19"/>
      <c r="PA27" s="19"/>
      <c r="PB27" s="19"/>
      <c r="PC27" s="19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8"/>
      <c r="PR27" s="18"/>
      <c r="PS27" s="18"/>
      <c r="PT27" s="18"/>
      <c r="PU27" s="18"/>
      <c r="PV27" s="18"/>
      <c r="PW27" s="18"/>
      <c r="PX27" s="19"/>
      <c r="PY27" s="19"/>
      <c r="PZ27" s="19"/>
      <c r="QA27" s="19"/>
      <c r="QB27" s="19"/>
      <c r="QC27" s="19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</row>
    <row r="28" spans="1:458" s="1" customFormat="1" ht="50.1" customHeight="1" x14ac:dyDescent="0.25">
      <c r="A28" s="120">
        <v>2020</v>
      </c>
      <c r="B28" s="6" t="s">
        <v>17</v>
      </c>
      <c r="C28" s="23"/>
      <c r="D28" s="41">
        <v>1517</v>
      </c>
      <c r="E28" s="41">
        <v>1362</v>
      </c>
      <c r="F28" s="41">
        <v>2077</v>
      </c>
      <c r="G28" s="41">
        <v>1216</v>
      </c>
      <c r="H28" s="41">
        <v>751</v>
      </c>
      <c r="I28" s="41">
        <v>661</v>
      </c>
      <c r="J28" s="41">
        <v>736</v>
      </c>
      <c r="K28" s="41">
        <v>766</v>
      </c>
      <c r="L28" s="41">
        <v>848</v>
      </c>
      <c r="M28" s="41">
        <v>948</v>
      </c>
      <c r="N28" s="41">
        <v>790</v>
      </c>
      <c r="O28" s="41">
        <v>690</v>
      </c>
      <c r="P28" s="38">
        <f t="shared" si="7"/>
        <v>12362</v>
      </c>
      <c r="Q28" s="49">
        <v>1731</v>
      </c>
      <c r="R28" s="49">
        <v>1839</v>
      </c>
      <c r="S28" s="49">
        <v>2644</v>
      </c>
      <c r="T28" s="49">
        <v>2180</v>
      </c>
      <c r="U28" s="49">
        <v>1721</v>
      </c>
      <c r="V28" s="49">
        <v>1639</v>
      </c>
      <c r="W28" s="49">
        <v>1838</v>
      </c>
      <c r="X28" s="49">
        <v>1999</v>
      </c>
      <c r="Y28" s="49">
        <v>1856</v>
      </c>
      <c r="Z28" s="49">
        <v>1856</v>
      </c>
      <c r="AA28" s="49">
        <v>1786</v>
      </c>
      <c r="AB28" s="49">
        <v>2231</v>
      </c>
      <c r="AC28" s="38">
        <f>SUM(Q28:AB28)</f>
        <v>23320</v>
      </c>
      <c r="AD28" s="36">
        <f>SUM(P28+AC28)</f>
        <v>35682</v>
      </c>
      <c r="AE28" s="26"/>
      <c r="AF28" s="32">
        <v>131</v>
      </c>
      <c r="AG28" s="32">
        <v>139</v>
      </c>
      <c r="AH28" s="32">
        <v>143</v>
      </c>
      <c r="AI28" s="32">
        <v>135</v>
      </c>
      <c r="AJ28" s="32">
        <v>151</v>
      </c>
      <c r="AK28" s="32">
        <v>142</v>
      </c>
      <c r="AL28" s="32">
        <v>154</v>
      </c>
      <c r="AM28" s="32">
        <v>132</v>
      </c>
      <c r="AN28" s="32">
        <v>80</v>
      </c>
      <c r="AO28" s="32">
        <v>129</v>
      </c>
      <c r="AP28" s="32">
        <v>134</v>
      </c>
      <c r="AQ28" s="32">
        <v>164</v>
      </c>
      <c r="AR28" s="38">
        <f t="shared" si="10"/>
        <v>1634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8">
        <f t="shared" si="11"/>
        <v>0</v>
      </c>
      <c r="BF28" s="36">
        <f t="shared" si="12"/>
        <v>1634</v>
      </c>
      <c r="BG28" s="26"/>
      <c r="BH28" s="41">
        <v>214</v>
      </c>
      <c r="BI28" s="41">
        <v>274</v>
      </c>
      <c r="BJ28" s="41">
        <v>344</v>
      </c>
      <c r="BK28" s="41">
        <v>164</v>
      </c>
      <c r="BL28" s="41">
        <v>79</v>
      </c>
      <c r="BM28" s="41">
        <v>125</v>
      </c>
      <c r="BN28" s="41">
        <v>157</v>
      </c>
      <c r="BO28" s="41">
        <v>130</v>
      </c>
      <c r="BP28" s="41">
        <v>114</v>
      </c>
      <c r="BQ28" s="41">
        <v>190</v>
      </c>
      <c r="BR28" s="41">
        <v>155</v>
      </c>
      <c r="BS28" s="41">
        <v>111</v>
      </c>
      <c r="BT28" s="38">
        <f t="shared" si="13"/>
        <v>2057</v>
      </c>
      <c r="BU28" s="56">
        <v>241</v>
      </c>
      <c r="BV28" s="56">
        <v>341</v>
      </c>
      <c r="BW28" s="56">
        <v>291</v>
      </c>
      <c r="BX28" s="56">
        <v>186</v>
      </c>
      <c r="BY28" s="56">
        <v>211</v>
      </c>
      <c r="BZ28" s="56">
        <v>316</v>
      </c>
      <c r="CA28" s="56">
        <v>323</v>
      </c>
      <c r="CB28" s="56">
        <v>350</v>
      </c>
      <c r="CC28" s="56">
        <v>349</v>
      </c>
      <c r="CD28" s="56">
        <v>357</v>
      </c>
      <c r="CE28" s="56">
        <v>324</v>
      </c>
      <c r="CF28" s="56">
        <v>334</v>
      </c>
      <c r="CG28" s="61">
        <f t="shared" si="14"/>
        <v>3623</v>
      </c>
      <c r="CH28" s="57">
        <f t="shared" si="15"/>
        <v>5680</v>
      </c>
      <c r="CI28" s="26"/>
      <c r="CJ28" s="32">
        <v>181</v>
      </c>
      <c r="CK28" s="32">
        <v>272</v>
      </c>
      <c r="CL28" s="32">
        <v>300</v>
      </c>
      <c r="CM28" s="32">
        <v>69</v>
      </c>
      <c r="CN28" s="32">
        <v>30</v>
      </c>
      <c r="CO28" s="32">
        <v>77</v>
      </c>
      <c r="CP28" s="32">
        <v>59</v>
      </c>
      <c r="CQ28" s="32">
        <v>31</v>
      </c>
      <c r="CR28" s="32">
        <v>190</v>
      </c>
      <c r="CS28" s="32">
        <v>60</v>
      </c>
      <c r="CT28" s="32">
        <v>280</v>
      </c>
      <c r="CU28" s="69">
        <v>58</v>
      </c>
      <c r="CV28" s="38">
        <f t="shared" si="16"/>
        <v>1607</v>
      </c>
      <c r="CW28" s="45">
        <v>843</v>
      </c>
      <c r="CX28" s="45">
        <v>899</v>
      </c>
      <c r="CY28" s="45">
        <v>751</v>
      </c>
      <c r="CZ28" s="45">
        <v>603</v>
      </c>
      <c r="DA28" s="45">
        <v>633</v>
      </c>
      <c r="DB28" s="45">
        <v>836</v>
      </c>
      <c r="DC28" s="45">
        <v>778</v>
      </c>
      <c r="DD28" s="45">
        <v>716</v>
      </c>
      <c r="DE28" s="45">
        <v>787</v>
      </c>
      <c r="DF28" s="45">
        <v>1054</v>
      </c>
      <c r="DG28" s="45">
        <v>587</v>
      </c>
      <c r="DH28" s="45">
        <v>453</v>
      </c>
      <c r="DI28" s="38">
        <f t="shared" si="0"/>
        <v>8940</v>
      </c>
      <c r="DJ28" s="36">
        <f t="shared" si="17"/>
        <v>10547</v>
      </c>
      <c r="DK28" s="26"/>
      <c r="DL28" s="75">
        <v>11</v>
      </c>
      <c r="DM28" s="75">
        <v>6</v>
      </c>
      <c r="DN28" s="75">
        <v>12</v>
      </c>
      <c r="DO28" s="75">
        <v>25</v>
      </c>
      <c r="DP28" s="75">
        <v>118</v>
      </c>
      <c r="DQ28" s="75">
        <v>108</v>
      </c>
      <c r="DR28" s="75">
        <v>79</v>
      </c>
      <c r="DS28" s="75">
        <v>83</v>
      </c>
      <c r="DT28" s="75">
        <v>20</v>
      </c>
      <c r="DU28" s="75">
        <v>70</v>
      </c>
      <c r="DV28" s="75">
        <v>53</v>
      </c>
      <c r="DW28" s="83">
        <v>90</v>
      </c>
      <c r="DX28" s="38">
        <f t="shared" si="1"/>
        <v>675</v>
      </c>
      <c r="DY28" s="65">
        <v>625</v>
      </c>
      <c r="DZ28" s="65">
        <v>552</v>
      </c>
      <c r="EA28" s="65">
        <v>486</v>
      </c>
      <c r="EB28" s="65">
        <v>338</v>
      </c>
      <c r="EC28" s="65">
        <v>270</v>
      </c>
      <c r="ED28" s="65">
        <v>228</v>
      </c>
      <c r="EE28" s="65">
        <v>315</v>
      </c>
      <c r="EF28" s="65">
        <v>350</v>
      </c>
      <c r="EG28" s="65">
        <v>515</v>
      </c>
      <c r="EH28" s="65">
        <v>587</v>
      </c>
      <c r="EI28" s="65">
        <v>467</v>
      </c>
      <c r="EJ28" s="65">
        <v>554</v>
      </c>
      <c r="EK28" s="38">
        <f t="shared" si="18"/>
        <v>5287</v>
      </c>
      <c r="EL28" s="36">
        <f t="shared" si="19"/>
        <v>5962</v>
      </c>
      <c r="EM28" s="26"/>
      <c r="EN28" s="101">
        <v>833</v>
      </c>
      <c r="EO28" s="101">
        <v>727</v>
      </c>
      <c r="EP28" s="101">
        <v>718</v>
      </c>
      <c r="EQ28" s="101">
        <v>502</v>
      </c>
      <c r="ER28" s="101">
        <v>717</v>
      </c>
      <c r="ES28" s="101">
        <v>757</v>
      </c>
      <c r="ET28" s="101">
        <v>1071</v>
      </c>
      <c r="EU28" s="101">
        <v>1211</v>
      </c>
      <c r="EV28" s="101">
        <v>957</v>
      </c>
      <c r="EW28" s="101">
        <v>1063</v>
      </c>
      <c r="EX28" s="101">
        <v>690</v>
      </c>
      <c r="EY28" s="101">
        <v>660</v>
      </c>
      <c r="EZ28" s="38">
        <f t="shared" si="2"/>
        <v>9906</v>
      </c>
      <c r="FA28" s="26"/>
      <c r="FB28" s="54">
        <v>541</v>
      </c>
      <c r="FC28" s="54">
        <v>455</v>
      </c>
      <c r="FD28" s="54">
        <v>320</v>
      </c>
      <c r="FE28" s="54">
        <v>280</v>
      </c>
      <c r="FF28" s="54">
        <v>816</v>
      </c>
      <c r="FG28" s="54">
        <v>414</v>
      </c>
      <c r="FH28" s="54">
        <v>413</v>
      </c>
      <c r="FI28" s="54">
        <v>430</v>
      </c>
      <c r="FJ28" s="54">
        <v>408</v>
      </c>
      <c r="FK28" s="54">
        <v>398</v>
      </c>
      <c r="FL28" s="54">
        <v>393</v>
      </c>
      <c r="FM28" s="54">
        <v>300</v>
      </c>
      <c r="FN28" s="38">
        <f t="shared" si="20"/>
        <v>5168</v>
      </c>
      <c r="FO28" s="26"/>
      <c r="FP28" s="32">
        <v>361</v>
      </c>
      <c r="FQ28" s="32">
        <v>331</v>
      </c>
      <c r="FR28" s="32">
        <v>214</v>
      </c>
      <c r="FS28" s="32">
        <v>60</v>
      </c>
      <c r="FT28" s="32">
        <v>42</v>
      </c>
      <c r="FU28" s="32">
        <v>15</v>
      </c>
      <c r="FV28" s="32">
        <v>36</v>
      </c>
      <c r="FW28" s="32">
        <v>57</v>
      </c>
      <c r="FX28" s="32">
        <v>68</v>
      </c>
      <c r="FY28" s="32">
        <v>41</v>
      </c>
      <c r="FZ28" s="32">
        <v>60</v>
      </c>
      <c r="GA28" s="32">
        <v>51</v>
      </c>
      <c r="GB28" s="38">
        <f t="shared" si="21"/>
        <v>1336</v>
      </c>
      <c r="GC28" s="26"/>
      <c r="GD28" s="101">
        <v>138</v>
      </c>
      <c r="GE28" s="101">
        <v>288</v>
      </c>
      <c r="GF28" s="101">
        <v>189</v>
      </c>
      <c r="GG28" s="101">
        <v>79</v>
      </c>
      <c r="GH28" s="101">
        <v>88</v>
      </c>
      <c r="GI28" s="101">
        <v>137</v>
      </c>
      <c r="GJ28" s="101">
        <v>155</v>
      </c>
      <c r="GK28" s="101">
        <v>118</v>
      </c>
      <c r="GL28" s="101">
        <v>245</v>
      </c>
      <c r="GM28" s="101">
        <v>315</v>
      </c>
      <c r="GN28" s="101">
        <v>215</v>
      </c>
      <c r="GO28" s="101">
        <v>299</v>
      </c>
      <c r="GP28" s="38">
        <f t="shared" si="22"/>
        <v>2266</v>
      </c>
      <c r="GQ28" s="26"/>
      <c r="GR28" s="32">
        <v>32</v>
      </c>
      <c r="GS28" s="32">
        <v>14</v>
      </c>
      <c r="GT28" s="32">
        <v>17</v>
      </c>
      <c r="GU28" s="32">
        <v>9</v>
      </c>
      <c r="GV28" s="32">
        <v>6</v>
      </c>
      <c r="GW28" s="32">
        <v>11</v>
      </c>
      <c r="GX28" s="32">
        <v>9</v>
      </c>
      <c r="GY28" s="32">
        <v>16</v>
      </c>
      <c r="GZ28" s="32">
        <v>18</v>
      </c>
      <c r="HA28" s="32">
        <v>12</v>
      </c>
      <c r="HB28" s="32">
        <v>9</v>
      </c>
      <c r="HC28" s="32">
        <v>14</v>
      </c>
      <c r="HD28" s="38">
        <f t="shared" si="23"/>
        <v>167</v>
      </c>
      <c r="HE28" s="26"/>
      <c r="HF28" s="45">
        <v>680</v>
      </c>
      <c r="HG28" s="45">
        <v>710</v>
      </c>
      <c r="HH28" s="45">
        <v>628</v>
      </c>
      <c r="HI28" s="45">
        <v>372</v>
      </c>
      <c r="HJ28" s="45">
        <v>602</v>
      </c>
      <c r="HK28" s="45">
        <v>575</v>
      </c>
      <c r="HL28" s="45">
        <v>621</v>
      </c>
      <c r="HM28" s="45">
        <v>660</v>
      </c>
      <c r="HN28" s="45">
        <v>607</v>
      </c>
      <c r="HO28" s="45">
        <v>669</v>
      </c>
      <c r="HP28" s="45">
        <v>560</v>
      </c>
      <c r="HQ28" s="45">
        <v>488</v>
      </c>
      <c r="HR28" s="38">
        <f t="shared" si="24"/>
        <v>7172</v>
      </c>
      <c r="HS28" s="26"/>
      <c r="HT28" s="32">
        <v>450</v>
      </c>
      <c r="HU28" s="32">
        <v>377</v>
      </c>
      <c r="HV28" s="32">
        <v>427</v>
      </c>
      <c r="HW28" s="32">
        <v>125</v>
      </c>
      <c r="HX28" s="32">
        <v>110</v>
      </c>
      <c r="HY28" s="32">
        <v>172</v>
      </c>
      <c r="HZ28" s="32">
        <v>201</v>
      </c>
      <c r="IA28" s="32">
        <v>183</v>
      </c>
      <c r="IB28" s="32">
        <v>279</v>
      </c>
      <c r="IC28" s="32">
        <v>143</v>
      </c>
      <c r="ID28" s="32">
        <v>182</v>
      </c>
      <c r="IE28" s="32">
        <v>178</v>
      </c>
      <c r="IF28" s="38">
        <f t="shared" si="3"/>
        <v>2827</v>
      </c>
      <c r="IG28" s="104">
        <v>219</v>
      </c>
      <c r="IH28" s="104">
        <v>162</v>
      </c>
      <c r="II28" s="104">
        <v>197</v>
      </c>
      <c r="IJ28" s="104">
        <v>139</v>
      </c>
      <c r="IK28" s="104">
        <v>147</v>
      </c>
      <c r="IL28" s="104">
        <v>253</v>
      </c>
      <c r="IM28" s="104">
        <v>235</v>
      </c>
      <c r="IN28" s="104">
        <v>179</v>
      </c>
      <c r="IO28" s="104">
        <v>179</v>
      </c>
      <c r="IP28" s="104">
        <v>224</v>
      </c>
      <c r="IQ28" s="104">
        <v>238</v>
      </c>
      <c r="IR28" s="104">
        <v>130</v>
      </c>
      <c r="IS28" s="38">
        <f t="shared" si="25"/>
        <v>2302</v>
      </c>
      <c r="IT28" s="36">
        <f t="shared" si="26"/>
        <v>5129</v>
      </c>
      <c r="IU28" s="26"/>
      <c r="IV28" s="32">
        <v>206</v>
      </c>
      <c r="IW28" s="32">
        <v>208</v>
      </c>
      <c r="IX28" s="32">
        <v>220</v>
      </c>
      <c r="IY28" s="32">
        <v>250</v>
      </c>
      <c r="IZ28" s="32">
        <v>236</v>
      </c>
      <c r="JA28" s="32">
        <v>243</v>
      </c>
      <c r="JB28" s="32">
        <v>195</v>
      </c>
      <c r="JC28" s="32">
        <v>180</v>
      </c>
      <c r="JD28" s="32">
        <v>160</v>
      </c>
      <c r="JE28" s="32">
        <v>165</v>
      </c>
      <c r="JF28" s="32">
        <v>163</v>
      </c>
      <c r="JG28" s="32">
        <v>178</v>
      </c>
      <c r="JH28" s="38">
        <f t="shared" si="27"/>
        <v>2404</v>
      </c>
      <c r="JI28" s="97">
        <v>978</v>
      </c>
      <c r="JJ28" s="97">
        <v>978.6</v>
      </c>
      <c r="JK28" s="97">
        <v>598</v>
      </c>
      <c r="JL28" s="97">
        <v>420.6</v>
      </c>
      <c r="JM28" s="97">
        <v>463.40000000000003</v>
      </c>
      <c r="JN28" s="97">
        <v>497</v>
      </c>
      <c r="JO28" s="97">
        <v>253.20000000000002</v>
      </c>
      <c r="JP28" s="97">
        <v>472.20000000000005</v>
      </c>
      <c r="JQ28" s="97">
        <v>412.20000000000005</v>
      </c>
      <c r="JR28" s="97">
        <v>442.20000000000005</v>
      </c>
      <c r="JS28" s="97">
        <v>584.20000000000005</v>
      </c>
      <c r="JT28" s="97">
        <v>508.40000000000003</v>
      </c>
      <c r="JU28" s="112">
        <f t="shared" si="4"/>
        <v>6607.9999999999991</v>
      </c>
      <c r="JV28" s="36">
        <f t="shared" si="28"/>
        <v>9012</v>
      </c>
      <c r="JW28" s="26"/>
      <c r="JX28" s="32">
        <v>166</v>
      </c>
      <c r="JY28" s="32">
        <v>154</v>
      </c>
      <c r="JZ28" s="32">
        <v>101</v>
      </c>
      <c r="KA28" s="32">
        <v>89</v>
      </c>
      <c r="KB28" s="32">
        <v>75</v>
      </c>
      <c r="KC28" s="32">
        <v>95</v>
      </c>
      <c r="KD28" s="32">
        <v>112</v>
      </c>
      <c r="KE28" s="32">
        <v>122</v>
      </c>
      <c r="KF28" s="32">
        <v>145</v>
      </c>
      <c r="KG28" s="32">
        <v>71</v>
      </c>
      <c r="KH28" s="32">
        <v>49</v>
      </c>
      <c r="KI28" s="32">
        <v>65</v>
      </c>
      <c r="KJ28" s="38">
        <f t="shared" si="29"/>
        <v>1244</v>
      </c>
      <c r="KK28" s="114">
        <v>320</v>
      </c>
      <c r="KL28" s="114">
        <v>321</v>
      </c>
      <c r="KM28" s="114">
        <v>353</v>
      </c>
      <c r="KN28" s="114">
        <v>237</v>
      </c>
      <c r="KO28" s="114">
        <v>302</v>
      </c>
      <c r="KP28" s="114">
        <v>513</v>
      </c>
      <c r="KQ28" s="114">
        <v>598</v>
      </c>
      <c r="KR28" s="114">
        <v>309</v>
      </c>
      <c r="KS28" s="114">
        <v>584</v>
      </c>
      <c r="KT28" s="114">
        <v>496</v>
      </c>
      <c r="KU28" s="114">
        <v>491</v>
      </c>
      <c r="KV28" s="114">
        <v>793</v>
      </c>
      <c r="KW28" s="38">
        <f t="shared" si="5"/>
        <v>5317</v>
      </c>
      <c r="KX28" s="36">
        <f t="shared" si="30"/>
        <v>6561</v>
      </c>
      <c r="KY28" s="26"/>
      <c r="KZ28" s="101">
        <v>92</v>
      </c>
      <c r="LA28" s="101">
        <v>70</v>
      </c>
      <c r="LB28" s="101">
        <v>110</v>
      </c>
      <c r="LC28" s="101">
        <v>117</v>
      </c>
      <c r="LD28" s="101">
        <v>184</v>
      </c>
      <c r="LE28" s="101">
        <v>141</v>
      </c>
      <c r="LF28" s="101">
        <v>125</v>
      </c>
      <c r="LG28" s="101">
        <v>219</v>
      </c>
      <c r="LH28" s="101">
        <v>283</v>
      </c>
      <c r="LI28" s="101">
        <v>313</v>
      </c>
      <c r="LJ28" s="101">
        <v>194</v>
      </c>
      <c r="LK28" s="101">
        <v>231</v>
      </c>
      <c r="LL28" s="38">
        <f t="shared" si="6"/>
        <v>2079</v>
      </c>
      <c r="LM28" s="26"/>
      <c r="LN28" s="71">
        <v>890</v>
      </c>
      <c r="LO28" s="71">
        <v>880</v>
      </c>
      <c r="LP28" s="71">
        <v>883</v>
      </c>
      <c r="LQ28" s="71">
        <v>821</v>
      </c>
      <c r="LR28" s="71">
        <v>760</v>
      </c>
      <c r="LS28" s="71">
        <v>758</v>
      </c>
      <c r="LT28" s="71">
        <v>1613</v>
      </c>
      <c r="LU28" s="45">
        <v>788</v>
      </c>
      <c r="LV28" s="45">
        <v>684</v>
      </c>
      <c r="LW28" s="45">
        <v>699</v>
      </c>
      <c r="LX28" s="45">
        <v>590</v>
      </c>
      <c r="LY28" s="45">
        <v>693</v>
      </c>
      <c r="LZ28" s="38">
        <f t="shared" si="31"/>
        <v>10059</v>
      </c>
      <c r="MA28" s="26"/>
      <c r="MB28" s="45">
        <v>1195</v>
      </c>
      <c r="MC28" s="45">
        <v>931</v>
      </c>
      <c r="MD28" s="45">
        <v>829</v>
      </c>
      <c r="ME28" s="45">
        <v>678</v>
      </c>
      <c r="MF28" s="45">
        <v>865</v>
      </c>
      <c r="MG28" s="45">
        <v>696</v>
      </c>
      <c r="MH28" s="45">
        <v>837</v>
      </c>
      <c r="MI28" s="45">
        <v>698</v>
      </c>
      <c r="MJ28" s="45">
        <v>860</v>
      </c>
      <c r="MK28" s="45">
        <v>1094</v>
      </c>
      <c r="ML28" s="45">
        <v>1190</v>
      </c>
      <c r="MM28" s="45">
        <v>795</v>
      </c>
      <c r="MN28" s="38">
        <f t="shared" si="32"/>
        <v>10668</v>
      </c>
      <c r="MO28" s="32">
        <v>795</v>
      </c>
      <c r="MP28" s="32">
        <v>545</v>
      </c>
      <c r="MQ28" s="32">
        <v>398</v>
      </c>
      <c r="MR28" s="32">
        <v>169</v>
      </c>
      <c r="MS28" s="32">
        <v>273</v>
      </c>
      <c r="MT28" s="32">
        <v>282</v>
      </c>
      <c r="MU28" s="32">
        <v>264</v>
      </c>
      <c r="MV28" s="32">
        <v>309</v>
      </c>
      <c r="MW28" s="32">
        <v>341</v>
      </c>
      <c r="MX28" s="32">
        <v>414</v>
      </c>
      <c r="MY28" s="32">
        <v>477</v>
      </c>
      <c r="MZ28" s="32">
        <v>422</v>
      </c>
      <c r="NA28" s="38">
        <f t="shared" si="33"/>
        <v>4689</v>
      </c>
      <c r="NB28" s="36">
        <f t="shared" si="34"/>
        <v>15357</v>
      </c>
      <c r="NC28" s="26"/>
      <c r="ND28" s="101">
        <v>111</v>
      </c>
      <c r="NE28" s="101">
        <v>110</v>
      </c>
      <c r="NF28" s="101">
        <v>92</v>
      </c>
      <c r="NG28" s="101">
        <v>84</v>
      </c>
      <c r="NH28" s="101">
        <v>73</v>
      </c>
      <c r="NI28" s="101">
        <v>123</v>
      </c>
      <c r="NJ28" s="101">
        <v>221</v>
      </c>
      <c r="NK28" s="101">
        <v>163</v>
      </c>
      <c r="NL28" s="101">
        <v>139</v>
      </c>
      <c r="NM28" s="101">
        <v>189</v>
      </c>
      <c r="NN28" s="101">
        <v>132</v>
      </c>
      <c r="NO28" s="101">
        <v>137</v>
      </c>
      <c r="NP28" s="38">
        <f t="shared" si="35"/>
        <v>1574</v>
      </c>
      <c r="NQ28" s="36">
        <f t="shared" si="36"/>
        <v>22573</v>
      </c>
      <c r="NR28" s="36">
        <f t="shared" si="37"/>
        <v>78101</v>
      </c>
      <c r="NS28" s="36">
        <f t="shared" si="38"/>
        <v>34617</v>
      </c>
      <c r="NT28" s="36">
        <f t="shared" si="39"/>
        <v>135291</v>
      </c>
      <c r="NU28" s="18"/>
      <c r="NV28" s="18"/>
      <c r="NW28" s="18"/>
      <c r="NX28" s="19"/>
      <c r="NY28" s="19"/>
      <c r="NZ28" s="19"/>
      <c r="OA28" s="19"/>
      <c r="OB28" s="19"/>
      <c r="OC28" s="19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8"/>
      <c r="OR28" s="18"/>
      <c r="OS28" s="18"/>
      <c r="OT28" s="18"/>
      <c r="OU28" s="18"/>
      <c r="OV28" s="18"/>
      <c r="OW28" s="18"/>
      <c r="OX28" s="19"/>
      <c r="OY28" s="19"/>
      <c r="OZ28" s="19"/>
      <c r="PA28" s="19"/>
      <c r="PB28" s="19"/>
      <c r="PC28" s="19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8"/>
      <c r="PR28" s="18"/>
      <c r="PS28" s="18"/>
      <c r="PT28" s="18"/>
      <c r="PU28" s="18"/>
      <c r="PV28" s="18"/>
      <c r="PW28" s="18"/>
      <c r="PX28" s="19"/>
      <c r="PY28" s="19"/>
      <c r="PZ28" s="19"/>
      <c r="QA28" s="19"/>
      <c r="QB28" s="19"/>
      <c r="QC28" s="19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</row>
    <row r="29" spans="1:458" s="1" customFormat="1" ht="50.1" customHeight="1" x14ac:dyDescent="0.25">
      <c r="A29" s="120"/>
      <c r="B29" s="6" t="s">
        <v>18</v>
      </c>
      <c r="C29" s="23"/>
      <c r="D29" s="41">
        <v>20.454545454545453</v>
      </c>
      <c r="E29" s="41">
        <v>27</v>
      </c>
      <c r="F29" s="41">
        <v>37</v>
      </c>
      <c r="G29" s="41">
        <v>29</v>
      </c>
      <c r="H29" s="41">
        <v>32</v>
      </c>
      <c r="I29" s="41">
        <v>7</v>
      </c>
      <c r="J29" s="41">
        <v>28</v>
      </c>
      <c r="K29" s="41">
        <v>29</v>
      </c>
      <c r="L29" s="41">
        <v>43</v>
      </c>
      <c r="M29" s="41">
        <v>17</v>
      </c>
      <c r="N29" s="41">
        <v>9</v>
      </c>
      <c r="O29" s="41">
        <v>13</v>
      </c>
      <c r="P29" s="38">
        <f t="shared" si="7"/>
        <v>291.45454545454544</v>
      </c>
      <c r="Q29" s="49">
        <v>1097</v>
      </c>
      <c r="R29" s="49">
        <v>787</v>
      </c>
      <c r="S29" s="49">
        <v>809</v>
      </c>
      <c r="T29" s="49">
        <v>419</v>
      </c>
      <c r="U29" s="49">
        <v>243</v>
      </c>
      <c r="V29" s="49">
        <v>247</v>
      </c>
      <c r="W29" s="49">
        <v>367</v>
      </c>
      <c r="X29" s="49">
        <v>370</v>
      </c>
      <c r="Y29" s="49">
        <v>494</v>
      </c>
      <c r="Z29" s="49">
        <v>494</v>
      </c>
      <c r="AA29" s="49">
        <v>680</v>
      </c>
      <c r="AB29" s="49">
        <v>694</v>
      </c>
      <c r="AC29" s="38">
        <f t="shared" si="8"/>
        <v>6701</v>
      </c>
      <c r="AD29" s="36">
        <f t="shared" si="9"/>
        <v>6992.454545454545</v>
      </c>
      <c r="AE29" s="26"/>
      <c r="AF29" s="32">
        <v>2</v>
      </c>
      <c r="AG29" s="32">
        <v>1</v>
      </c>
      <c r="AH29" s="32">
        <v>3</v>
      </c>
      <c r="AI29" s="32">
        <v>2</v>
      </c>
      <c r="AJ29" s="32">
        <v>4</v>
      </c>
      <c r="AK29" s="32">
        <v>3</v>
      </c>
      <c r="AL29" s="32">
        <v>3</v>
      </c>
      <c r="AM29" s="32">
        <v>0</v>
      </c>
      <c r="AN29" s="32">
        <v>4</v>
      </c>
      <c r="AO29" s="32">
        <v>2</v>
      </c>
      <c r="AP29" s="32">
        <v>3</v>
      </c>
      <c r="AQ29" s="32">
        <v>6</v>
      </c>
      <c r="AR29" s="38">
        <f t="shared" si="10"/>
        <v>33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8">
        <f t="shared" si="11"/>
        <v>0</v>
      </c>
      <c r="BF29" s="36">
        <f t="shared" si="12"/>
        <v>33</v>
      </c>
      <c r="BG29" s="26"/>
      <c r="BH29" s="41">
        <v>33</v>
      </c>
      <c r="BI29" s="41">
        <v>24</v>
      </c>
      <c r="BJ29" s="41">
        <v>37</v>
      </c>
      <c r="BK29" s="41">
        <v>22</v>
      </c>
      <c r="BL29" s="41">
        <v>10</v>
      </c>
      <c r="BM29" s="41">
        <v>27</v>
      </c>
      <c r="BN29" s="41">
        <v>20</v>
      </c>
      <c r="BO29" s="41">
        <v>24</v>
      </c>
      <c r="BP29" s="41">
        <v>27</v>
      </c>
      <c r="BQ29" s="41">
        <v>43</v>
      </c>
      <c r="BR29" s="41">
        <v>36</v>
      </c>
      <c r="BS29" s="41">
        <v>26</v>
      </c>
      <c r="BT29" s="38">
        <f t="shared" si="13"/>
        <v>329</v>
      </c>
      <c r="BU29" s="56">
        <v>18</v>
      </c>
      <c r="BV29" s="56">
        <v>24</v>
      </c>
      <c r="BW29" s="56">
        <v>22</v>
      </c>
      <c r="BX29" s="56">
        <v>10</v>
      </c>
      <c r="BY29" s="56">
        <v>6</v>
      </c>
      <c r="BZ29" s="56">
        <v>11</v>
      </c>
      <c r="CA29" s="56">
        <v>9</v>
      </c>
      <c r="CB29" s="56">
        <v>8</v>
      </c>
      <c r="CC29" s="56">
        <v>6</v>
      </c>
      <c r="CD29" s="56">
        <v>31</v>
      </c>
      <c r="CE29" s="56">
        <v>27</v>
      </c>
      <c r="CF29" s="56">
        <v>26</v>
      </c>
      <c r="CG29" s="61">
        <f t="shared" si="14"/>
        <v>198</v>
      </c>
      <c r="CH29" s="57">
        <f t="shared" si="15"/>
        <v>527</v>
      </c>
      <c r="CI29" s="26"/>
      <c r="CJ29" s="32">
        <v>17</v>
      </c>
      <c r="CK29" s="32">
        <v>11</v>
      </c>
      <c r="CL29" s="32">
        <v>58</v>
      </c>
      <c r="CM29" s="32">
        <v>35</v>
      </c>
      <c r="CN29" s="32">
        <v>13</v>
      </c>
      <c r="CO29" s="32">
        <v>13</v>
      </c>
      <c r="CP29" s="32">
        <v>9</v>
      </c>
      <c r="CQ29" s="32">
        <v>19</v>
      </c>
      <c r="CR29" s="32">
        <v>27</v>
      </c>
      <c r="CS29" s="32">
        <v>11</v>
      </c>
      <c r="CT29" s="32">
        <v>6</v>
      </c>
      <c r="CU29" s="69">
        <v>16</v>
      </c>
      <c r="CV29" s="38">
        <f t="shared" si="16"/>
        <v>235</v>
      </c>
      <c r="CW29" s="45">
        <v>85</v>
      </c>
      <c r="CX29" s="45">
        <v>110</v>
      </c>
      <c r="CY29" s="45">
        <v>127</v>
      </c>
      <c r="CZ29" s="45">
        <v>42</v>
      </c>
      <c r="DA29" s="45">
        <v>54</v>
      </c>
      <c r="DB29" s="45">
        <v>94</v>
      </c>
      <c r="DC29" s="45">
        <v>76</v>
      </c>
      <c r="DD29" s="45">
        <v>49</v>
      </c>
      <c r="DE29" s="45">
        <v>53</v>
      </c>
      <c r="DF29" s="45">
        <v>69</v>
      </c>
      <c r="DG29" s="45">
        <v>49</v>
      </c>
      <c r="DH29" s="45">
        <v>70</v>
      </c>
      <c r="DI29" s="38">
        <f t="shared" si="0"/>
        <v>878</v>
      </c>
      <c r="DJ29" s="36">
        <f t="shared" si="17"/>
        <v>1113</v>
      </c>
      <c r="DK29" s="26"/>
      <c r="DL29" s="75">
        <v>0</v>
      </c>
      <c r="DM29" s="75">
        <v>0</v>
      </c>
      <c r="DN29" s="75">
        <v>0</v>
      </c>
      <c r="DO29" s="75">
        <v>0</v>
      </c>
      <c r="DP29" s="75">
        <v>0</v>
      </c>
      <c r="DQ29" s="75">
        <v>2</v>
      </c>
      <c r="DR29" s="75">
        <v>2</v>
      </c>
      <c r="DS29" s="75">
        <v>0</v>
      </c>
      <c r="DT29" s="75">
        <v>0</v>
      </c>
      <c r="DU29" s="75">
        <v>0</v>
      </c>
      <c r="DV29" s="75">
        <v>0</v>
      </c>
      <c r="DW29" s="83">
        <v>0</v>
      </c>
      <c r="DX29" s="38">
        <f t="shared" si="1"/>
        <v>4</v>
      </c>
      <c r="DY29" s="65">
        <v>24</v>
      </c>
      <c r="DZ29" s="65">
        <v>35</v>
      </c>
      <c r="EA29" s="65">
        <v>42</v>
      </c>
      <c r="EB29" s="65">
        <v>13</v>
      </c>
      <c r="EC29" s="65">
        <v>4</v>
      </c>
      <c r="ED29" s="65">
        <v>2</v>
      </c>
      <c r="EE29" s="65">
        <v>12</v>
      </c>
      <c r="EF29" s="65">
        <v>15</v>
      </c>
      <c r="EG29" s="65">
        <v>17</v>
      </c>
      <c r="EH29" s="65">
        <v>3</v>
      </c>
      <c r="EI29" s="65">
        <v>22</v>
      </c>
      <c r="EJ29" s="65">
        <v>21</v>
      </c>
      <c r="EK29" s="38">
        <f t="shared" si="18"/>
        <v>210</v>
      </c>
      <c r="EL29" s="36">
        <f t="shared" si="19"/>
        <v>214</v>
      </c>
      <c r="EM29" s="26"/>
      <c r="EN29" s="101">
        <v>57</v>
      </c>
      <c r="EO29" s="101">
        <v>125</v>
      </c>
      <c r="EP29" s="101">
        <v>54</v>
      </c>
      <c r="EQ29" s="101">
        <v>42</v>
      </c>
      <c r="ER29" s="101">
        <v>15</v>
      </c>
      <c r="ES29" s="101">
        <v>47</v>
      </c>
      <c r="ET29" s="101">
        <v>35</v>
      </c>
      <c r="EU29" s="101">
        <v>13</v>
      </c>
      <c r="EV29" s="101">
        <v>19</v>
      </c>
      <c r="EW29" s="101">
        <v>14</v>
      </c>
      <c r="EX29" s="101">
        <v>9</v>
      </c>
      <c r="EY29" s="101">
        <v>43</v>
      </c>
      <c r="EZ29" s="38">
        <f t="shared" si="2"/>
        <v>473</v>
      </c>
      <c r="FA29" s="26"/>
      <c r="FB29" s="54">
        <v>85</v>
      </c>
      <c r="FC29" s="54">
        <v>95</v>
      </c>
      <c r="FD29" s="54">
        <v>88</v>
      </c>
      <c r="FE29" s="54">
        <v>23</v>
      </c>
      <c r="FF29" s="54">
        <v>28</v>
      </c>
      <c r="FG29" s="54">
        <v>28</v>
      </c>
      <c r="FH29" s="54">
        <v>29</v>
      </c>
      <c r="FI29" s="54">
        <v>46</v>
      </c>
      <c r="FJ29" s="54">
        <v>67</v>
      </c>
      <c r="FK29" s="54">
        <v>44</v>
      </c>
      <c r="FL29" s="54">
        <v>77</v>
      </c>
      <c r="FM29" s="54">
        <v>68</v>
      </c>
      <c r="FN29" s="38">
        <f t="shared" si="20"/>
        <v>678</v>
      </c>
      <c r="FO29" s="26"/>
      <c r="FP29" s="32">
        <v>35</v>
      </c>
      <c r="FQ29" s="32">
        <v>30</v>
      </c>
      <c r="FR29" s="32">
        <v>25</v>
      </c>
      <c r="FS29" s="32">
        <v>21</v>
      </c>
      <c r="FT29" s="32">
        <v>19</v>
      </c>
      <c r="FU29" s="32">
        <v>33</v>
      </c>
      <c r="FV29" s="32">
        <v>39</v>
      </c>
      <c r="FW29" s="32">
        <v>20</v>
      </c>
      <c r="FX29" s="32">
        <v>19</v>
      </c>
      <c r="FY29" s="32">
        <v>24</v>
      </c>
      <c r="FZ29" s="32">
        <v>18</v>
      </c>
      <c r="GA29" s="32">
        <v>17</v>
      </c>
      <c r="GB29" s="38">
        <f t="shared" si="21"/>
        <v>300</v>
      </c>
      <c r="GC29" s="26"/>
      <c r="GD29" s="101">
        <v>14</v>
      </c>
      <c r="GE29" s="101">
        <v>30</v>
      </c>
      <c r="GF29" s="101">
        <v>15</v>
      </c>
      <c r="GG29" s="101">
        <v>8</v>
      </c>
      <c r="GH29" s="101">
        <v>17</v>
      </c>
      <c r="GI29" s="101">
        <v>16</v>
      </c>
      <c r="GJ29" s="101">
        <v>15</v>
      </c>
      <c r="GK29" s="101">
        <v>33</v>
      </c>
      <c r="GL29" s="101">
        <v>22</v>
      </c>
      <c r="GM29" s="101">
        <v>32</v>
      </c>
      <c r="GN29" s="101">
        <v>37</v>
      </c>
      <c r="GO29" s="101">
        <v>43</v>
      </c>
      <c r="GP29" s="38">
        <f t="shared" si="22"/>
        <v>282</v>
      </c>
      <c r="GQ29" s="26"/>
      <c r="GR29" s="32">
        <v>9</v>
      </c>
      <c r="GS29" s="32">
        <v>6</v>
      </c>
      <c r="GT29" s="32">
        <v>11</v>
      </c>
      <c r="GU29" s="32">
        <v>3</v>
      </c>
      <c r="GV29" s="32">
        <v>5</v>
      </c>
      <c r="GW29" s="32">
        <v>7</v>
      </c>
      <c r="GX29" s="32">
        <v>12</v>
      </c>
      <c r="GY29" s="32">
        <v>5</v>
      </c>
      <c r="GZ29" s="32">
        <v>6</v>
      </c>
      <c r="HA29" s="32">
        <v>3</v>
      </c>
      <c r="HB29" s="32">
        <v>7</v>
      </c>
      <c r="HC29" s="32">
        <v>3</v>
      </c>
      <c r="HD29" s="38">
        <f t="shared" si="23"/>
        <v>77</v>
      </c>
      <c r="HE29" s="26"/>
      <c r="HF29" s="45">
        <v>137</v>
      </c>
      <c r="HG29" s="45">
        <v>184</v>
      </c>
      <c r="HH29" s="45">
        <v>124</v>
      </c>
      <c r="HI29" s="45">
        <v>91</v>
      </c>
      <c r="HJ29" s="45">
        <v>64</v>
      </c>
      <c r="HK29" s="45">
        <v>89</v>
      </c>
      <c r="HL29" s="45">
        <v>55</v>
      </c>
      <c r="HM29" s="45">
        <v>96</v>
      </c>
      <c r="HN29" s="45">
        <v>96</v>
      </c>
      <c r="HO29" s="45">
        <v>113</v>
      </c>
      <c r="HP29" s="45">
        <v>116</v>
      </c>
      <c r="HQ29" s="45">
        <v>50</v>
      </c>
      <c r="HR29" s="38">
        <f t="shared" si="24"/>
        <v>1215</v>
      </c>
      <c r="HS29" s="26"/>
      <c r="HT29" s="32">
        <v>5</v>
      </c>
      <c r="HU29" s="32">
        <v>2</v>
      </c>
      <c r="HV29" s="32">
        <v>2</v>
      </c>
      <c r="HW29" s="32">
        <v>1</v>
      </c>
      <c r="HX29" s="32">
        <v>0</v>
      </c>
      <c r="HY29" s="32">
        <v>1</v>
      </c>
      <c r="HZ29" s="32">
        <v>2</v>
      </c>
      <c r="IA29" s="32">
        <v>2</v>
      </c>
      <c r="IB29" s="32">
        <v>4</v>
      </c>
      <c r="IC29" s="32">
        <v>3</v>
      </c>
      <c r="ID29" s="32">
        <v>5</v>
      </c>
      <c r="IE29" s="32">
        <v>6</v>
      </c>
      <c r="IF29" s="38">
        <f t="shared" si="3"/>
        <v>33</v>
      </c>
      <c r="IG29" s="104">
        <v>14</v>
      </c>
      <c r="IH29" s="104">
        <v>31</v>
      </c>
      <c r="II29" s="104">
        <v>35</v>
      </c>
      <c r="IJ29" s="104">
        <v>34</v>
      </c>
      <c r="IK29" s="104">
        <v>12</v>
      </c>
      <c r="IL29" s="104">
        <v>12</v>
      </c>
      <c r="IM29" s="104">
        <v>21</v>
      </c>
      <c r="IN29" s="104">
        <v>6</v>
      </c>
      <c r="IO29" s="104">
        <v>19</v>
      </c>
      <c r="IP29" s="104">
        <v>22</v>
      </c>
      <c r="IQ29" s="104">
        <v>17</v>
      </c>
      <c r="IR29" s="104">
        <v>17</v>
      </c>
      <c r="IS29" s="38">
        <f t="shared" si="25"/>
        <v>240</v>
      </c>
      <c r="IT29" s="36">
        <f t="shared" si="26"/>
        <v>273</v>
      </c>
      <c r="IU29" s="26"/>
      <c r="IV29" s="32">
        <v>35</v>
      </c>
      <c r="IW29" s="32">
        <v>36</v>
      </c>
      <c r="IX29" s="32">
        <v>42</v>
      </c>
      <c r="IY29" s="32">
        <v>48</v>
      </c>
      <c r="IZ29" s="32">
        <v>46</v>
      </c>
      <c r="JA29" s="32">
        <v>36</v>
      </c>
      <c r="JB29" s="32">
        <v>35</v>
      </c>
      <c r="JC29" s="32">
        <v>29</v>
      </c>
      <c r="JD29" s="32">
        <v>32</v>
      </c>
      <c r="JE29" s="32">
        <v>38</v>
      </c>
      <c r="JF29" s="32">
        <v>42</v>
      </c>
      <c r="JG29" s="32">
        <v>39</v>
      </c>
      <c r="JH29" s="38">
        <f t="shared" si="27"/>
        <v>458</v>
      </c>
      <c r="JI29" s="97">
        <v>119.60000000000001</v>
      </c>
      <c r="JJ29" s="97">
        <v>162.80000000000001</v>
      </c>
      <c r="JK29" s="97">
        <v>173</v>
      </c>
      <c r="JL29" s="97">
        <v>114</v>
      </c>
      <c r="JM29" s="97">
        <v>76.400000000000006</v>
      </c>
      <c r="JN29" s="97">
        <v>122.4</v>
      </c>
      <c r="JO29" s="97">
        <v>124.80000000000001</v>
      </c>
      <c r="JP29" s="97">
        <v>200.4</v>
      </c>
      <c r="JQ29" s="97">
        <v>229.20000000000002</v>
      </c>
      <c r="JR29" s="97">
        <v>244.4</v>
      </c>
      <c r="JS29" s="97">
        <v>258.60000000000002</v>
      </c>
      <c r="JT29" s="97">
        <v>262.40000000000003</v>
      </c>
      <c r="JU29" s="112">
        <f t="shared" si="4"/>
        <v>2088.0000000000005</v>
      </c>
      <c r="JV29" s="36">
        <f t="shared" si="28"/>
        <v>2546.0000000000005</v>
      </c>
      <c r="JW29" s="26"/>
      <c r="JX29" s="32">
        <v>11</v>
      </c>
      <c r="JY29" s="32">
        <v>6</v>
      </c>
      <c r="JZ29" s="32">
        <v>12</v>
      </c>
      <c r="KA29" s="32">
        <v>5</v>
      </c>
      <c r="KB29" s="32">
        <v>5</v>
      </c>
      <c r="KC29" s="32">
        <v>4</v>
      </c>
      <c r="KD29" s="32">
        <v>2</v>
      </c>
      <c r="KE29" s="32">
        <v>4</v>
      </c>
      <c r="KF29" s="32">
        <v>5</v>
      </c>
      <c r="KG29" s="32">
        <v>5</v>
      </c>
      <c r="KH29" s="32">
        <v>2</v>
      </c>
      <c r="KI29" s="32">
        <v>14</v>
      </c>
      <c r="KJ29" s="38">
        <f t="shared" si="29"/>
        <v>75</v>
      </c>
      <c r="KK29" s="114">
        <v>6</v>
      </c>
      <c r="KL29" s="114">
        <v>10</v>
      </c>
      <c r="KM29" s="114">
        <v>24</v>
      </c>
      <c r="KN29" s="114">
        <v>5</v>
      </c>
      <c r="KO29" s="114">
        <v>2</v>
      </c>
      <c r="KP29" s="114">
        <v>15</v>
      </c>
      <c r="KQ29" s="114">
        <v>9</v>
      </c>
      <c r="KR29" s="114">
        <v>10</v>
      </c>
      <c r="KS29" s="114">
        <v>0</v>
      </c>
      <c r="KT29" s="114">
        <v>0</v>
      </c>
      <c r="KU29" s="114">
        <v>0</v>
      </c>
      <c r="KV29" s="114">
        <v>290</v>
      </c>
      <c r="KW29" s="38">
        <f t="shared" si="5"/>
        <v>371</v>
      </c>
      <c r="KX29" s="36">
        <f t="shared" si="30"/>
        <v>446</v>
      </c>
      <c r="KY29" s="26"/>
      <c r="KZ29" s="101">
        <v>10</v>
      </c>
      <c r="LA29" s="101">
        <v>9</v>
      </c>
      <c r="LB29" s="101">
        <v>10</v>
      </c>
      <c r="LC29" s="101">
        <v>5</v>
      </c>
      <c r="LD29" s="101">
        <v>15</v>
      </c>
      <c r="LE29" s="101">
        <v>4</v>
      </c>
      <c r="LF29" s="101">
        <v>3</v>
      </c>
      <c r="LG29" s="101">
        <v>12</v>
      </c>
      <c r="LH29" s="101">
        <v>2</v>
      </c>
      <c r="LI29" s="101">
        <v>8</v>
      </c>
      <c r="LJ29" s="101">
        <v>18</v>
      </c>
      <c r="LK29" s="101">
        <v>10</v>
      </c>
      <c r="LL29" s="38">
        <f t="shared" si="6"/>
        <v>106</v>
      </c>
      <c r="LM29" s="26"/>
      <c r="LN29" s="71">
        <v>95</v>
      </c>
      <c r="LO29" s="71">
        <v>115</v>
      </c>
      <c r="LP29" s="71">
        <v>73</v>
      </c>
      <c r="LQ29" s="71">
        <v>63</v>
      </c>
      <c r="LR29" s="71">
        <v>67</v>
      </c>
      <c r="LS29" s="71">
        <v>36</v>
      </c>
      <c r="LT29" s="71">
        <v>32</v>
      </c>
      <c r="LU29" s="45">
        <v>37</v>
      </c>
      <c r="LV29" s="45">
        <v>44</v>
      </c>
      <c r="LW29" s="45">
        <v>37</v>
      </c>
      <c r="LX29" s="45">
        <v>37</v>
      </c>
      <c r="LY29" s="45">
        <v>30</v>
      </c>
      <c r="LZ29" s="38">
        <f t="shared" si="31"/>
        <v>666</v>
      </c>
      <c r="MA29" s="26"/>
      <c r="MB29" s="45">
        <v>85</v>
      </c>
      <c r="MC29" s="45">
        <v>72</v>
      </c>
      <c r="MD29" s="45">
        <v>72</v>
      </c>
      <c r="ME29" s="45">
        <v>49</v>
      </c>
      <c r="MF29" s="45">
        <v>59</v>
      </c>
      <c r="MG29" s="45">
        <v>27</v>
      </c>
      <c r="MH29" s="45">
        <v>44</v>
      </c>
      <c r="MI29" s="45">
        <v>55</v>
      </c>
      <c r="MJ29" s="45">
        <v>70</v>
      </c>
      <c r="MK29" s="45">
        <v>44</v>
      </c>
      <c r="ML29" s="45">
        <v>105</v>
      </c>
      <c r="MM29" s="45">
        <v>80</v>
      </c>
      <c r="MN29" s="38">
        <f t="shared" si="32"/>
        <v>762</v>
      </c>
      <c r="MO29" s="32">
        <v>438</v>
      </c>
      <c r="MP29" s="32">
        <v>376</v>
      </c>
      <c r="MQ29" s="32">
        <v>342</v>
      </c>
      <c r="MR29" s="32">
        <v>85</v>
      </c>
      <c r="MS29" s="32">
        <v>61</v>
      </c>
      <c r="MT29" s="32">
        <v>65</v>
      </c>
      <c r="MU29" s="32">
        <v>104</v>
      </c>
      <c r="MV29" s="32">
        <v>107</v>
      </c>
      <c r="MW29" s="32">
        <v>118</v>
      </c>
      <c r="MX29" s="32">
        <v>134</v>
      </c>
      <c r="MY29" s="32">
        <v>118</v>
      </c>
      <c r="MZ29" s="32">
        <v>149</v>
      </c>
      <c r="NA29" s="38">
        <f t="shared" si="33"/>
        <v>2097</v>
      </c>
      <c r="NB29" s="36">
        <f t="shared" si="34"/>
        <v>2859</v>
      </c>
      <c r="NC29" s="26"/>
      <c r="ND29" s="101">
        <v>12</v>
      </c>
      <c r="NE29" s="101">
        <v>10</v>
      </c>
      <c r="NF29" s="101">
        <v>13</v>
      </c>
      <c r="NG29" s="101">
        <v>8</v>
      </c>
      <c r="NH29" s="101">
        <v>12</v>
      </c>
      <c r="NI29" s="101">
        <v>15</v>
      </c>
      <c r="NJ29" s="101">
        <v>14</v>
      </c>
      <c r="NK29" s="101">
        <v>26</v>
      </c>
      <c r="NL29" s="101">
        <v>19</v>
      </c>
      <c r="NM29" s="101">
        <v>18</v>
      </c>
      <c r="NN29" s="101">
        <v>10</v>
      </c>
      <c r="NO29" s="101">
        <v>16</v>
      </c>
      <c r="NP29" s="38">
        <f t="shared" si="35"/>
        <v>173</v>
      </c>
      <c r="NQ29" s="36">
        <f t="shared" si="36"/>
        <v>1077.4545454545455</v>
      </c>
      <c r="NR29" s="36">
        <f t="shared" si="37"/>
        <v>7010</v>
      </c>
      <c r="NS29" s="36">
        <f t="shared" si="38"/>
        <v>10886</v>
      </c>
      <c r="NT29" s="36">
        <f t="shared" si="39"/>
        <v>18973.454545454544</v>
      </c>
      <c r="NU29" s="18"/>
      <c r="NV29" s="18"/>
      <c r="NW29" s="18"/>
      <c r="NX29" s="19"/>
      <c r="NY29" s="19"/>
      <c r="NZ29" s="19"/>
      <c r="OA29" s="19"/>
      <c r="OB29" s="19"/>
      <c r="OC29" s="19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8"/>
      <c r="OR29" s="18"/>
      <c r="OS29" s="18"/>
      <c r="OT29" s="18"/>
      <c r="OU29" s="18"/>
      <c r="OV29" s="18"/>
      <c r="OW29" s="18"/>
      <c r="OX29" s="19"/>
      <c r="OY29" s="19"/>
      <c r="OZ29" s="19"/>
      <c r="PA29" s="19"/>
      <c r="PB29" s="19"/>
      <c r="PC29" s="19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8"/>
      <c r="PR29" s="18"/>
      <c r="PS29" s="18"/>
      <c r="PT29" s="18"/>
      <c r="PU29" s="18"/>
      <c r="PV29" s="18"/>
      <c r="PW29" s="18"/>
      <c r="PX29" s="19"/>
      <c r="PY29" s="19"/>
      <c r="PZ29" s="19"/>
      <c r="QA29" s="19"/>
      <c r="QB29" s="19"/>
      <c r="QC29" s="19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</row>
    <row r="30" spans="1:458" s="1" customFormat="1" ht="50.1" customHeight="1" x14ac:dyDescent="0.25">
      <c r="A30" s="120"/>
      <c r="B30" s="6" t="s">
        <v>19</v>
      </c>
      <c r="C30" s="23"/>
      <c r="D30" s="41">
        <v>5</v>
      </c>
      <c r="E30" s="41">
        <v>6</v>
      </c>
      <c r="F30" s="41">
        <v>15</v>
      </c>
      <c r="G30" s="41">
        <v>22</v>
      </c>
      <c r="H30" s="41">
        <v>4</v>
      </c>
      <c r="I30" s="41">
        <v>13</v>
      </c>
      <c r="J30" s="41">
        <v>20</v>
      </c>
      <c r="K30" s="41">
        <v>12</v>
      </c>
      <c r="L30" s="41">
        <v>11</v>
      </c>
      <c r="M30" s="41">
        <v>8</v>
      </c>
      <c r="N30" s="41">
        <v>0</v>
      </c>
      <c r="O30" s="41">
        <v>4</v>
      </c>
      <c r="P30" s="38">
        <f t="shared" si="7"/>
        <v>120</v>
      </c>
      <c r="Q30" s="49">
        <v>63</v>
      </c>
      <c r="R30" s="49">
        <v>224</v>
      </c>
      <c r="S30" s="49">
        <v>104</v>
      </c>
      <c r="T30" s="49">
        <v>78</v>
      </c>
      <c r="U30" s="49">
        <v>22</v>
      </c>
      <c r="V30" s="49">
        <v>40</v>
      </c>
      <c r="W30" s="49">
        <v>36</v>
      </c>
      <c r="X30" s="49">
        <v>86</v>
      </c>
      <c r="Y30" s="49">
        <v>109</v>
      </c>
      <c r="Z30" s="49">
        <v>109</v>
      </c>
      <c r="AA30" s="49">
        <v>4</v>
      </c>
      <c r="AB30" s="49">
        <v>144</v>
      </c>
      <c r="AC30" s="38">
        <f t="shared" si="8"/>
        <v>1019</v>
      </c>
      <c r="AD30" s="36">
        <f t="shared" si="9"/>
        <v>1139</v>
      </c>
      <c r="AE30" s="26"/>
      <c r="AF30" s="32">
        <v>0</v>
      </c>
      <c r="AG30" s="32">
        <v>0</v>
      </c>
      <c r="AH30" s="32">
        <v>1</v>
      </c>
      <c r="AI30" s="32">
        <v>2</v>
      </c>
      <c r="AJ30" s="32">
        <v>0</v>
      </c>
      <c r="AK30" s="32">
        <v>2</v>
      </c>
      <c r="AL30" s="32">
        <v>1</v>
      </c>
      <c r="AM30" s="32">
        <v>0</v>
      </c>
      <c r="AN30" s="32">
        <v>4</v>
      </c>
      <c r="AO30" s="32">
        <v>0</v>
      </c>
      <c r="AP30" s="32">
        <v>1</v>
      </c>
      <c r="AQ30" s="32">
        <v>0</v>
      </c>
      <c r="AR30" s="38">
        <f t="shared" si="10"/>
        <v>11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8">
        <f t="shared" si="11"/>
        <v>0</v>
      </c>
      <c r="BF30" s="36">
        <f t="shared" si="12"/>
        <v>11</v>
      </c>
      <c r="BG30" s="26"/>
      <c r="BH30" s="41">
        <v>27</v>
      </c>
      <c r="BI30" s="41">
        <v>30</v>
      </c>
      <c r="BJ30" s="41">
        <v>21</v>
      </c>
      <c r="BK30" s="41">
        <v>29</v>
      </c>
      <c r="BL30" s="41">
        <v>16</v>
      </c>
      <c r="BM30" s="41">
        <v>15</v>
      </c>
      <c r="BN30" s="41">
        <v>27</v>
      </c>
      <c r="BO30" s="41">
        <v>7</v>
      </c>
      <c r="BP30" s="41">
        <v>7</v>
      </c>
      <c r="BQ30" s="41">
        <v>6</v>
      </c>
      <c r="BR30" s="41">
        <v>12</v>
      </c>
      <c r="BS30" s="41">
        <v>5</v>
      </c>
      <c r="BT30" s="38">
        <f t="shared" si="13"/>
        <v>202</v>
      </c>
      <c r="BU30" s="56">
        <v>7</v>
      </c>
      <c r="BV30" s="56">
        <v>8</v>
      </c>
      <c r="BW30" s="56">
        <v>6</v>
      </c>
      <c r="BX30" s="56">
        <v>7</v>
      </c>
      <c r="BY30" s="56">
        <v>3</v>
      </c>
      <c r="BZ30" s="56">
        <v>4</v>
      </c>
      <c r="CA30" s="56">
        <v>2</v>
      </c>
      <c r="CB30" s="56">
        <v>7</v>
      </c>
      <c r="CC30" s="56">
        <v>4</v>
      </c>
      <c r="CD30" s="56">
        <v>11</v>
      </c>
      <c r="CE30" s="56">
        <v>10</v>
      </c>
      <c r="CF30" s="56">
        <v>4</v>
      </c>
      <c r="CG30" s="61">
        <f t="shared" si="14"/>
        <v>73</v>
      </c>
      <c r="CH30" s="57">
        <f t="shared" si="15"/>
        <v>275</v>
      </c>
      <c r="CI30" s="26"/>
      <c r="CJ30" s="32">
        <v>1</v>
      </c>
      <c r="CK30" s="32">
        <v>1</v>
      </c>
      <c r="CL30" s="32">
        <v>7</v>
      </c>
      <c r="CM30" s="32">
        <v>18</v>
      </c>
      <c r="CN30" s="32">
        <v>0</v>
      </c>
      <c r="CO30" s="32">
        <v>0</v>
      </c>
      <c r="CP30" s="32">
        <v>1</v>
      </c>
      <c r="CQ30" s="32">
        <v>0</v>
      </c>
      <c r="CR30" s="32">
        <v>2</v>
      </c>
      <c r="CS30" s="32">
        <v>0</v>
      </c>
      <c r="CT30" s="32">
        <v>1</v>
      </c>
      <c r="CU30" s="69">
        <v>5</v>
      </c>
      <c r="CV30" s="38">
        <f t="shared" si="16"/>
        <v>36</v>
      </c>
      <c r="CW30" s="45">
        <v>38</v>
      </c>
      <c r="CX30" s="45">
        <v>112</v>
      </c>
      <c r="CY30" s="45">
        <v>106</v>
      </c>
      <c r="CZ30" s="45">
        <v>31</v>
      </c>
      <c r="DA30" s="45">
        <v>42</v>
      </c>
      <c r="DB30" s="45">
        <v>54</v>
      </c>
      <c r="DC30" s="45">
        <v>30</v>
      </c>
      <c r="DD30" s="45">
        <v>21</v>
      </c>
      <c r="DE30" s="45">
        <v>43</v>
      </c>
      <c r="DF30" s="45">
        <v>46</v>
      </c>
      <c r="DG30" s="45">
        <v>39</v>
      </c>
      <c r="DH30" s="45">
        <v>37</v>
      </c>
      <c r="DI30" s="38">
        <f t="shared" si="0"/>
        <v>599</v>
      </c>
      <c r="DJ30" s="36">
        <f t="shared" si="17"/>
        <v>635</v>
      </c>
      <c r="DK30" s="26"/>
      <c r="DL30" s="75">
        <v>0</v>
      </c>
      <c r="DM30" s="75">
        <v>0</v>
      </c>
      <c r="DN30" s="75">
        <v>0</v>
      </c>
      <c r="DO30" s="75">
        <v>0</v>
      </c>
      <c r="DP30" s="75">
        <v>0</v>
      </c>
      <c r="DQ30" s="75">
        <v>0</v>
      </c>
      <c r="DR30" s="75">
        <v>0</v>
      </c>
      <c r="DS30" s="75">
        <v>0</v>
      </c>
      <c r="DT30" s="75">
        <v>0</v>
      </c>
      <c r="DU30" s="75">
        <v>0</v>
      </c>
      <c r="DV30" s="75">
        <v>0</v>
      </c>
      <c r="DW30" s="83">
        <v>0</v>
      </c>
      <c r="DX30" s="38">
        <f t="shared" si="1"/>
        <v>0</v>
      </c>
      <c r="DY30" s="65">
        <v>1</v>
      </c>
      <c r="DZ30" s="65">
        <v>9</v>
      </c>
      <c r="EA30" s="65">
        <v>10</v>
      </c>
      <c r="EB30" s="65">
        <v>5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2</v>
      </c>
      <c r="EJ30" s="65">
        <v>0</v>
      </c>
      <c r="EK30" s="38">
        <f t="shared" si="18"/>
        <v>27</v>
      </c>
      <c r="EL30" s="36">
        <f t="shared" si="19"/>
        <v>27</v>
      </c>
      <c r="EM30" s="26"/>
      <c r="EN30" s="101">
        <v>35</v>
      </c>
      <c r="EO30" s="101">
        <v>75</v>
      </c>
      <c r="EP30" s="101">
        <v>33</v>
      </c>
      <c r="EQ30" s="101">
        <v>14</v>
      </c>
      <c r="ER30" s="101">
        <v>2</v>
      </c>
      <c r="ES30" s="101">
        <v>11</v>
      </c>
      <c r="ET30" s="101">
        <v>9</v>
      </c>
      <c r="EU30" s="101">
        <v>61</v>
      </c>
      <c r="EV30" s="101">
        <v>16</v>
      </c>
      <c r="EW30" s="101">
        <v>28</v>
      </c>
      <c r="EX30" s="101">
        <v>10</v>
      </c>
      <c r="EY30" s="101">
        <v>8</v>
      </c>
      <c r="EZ30" s="38">
        <f t="shared" si="2"/>
        <v>302</v>
      </c>
      <c r="FA30" s="26"/>
      <c r="FB30" s="54">
        <v>0</v>
      </c>
      <c r="FC30" s="54">
        <v>2</v>
      </c>
      <c r="FD30" s="54">
        <v>2</v>
      </c>
      <c r="FE30" s="54">
        <v>0</v>
      </c>
      <c r="FF30" s="54">
        <v>1</v>
      </c>
      <c r="FG30" s="54">
        <v>0</v>
      </c>
      <c r="FH30" s="54">
        <v>0</v>
      </c>
      <c r="FI30" s="54">
        <v>0</v>
      </c>
      <c r="FJ30" s="54">
        <v>0</v>
      </c>
      <c r="FK30" s="54">
        <v>0</v>
      </c>
      <c r="FL30" s="54">
        <v>1</v>
      </c>
      <c r="FM30" s="54">
        <v>1</v>
      </c>
      <c r="FN30" s="38">
        <f t="shared" si="20"/>
        <v>7</v>
      </c>
      <c r="FO30" s="26"/>
      <c r="FP30" s="54">
        <v>3</v>
      </c>
      <c r="FQ30" s="54">
        <v>2</v>
      </c>
      <c r="FR30" s="54">
        <v>3</v>
      </c>
      <c r="FS30" s="54">
        <v>4</v>
      </c>
      <c r="FT30" s="54">
        <v>2</v>
      </c>
      <c r="FU30" s="54">
        <v>4</v>
      </c>
      <c r="FV30" s="54">
        <v>3</v>
      </c>
      <c r="FW30" s="54">
        <v>2</v>
      </c>
      <c r="FX30" s="54">
        <v>3</v>
      </c>
      <c r="FY30" s="54">
        <v>2</v>
      </c>
      <c r="FZ30" s="54">
        <v>1</v>
      </c>
      <c r="GA30" s="54">
        <v>3</v>
      </c>
      <c r="GB30" s="38">
        <f t="shared" si="21"/>
        <v>32</v>
      </c>
      <c r="GC30" s="26"/>
      <c r="GD30" s="101">
        <v>9</v>
      </c>
      <c r="GE30" s="101">
        <v>14</v>
      </c>
      <c r="GF30" s="101">
        <v>6</v>
      </c>
      <c r="GG30" s="101">
        <v>3</v>
      </c>
      <c r="GH30" s="101">
        <v>7</v>
      </c>
      <c r="GI30" s="101">
        <v>13</v>
      </c>
      <c r="GJ30" s="101">
        <v>6</v>
      </c>
      <c r="GK30" s="101">
        <v>6</v>
      </c>
      <c r="GL30" s="101">
        <v>16</v>
      </c>
      <c r="GM30" s="101">
        <v>25</v>
      </c>
      <c r="GN30" s="101">
        <v>20</v>
      </c>
      <c r="GO30" s="101">
        <v>16</v>
      </c>
      <c r="GP30" s="38">
        <f t="shared" si="22"/>
        <v>141</v>
      </c>
      <c r="GQ30" s="26"/>
      <c r="GR30" s="32">
        <v>0</v>
      </c>
      <c r="GS30" s="32">
        <v>0</v>
      </c>
      <c r="GT30" s="32">
        <v>0</v>
      </c>
      <c r="GU30" s="32">
        <v>0</v>
      </c>
      <c r="GV30" s="32">
        <v>0</v>
      </c>
      <c r="GW30" s="32">
        <v>0</v>
      </c>
      <c r="GX30" s="32">
        <v>0</v>
      </c>
      <c r="GY30" s="32">
        <v>0</v>
      </c>
      <c r="GZ30" s="32">
        <v>0</v>
      </c>
      <c r="HA30" s="32">
        <v>0</v>
      </c>
      <c r="HB30" s="32">
        <v>0</v>
      </c>
      <c r="HC30" s="32">
        <v>0</v>
      </c>
      <c r="HD30" s="38">
        <f t="shared" si="23"/>
        <v>0</v>
      </c>
      <c r="HE30" s="26"/>
      <c r="HF30" s="45">
        <v>25</v>
      </c>
      <c r="HG30" s="45">
        <v>36</v>
      </c>
      <c r="HH30" s="45">
        <v>32</v>
      </c>
      <c r="HI30" s="45">
        <v>31</v>
      </c>
      <c r="HJ30" s="45">
        <v>24</v>
      </c>
      <c r="HK30" s="45">
        <v>22</v>
      </c>
      <c r="HL30" s="45">
        <v>17</v>
      </c>
      <c r="HM30" s="45">
        <v>29</v>
      </c>
      <c r="HN30" s="45">
        <v>41</v>
      </c>
      <c r="HO30" s="45">
        <v>31</v>
      </c>
      <c r="HP30" s="45">
        <v>35</v>
      </c>
      <c r="HQ30" s="45">
        <v>23</v>
      </c>
      <c r="HR30" s="38">
        <f t="shared" si="24"/>
        <v>346</v>
      </c>
      <c r="HS30" s="26"/>
      <c r="HT30" s="32">
        <v>3</v>
      </c>
      <c r="HU30" s="32">
        <v>1</v>
      </c>
      <c r="HV30" s="32">
        <v>1</v>
      </c>
      <c r="HW30" s="32">
        <v>2</v>
      </c>
      <c r="HX30" s="32">
        <v>1</v>
      </c>
      <c r="HY30" s="32">
        <v>0</v>
      </c>
      <c r="HZ30" s="32">
        <v>1</v>
      </c>
      <c r="IA30" s="32">
        <v>0</v>
      </c>
      <c r="IB30" s="32">
        <v>2</v>
      </c>
      <c r="IC30" s="32">
        <v>1</v>
      </c>
      <c r="ID30" s="32">
        <v>3</v>
      </c>
      <c r="IE30" s="32">
        <v>4</v>
      </c>
      <c r="IF30" s="38">
        <f t="shared" si="3"/>
        <v>19</v>
      </c>
      <c r="IG30" s="104">
        <v>11</v>
      </c>
      <c r="IH30" s="104">
        <v>19</v>
      </c>
      <c r="II30" s="104">
        <v>33</v>
      </c>
      <c r="IJ30" s="104">
        <v>25</v>
      </c>
      <c r="IK30" s="104">
        <v>23</v>
      </c>
      <c r="IL30" s="104">
        <v>14</v>
      </c>
      <c r="IM30" s="104">
        <v>47</v>
      </c>
      <c r="IN30" s="104">
        <v>8</v>
      </c>
      <c r="IO30" s="104">
        <v>3</v>
      </c>
      <c r="IP30" s="104">
        <v>13</v>
      </c>
      <c r="IQ30" s="104">
        <v>119</v>
      </c>
      <c r="IR30" s="104">
        <v>15</v>
      </c>
      <c r="IS30" s="38">
        <f t="shared" si="25"/>
        <v>330</v>
      </c>
      <c r="IT30" s="36">
        <f t="shared" si="26"/>
        <v>349</v>
      </c>
      <c r="IU30" s="26"/>
      <c r="IV30" s="32">
        <v>33</v>
      </c>
      <c r="IW30" s="32">
        <v>35</v>
      </c>
      <c r="IX30" s="32">
        <v>29</v>
      </c>
      <c r="IY30" s="32">
        <v>36</v>
      </c>
      <c r="IZ30" s="32">
        <v>38</v>
      </c>
      <c r="JA30" s="32">
        <v>29</v>
      </c>
      <c r="JB30" s="32">
        <v>40</v>
      </c>
      <c r="JC30" s="32">
        <v>38</v>
      </c>
      <c r="JD30" s="32">
        <v>36</v>
      </c>
      <c r="JE30" s="32">
        <v>32</v>
      </c>
      <c r="JF30" s="32">
        <v>29</v>
      </c>
      <c r="JG30" s="32">
        <v>26</v>
      </c>
      <c r="JH30" s="38">
        <f t="shared" si="27"/>
        <v>401</v>
      </c>
      <c r="JI30" s="97">
        <v>35.200000000000003</v>
      </c>
      <c r="JJ30" s="97">
        <v>58</v>
      </c>
      <c r="JK30" s="97">
        <v>120.4</v>
      </c>
      <c r="JL30" s="97">
        <v>48.400000000000006</v>
      </c>
      <c r="JM30" s="97">
        <v>22.200000000000003</v>
      </c>
      <c r="JN30" s="97">
        <v>52.400000000000006</v>
      </c>
      <c r="JO30" s="97">
        <v>42.400000000000006</v>
      </c>
      <c r="JP30" s="97">
        <v>84.800000000000011</v>
      </c>
      <c r="JQ30" s="97">
        <v>145.80000000000001</v>
      </c>
      <c r="JR30" s="97">
        <v>143.6</v>
      </c>
      <c r="JS30" s="97">
        <v>110.60000000000001</v>
      </c>
      <c r="JT30" s="97">
        <v>173</v>
      </c>
      <c r="JU30" s="112">
        <f t="shared" si="4"/>
        <v>1036.8000000000002</v>
      </c>
      <c r="JV30" s="36">
        <f t="shared" si="28"/>
        <v>1437.8000000000002</v>
      </c>
      <c r="JW30" s="26"/>
      <c r="JX30" s="32">
        <v>21</v>
      </c>
      <c r="JY30" s="32">
        <v>45</v>
      </c>
      <c r="JZ30" s="32">
        <v>23</v>
      </c>
      <c r="KA30" s="32">
        <v>15</v>
      </c>
      <c r="KB30" s="32">
        <v>1</v>
      </c>
      <c r="KC30" s="32">
        <v>7</v>
      </c>
      <c r="KD30" s="32">
        <v>7</v>
      </c>
      <c r="KE30" s="32">
        <v>13</v>
      </c>
      <c r="KF30" s="32">
        <v>12</v>
      </c>
      <c r="KG30" s="32">
        <v>1</v>
      </c>
      <c r="KH30" s="32">
        <v>3</v>
      </c>
      <c r="KI30" s="32">
        <v>15</v>
      </c>
      <c r="KJ30" s="38">
        <f t="shared" si="29"/>
        <v>163</v>
      </c>
      <c r="KK30" s="114">
        <v>0</v>
      </c>
      <c r="KL30" s="114">
        <v>0</v>
      </c>
      <c r="KM30" s="114">
        <v>3</v>
      </c>
      <c r="KN30" s="114">
        <v>0</v>
      </c>
      <c r="KO30" s="114">
        <v>0</v>
      </c>
      <c r="KP30" s="114">
        <v>0</v>
      </c>
      <c r="KQ30" s="114">
        <v>0</v>
      </c>
      <c r="KR30" s="114">
        <v>0</v>
      </c>
      <c r="KS30" s="114">
        <v>0</v>
      </c>
      <c r="KT30" s="114">
        <v>0</v>
      </c>
      <c r="KU30" s="114">
        <v>0</v>
      </c>
      <c r="KV30" s="114">
        <v>11</v>
      </c>
      <c r="KW30" s="38">
        <f t="shared" si="5"/>
        <v>14</v>
      </c>
      <c r="KX30" s="36">
        <f t="shared" si="30"/>
        <v>177</v>
      </c>
      <c r="KY30" s="26"/>
      <c r="KZ30" s="101">
        <v>0</v>
      </c>
      <c r="LA30" s="101">
        <v>0</v>
      </c>
      <c r="LB30" s="101">
        <v>1</v>
      </c>
      <c r="LC30" s="101">
        <v>1</v>
      </c>
      <c r="LD30" s="101">
        <v>0</v>
      </c>
      <c r="LE30" s="101">
        <v>0</v>
      </c>
      <c r="LF30" s="101">
        <v>0</v>
      </c>
      <c r="LG30" s="101">
        <v>0</v>
      </c>
      <c r="LH30" s="101">
        <v>0</v>
      </c>
      <c r="LI30" s="101">
        <v>2</v>
      </c>
      <c r="LJ30" s="101">
        <v>2</v>
      </c>
      <c r="LK30" s="101">
        <v>1</v>
      </c>
      <c r="LL30" s="38">
        <f t="shared" si="6"/>
        <v>7</v>
      </c>
      <c r="LM30" s="26"/>
      <c r="LN30" s="71">
        <v>47</v>
      </c>
      <c r="LO30" s="71">
        <v>44</v>
      </c>
      <c r="LP30" s="71">
        <v>3</v>
      </c>
      <c r="LQ30" s="71">
        <v>3</v>
      </c>
      <c r="LR30" s="71">
        <v>2</v>
      </c>
      <c r="LS30" s="71">
        <v>1</v>
      </c>
      <c r="LT30" s="71">
        <v>3</v>
      </c>
      <c r="LU30" s="45">
        <v>3</v>
      </c>
      <c r="LV30" s="45">
        <v>7</v>
      </c>
      <c r="LW30" s="45">
        <v>6</v>
      </c>
      <c r="LX30" s="45">
        <v>2</v>
      </c>
      <c r="LY30" s="45">
        <v>3</v>
      </c>
      <c r="LZ30" s="38">
        <f t="shared" si="31"/>
        <v>124</v>
      </c>
      <c r="MA30" s="26"/>
      <c r="MB30" s="45">
        <v>2</v>
      </c>
      <c r="MC30" s="45">
        <v>17</v>
      </c>
      <c r="MD30" s="45">
        <v>8</v>
      </c>
      <c r="ME30" s="45">
        <v>15</v>
      </c>
      <c r="MF30" s="45">
        <v>21</v>
      </c>
      <c r="MG30" s="45">
        <v>14</v>
      </c>
      <c r="MH30" s="45">
        <v>12</v>
      </c>
      <c r="MI30" s="45">
        <v>8</v>
      </c>
      <c r="MJ30" s="45">
        <v>13</v>
      </c>
      <c r="MK30" s="45">
        <v>12</v>
      </c>
      <c r="ML30" s="45">
        <v>7</v>
      </c>
      <c r="MM30" s="45">
        <v>8</v>
      </c>
      <c r="MN30" s="38">
        <f t="shared" si="32"/>
        <v>137</v>
      </c>
      <c r="MO30" s="32">
        <v>110</v>
      </c>
      <c r="MP30" s="32">
        <v>99</v>
      </c>
      <c r="MQ30" s="32">
        <v>159</v>
      </c>
      <c r="MR30" s="32">
        <v>55</v>
      </c>
      <c r="MS30" s="32">
        <v>46</v>
      </c>
      <c r="MT30" s="32">
        <v>33</v>
      </c>
      <c r="MU30" s="32">
        <v>24</v>
      </c>
      <c r="MV30" s="32">
        <v>47</v>
      </c>
      <c r="MW30" s="32">
        <v>50</v>
      </c>
      <c r="MX30" s="32">
        <v>72</v>
      </c>
      <c r="MY30" s="32">
        <v>223</v>
      </c>
      <c r="MZ30" s="32">
        <v>164</v>
      </c>
      <c r="NA30" s="38">
        <f t="shared" si="33"/>
        <v>1082</v>
      </c>
      <c r="NB30" s="36">
        <f t="shared" si="34"/>
        <v>1219</v>
      </c>
      <c r="NC30" s="26"/>
      <c r="ND30" s="101">
        <v>5</v>
      </c>
      <c r="NE30" s="101">
        <v>16</v>
      </c>
      <c r="NF30" s="101">
        <v>8</v>
      </c>
      <c r="NG30" s="101">
        <v>2</v>
      </c>
      <c r="NH30" s="101">
        <v>0</v>
      </c>
      <c r="NI30" s="101">
        <v>1</v>
      </c>
      <c r="NJ30" s="101">
        <v>22</v>
      </c>
      <c r="NK30" s="101">
        <v>10</v>
      </c>
      <c r="NL30" s="101">
        <v>4</v>
      </c>
      <c r="NM30" s="101">
        <v>0</v>
      </c>
      <c r="NN30" s="101">
        <v>0</v>
      </c>
      <c r="NO30" s="101">
        <v>0</v>
      </c>
      <c r="NP30" s="38">
        <f t="shared" si="35"/>
        <v>68</v>
      </c>
      <c r="NQ30" s="36">
        <f t="shared" si="36"/>
        <v>551</v>
      </c>
      <c r="NR30" s="36">
        <f t="shared" si="37"/>
        <v>2608</v>
      </c>
      <c r="NS30" s="36">
        <f t="shared" si="38"/>
        <v>3137.8</v>
      </c>
      <c r="NT30" s="36">
        <f t="shared" si="39"/>
        <v>6296.8</v>
      </c>
      <c r="NU30" s="18"/>
      <c r="NV30" s="18"/>
      <c r="NW30" s="18"/>
      <c r="NX30" s="19"/>
      <c r="NY30" s="19"/>
      <c r="NZ30" s="19"/>
      <c r="OA30" s="19"/>
      <c r="OB30" s="19"/>
      <c r="OC30" s="19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8"/>
      <c r="OR30" s="18"/>
      <c r="OS30" s="18"/>
      <c r="OT30" s="18"/>
      <c r="OU30" s="18"/>
      <c r="OV30" s="18"/>
      <c r="OW30" s="18"/>
      <c r="OX30" s="19"/>
      <c r="OY30" s="19"/>
      <c r="OZ30" s="19"/>
      <c r="PA30" s="19"/>
      <c r="PB30" s="19"/>
      <c r="PC30" s="19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8"/>
      <c r="PR30" s="18"/>
      <c r="PS30" s="18"/>
      <c r="PT30" s="18"/>
      <c r="PU30" s="18"/>
      <c r="PV30" s="18"/>
      <c r="PW30" s="18"/>
      <c r="PX30" s="19"/>
      <c r="PY30" s="19"/>
      <c r="PZ30" s="19"/>
      <c r="QA30" s="19"/>
      <c r="QB30" s="19"/>
      <c r="QC30" s="19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</row>
    <row r="31" spans="1:458" s="1" customFormat="1" ht="50.1" customHeight="1" x14ac:dyDescent="0.25">
      <c r="A31" s="120"/>
      <c r="B31" s="6" t="s">
        <v>20</v>
      </c>
      <c r="C31" s="23"/>
      <c r="D31" s="41">
        <f>SUM(D28:D30)</f>
        <v>1542.4545454545455</v>
      </c>
      <c r="E31" s="41">
        <f t="shared" ref="E31:O31" si="117">SUM(E28:E30)</f>
        <v>1395</v>
      </c>
      <c r="F31" s="41">
        <f t="shared" si="117"/>
        <v>2129</v>
      </c>
      <c r="G31" s="41">
        <f t="shared" si="117"/>
        <v>1267</v>
      </c>
      <c r="H31" s="41">
        <f t="shared" si="117"/>
        <v>787</v>
      </c>
      <c r="I31" s="41">
        <f t="shared" si="117"/>
        <v>681</v>
      </c>
      <c r="J31" s="41">
        <f t="shared" si="117"/>
        <v>784</v>
      </c>
      <c r="K31" s="41">
        <f t="shared" si="117"/>
        <v>807</v>
      </c>
      <c r="L31" s="41">
        <f t="shared" si="117"/>
        <v>902</v>
      </c>
      <c r="M31" s="41">
        <f t="shared" si="117"/>
        <v>973</v>
      </c>
      <c r="N31" s="41">
        <f t="shared" si="117"/>
        <v>799</v>
      </c>
      <c r="O31" s="41">
        <f t="shared" si="117"/>
        <v>707</v>
      </c>
      <c r="P31" s="38">
        <f t="shared" si="7"/>
        <v>12773.454545454546</v>
      </c>
      <c r="Q31" s="49">
        <f>SUM(Q28:Q30)</f>
        <v>2891</v>
      </c>
      <c r="R31" s="49">
        <f t="shared" ref="R31:AB31" si="118">SUM(R28:R30)</f>
        <v>2850</v>
      </c>
      <c r="S31" s="49">
        <f t="shared" si="118"/>
        <v>3557</v>
      </c>
      <c r="T31" s="49">
        <f t="shared" si="118"/>
        <v>2677</v>
      </c>
      <c r="U31" s="49">
        <f t="shared" si="118"/>
        <v>1986</v>
      </c>
      <c r="V31" s="49">
        <f t="shared" si="118"/>
        <v>1926</v>
      </c>
      <c r="W31" s="49">
        <f t="shared" si="118"/>
        <v>2241</v>
      </c>
      <c r="X31" s="49">
        <f t="shared" si="118"/>
        <v>2455</v>
      </c>
      <c r="Y31" s="49">
        <f t="shared" si="118"/>
        <v>2459</v>
      </c>
      <c r="Z31" s="49">
        <f t="shared" si="118"/>
        <v>2459</v>
      </c>
      <c r="AA31" s="49">
        <f t="shared" si="118"/>
        <v>2470</v>
      </c>
      <c r="AB31" s="49">
        <f t="shared" si="118"/>
        <v>3069</v>
      </c>
      <c r="AC31" s="38">
        <f>SUM(Q31:AB31)</f>
        <v>31040</v>
      </c>
      <c r="AD31" s="36">
        <f t="shared" si="9"/>
        <v>43813.454545454544</v>
      </c>
      <c r="AE31" s="26"/>
      <c r="AF31" s="32">
        <f>SUM(AF28:AF30)</f>
        <v>133</v>
      </c>
      <c r="AG31" s="32">
        <f t="shared" ref="AG31:AQ31" si="119">SUM(AG28:AG30)</f>
        <v>140</v>
      </c>
      <c r="AH31" s="32">
        <f t="shared" si="119"/>
        <v>147</v>
      </c>
      <c r="AI31" s="32">
        <f t="shared" si="119"/>
        <v>139</v>
      </c>
      <c r="AJ31" s="32">
        <f t="shared" si="119"/>
        <v>155</v>
      </c>
      <c r="AK31" s="32">
        <f t="shared" si="119"/>
        <v>147</v>
      </c>
      <c r="AL31" s="32">
        <f t="shared" si="119"/>
        <v>158</v>
      </c>
      <c r="AM31" s="32">
        <f t="shared" si="119"/>
        <v>132</v>
      </c>
      <c r="AN31" s="32">
        <f t="shared" si="119"/>
        <v>88</v>
      </c>
      <c r="AO31" s="32">
        <f t="shared" si="119"/>
        <v>131</v>
      </c>
      <c r="AP31" s="32">
        <f t="shared" si="119"/>
        <v>138</v>
      </c>
      <c r="AQ31" s="32">
        <f t="shared" si="119"/>
        <v>170</v>
      </c>
      <c r="AR31" s="38">
        <f t="shared" si="10"/>
        <v>1678</v>
      </c>
      <c r="AS31" s="32">
        <f>SUM(AS28:AS30)</f>
        <v>0</v>
      </c>
      <c r="AT31" s="32">
        <f t="shared" ref="AT31:BD31" si="120">SUM(AT28:AT30)</f>
        <v>0</v>
      </c>
      <c r="AU31" s="32">
        <f t="shared" si="120"/>
        <v>0</v>
      </c>
      <c r="AV31" s="32">
        <f t="shared" si="120"/>
        <v>0</v>
      </c>
      <c r="AW31" s="32">
        <f t="shared" si="120"/>
        <v>0</v>
      </c>
      <c r="AX31" s="32">
        <f t="shared" si="120"/>
        <v>0</v>
      </c>
      <c r="AY31" s="32">
        <f t="shared" si="120"/>
        <v>0</v>
      </c>
      <c r="AZ31" s="32">
        <f t="shared" si="120"/>
        <v>0</v>
      </c>
      <c r="BA31" s="32">
        <f t="shared" si="120"/>
        <v>0</v>
      </c>
      <c r="BB31" s="32">
        <f t="shared" si="120"/>
        <v>0</v>
      </c>
      <c r="BC31" s="32">
        <f t="shared" si="120"/>
        <v>0</v>
      </c>
      <c r="BD31" s="32">
        <f t="shared" si="120"/>
        <v>0</v>
      </c>
      <c r="BE31" s="38">
        <f t="shared" si="11"/>
        <v>0</v>
      </c>
      <c r="BF31" s="36">
        <f t="shared" si="12"/>
        <v>1678</v>
      </c>
      <c r="BG31" s="26"/>
      <c r="BH31" s="41">
        <f>SUM(BH28:BH30)</f>
        <v>274</v>
      </c>
      <c r="BI31" s="41">
        <f t="shared" ref="BI31:CF31" si="121">SUM(BI28:BI30)</f>
        <v>328</v>
      </c>
      <c r="BJ31" s="41">
        <f t="shared" si="121"/>
        <v>402</v>
      </c>
      <c r="BK31" s="41">
        <f t="shared" si="121"/>
        <v>215</v>
      </c>
      <c r="BL31" s="41">
        <f t="shared" si="121"/>
        <v>105</v>
      </c>
      <c r="BM31" s="41">
        <f t="shared" si="121"/>
        <v>167</v>
      </c>
      <c r="BN31" s="41">
        <f t="shared" si="121"/>
        <v>204</v>
      </c>
      <c r="BO31" s="41">
        <f t="shared" si="121"/>
        <v>161</v>
      </c>
      <c r="BP31" s="41">
        <f t="shared" si="121"/>
        <v>148</v>
      </c>
      <c r="BQ31" s="41">
        <f t="shared" si="121"/>
        <v>239</v>
      </c>
      <c r="BR31" s="41">
        <f t="shared" si="121"/>
        <v>203</v>
      </c>
      <c r="BS31" s="41">
        <f t="shared" si="121"/>
        <v>142</v>
      </c>
      <c r="BT31" s="38">
        <f t="shared" si="13"/>
        <v>2588</v>
      </c>
      <c r="BU31" s="58">
        <f t="shared" si="121"/>
        <v>266</v>
      </c>
      <c r="BV31" s="58">
        <f t="shared" si="121"/>
        <v>373</v>
      </c>
      <c r="BW31" s="58">
        <f t="shared" si="121"/>
        <v>319</v>
      </c>
      <c r="BX31" s="58">
        <f t="shared" si="121"/>
        <v>203</v>
      </c>
      <c r="BY31" s="58">
        <f t="shared" si="121"/>
        <v>220</v>
      </c>
      <c r="BZ31" s="58">
        <f t="shared" si="121"/>
        <v>331</v>
      </c>
      <c r="CA31" s="58">
        <f t="shared" si="121"/>
        <v>334</v>
      </c>
      <c r="CB31" s="58">
        <f t="shared" si="121"/>
        <v>365</v>
      </c>
      <c r="CC31" s="58">
        <f t="shared" si="121"/>
        <v>359</v>
      </c>
      <c r="CD31" s="58">
        <f t="shared" si="121"/>
        <v>399</v>
      </c>
      <c r="CE31" s="58">
        <f t="shared" si="121"/>
        <v>361</v>
      </c>
      <c r="CF31" s="58">
        <f t="shared" si="121"/>
        <v>364</v>
      </c>
      <c r="CG31" s="61">
        <f t="shared" si="14"/>
        <v>3894</v>
      </c>
      <c r="CH31" s="57">
        <f t="shared" si="15"/>
        <v>6482</v>
      </c>
      <c r="CI31" s="26"/>
      <c r="CJ31" s="32">
        <f>SUM(CJ28:CJ30)</f>
        <v>199</v>
      </c>
      <c r="CK31" s="32">
        <f t="shared" ref="CK31:DH31" si="122">SUM(CK28:CK30)</f>
        <v>284</v>
      </c>
      <c r="CL31" s="32">
        <f t="shared" si="122"/>
        <v>365</v>
      </c>
      <c r="CM31" s="32">
        <f t="shared" si="122"/>
        <v>122</v>
      </c>
      <c r="CN31" s="32">
        <f t="shared" si="122"/>
        <v>43</v>
      </c>
      <c r="CO31" s="32">
        <f t="shared" si="122"/>
        <v>90</v>
      </c>
      <c r="CP31" s="32">
        <f t="shared" si="122"/>
        <v>69</v>
      </c>
      <c r="CQ31" s="32">
        <f t="shared" si="122"/>
        <v>50</v>
      </c>
      <c r="CR31" s="32">
        <f t="shared" si="122"/>
        <v>219</v>
      </c>
      <c r="CS31" s="32">
        <f t="shared" si="122"/>
        <v>71</v>
      </c>
      <c r="CT31" s="32">
        <f t="shared" si="122"/>
        <v>287</v>
      </c>
      <c r="CU31" s="69">
        <f t="shared" si="122"/>
        <v>79</v>
      </c>
      <c r="CV31" s="38">
        <f t="shared" si="16"/>
        <v>1878</v>
      </c>
      <c r="CW31" s="32">
        <f t="shared" si="122"/>
        <v>966</v>
      </c>
      <c r="CX31" s="32">
        <f t="shared" si="122"/>
        <v>1121</v>
      </c>
      <c r="CY31" s="32">
        <f t="shared" si="122"/>
        <v>984</v>
      </c>
      <c r="CZ31" s="32">
        <f t="shared" si="122"/>
        <v>676</v>
      </c>
      <c r="DA31" s="32">
        <f t="shared" si="122"/>
        <v>729</v>
      </c>
      <c r="DB31" s="32">
        <f t="shared" si="122"/>
        <v>984</v>
      </c>
      <c r="DC31" s="32">
        <f t="shared" si="122"/>
        <v>884</v>
      </c>
      <c r="DD31" s="32">
        <f t="shared" si="122"/>
        <v>786</v>
      </c>
      <c r="DE31" s="32">
        <f t="shared" si="122"/>
        <v>883</v>
      </c>
      <c r="DF31" s="32">
        <f t="shared" si="122"/>
        <v>1169</v>
      </c>
      <c r="DG31" s="32">
        <f t="shared" si="122"/>
        <v>675</v>
      </c>
      <c r="DH31" s="32">
        <f t="shared" si="122"/>
        <v>560</v>
      </c>
      <c r="DI31" s="38">
        <f t="shared" si="0"/>
        <v>10417</v>
      </c>
      <c r="DJ31" s="36">
        <f t="shared" si="17"/>
        <v>12295</v>
      </c>
      <c r="DK31" s="26"/>
      <c r="DL31" s="32">
        <f>SUM(DL28:DL30)</f>
        <v>11</v>
      </c>
      <c r="DM31" s="32">
        <f t="shared" ref="DM31:DW31" si="123">SUM(DM28:DM30)</f>
        <v>6</v>
      </c>
      <c r="DN31" s="32">
        <f t="shared" si="123"/>
        <v>12</v>
      </c>
      <c r="DO31" s="32">
        <f t="shared" si="123"/>
        <v>25</v>
      </c>
      <c r="DP31" s="32">
        <f t="shared" si="123"/>
        <v>118</v>
      </c>
      <c r="DQ31" s="32">
        <f t="shared" si="123"/>
        <v>110</v>
      </c>
      <c r="DR31" s="32">
        <f t="shared" si="123"/>
        <v>81</v>
      </c>
      <c r="DS31" s="32">
        <f t="shared" si="123"/>
        <v>83</v>
      </c>
      <c r="DT31" s="32">
        <f t="shared" si="123"/>
        <v>20</v>
      </c>
      <c r="DU31" s="32">
        <f t="shared" si="123"/>
        <v>70</v>
      </c>
      <c r="DV31" s="32">
        <f t="shared" si="123"/>
        <v>53</v>
      </c>
      <c r="DW31" s="69">
        <f t="shared" si="123"/>
        <v>90</v>
      </c>
      <c r="DX31" s="38">
        <f t="shared" si="1"/>
        <v>679</v>
      </c>
      <c r="DY31" s="63">
        <f>SUM(DY28:DY30)</f>
        <v>650</v>
      </c>
      <c r="DZ31" s="63">
        <f t="shared" ref="DZ31:EJ31" si="124">SUM(DZ28:DZ30)</f>
        <v>596</v>
      </c>
      <c r="EA31" s="63">
        <f t="shared" si="124"/>
        <v>538</v>
      </c>
      <c r="EB31" s="63">
        <f t="shared" si="124"/>
        <v>356</v>
      </c>
      <c r="EC31" s="63">
        <f t="shared" si="124"/>
        <v>274</v>
      </c>
      <c r="ED31" s="63">
        <f t="shared" si="124"/>
        <v>230</v>
      </c>
      <c r="EE31" s="63">
        <f t="shared" si="124"/>
        <v>327</v>
      </c>
      <c r="EF31" s="63">
        <f t="shared" si="124"/>
        <v>365</v>
      </c>
      <c r="EG31" s="63">
        <f t="shared" si="124"/>
        <v>532</v>
      </c>
      <c r="EH31" s="63">
        <f t="shared" si="124"/>
        <v>590</v>
      </c>
      <c r="EI31" s="63">
        <f t="shared" si="124"/>
        <v>491</v>
      </c>
      <c r="EJ31" s="63">
        <f t="shared" si="124"/>
        <v>575</v>
      </c>
      <c r="EK31" s="38">
        <f t="shared" si="18"/>
        <v>5524</v>
      </c>
      <c r="EL31" s="36">
        <f t="shared" si="19"/>
        <v>6203</v>
      </c>
      <c r="EM31" s="26"/>
      <c r="EN31" s="101">
        <f>SUM(EN28:EN30)</f>
        <v>925</v>
      </c>
      <c r="EO31" s="101">
        <f t="shared" ref="EO31:EY31" si="125">SUM(EO28:EO30)</f>
        <v>927</v>
      </c>
      <c r="EP31" s="101">
        <f t="shared" si="125"/>
        <v>805</v>
      </c>
      <c r="EQ31" s="101">
        <f t="shared" si="125"/>
        <v>558</v>
      </c>
      <c r="ER31" s="101">
        <f t="shared" si="125"/>
        <v>734</v>
      </c>
      <c r="ES31" s="101">
        <f t="shared" si="125"/>
        <v>815</v>
      </c>
      <c r="ET31" s="101">
        <f t="shared" si="125"/>
        <v>1115</v>
      </c>
      <c r="EU31" s="101">
        <f t="shared" si="125"/>
        <v>1285</v>
      </c>
      <c r="EV31" s="101">
        <f t="shared" si="125"/>
        <v>992</v>
      </c>
      <c r="EW31" s="101">
        <f t="shared" si="125"/>
        <v>1105</v>
      </c>
      <c r="EX31" s="101">
        <f t="shared" si="125"/>
        <v>709</v>
      </c>
      <c r="EY31" s="101">
        <f t="shared" si="125"/>
        <v>711</v>
      </c>
      <c r="EZ31" s="38">
        <f t="shared" si="2"/>
        <v>10681</v>
      </c>
      <c r="FA31" s="26"/>
      <c r="FB31" s="54">
        <f>SUM(FB28:FB30)</f>
        <v>626</v>
      </c>
      <c r="FC31" s="54">
        <f t="shared" ref="FC31:FM31" si="126">SUM(FC28:FC30)</f>
        <v>552</v>
      </c>
      <c r="FD31" s="54">
        <f t="shared" si="126"/>
        <v>410</v>
      </c>
      <c r="FE31" s="54">
        <f t="shared" si="126"/>
        <v>303</v>
      </c>
      <c r="FF31" s="54">
        <f t="shared" si="126"/>
        <v>845</v>
      </c>
      <c r="FG31" s="54">
        <f t="shared" si="126"/>
        <v>442</v>
      </c>
      <c r="FH31" s="54">
        <f t="shared" si="126"/>
        <v>442</v>
      </c>
      <c r="FI31" s="54">
        <f t="shared" si="126"/>
        <v>476</v>
      </c>
      <c r="FJ31" s="54">
        <f t="shared" si="126"/>
        <v>475</v>
      </c>
      <c r="FK31" s="54">
        <f t="shared" si="126"/>
        <v>442</v>
      </c>
      <c r="FL31" s="54">
        <f t="shared" si="126"/>
        <v>471</v>
      </c>
      <c r="FM31" s="54">
        <f t="shared" si="126"/>
        <v>369</v>
      </c>
      <c r="FN31" s="38">
        <f t="shared" si="20"/>
        <v>5853</v>
      </c>
      <c r="FO31" s="26"/>
      <c r="FP31" s="32">
        <f>SUM(FP28:FP30)</f>
        <v>399</v>
      </c>
      <c r="FQ31" s="32">
        <f t="shared" ref="FQ31:GA31" si="127">SUM(FQ28:FQ30)</f>
        <v>363</v>
      </c>
      <c r="FR31" s="32">
        <f t="shared" si="127"/>
        <v>242</v>
      </c>
      <c r="FS31" s="32">
        <f t="shared" si="127"/>
        <v>85</v>
      </c>
      <c r="FT31" s="32">
        <f t="shared" si="127"/>
        <v>63</v>
      </c>
      <c r="FU31" s="32">
        <f t="shared" si="127"/>
        <v>52</v>
      </c>
      <c r="FV31" s="32">
        <f t="shared" si="127"/>
        <v>78</v>
      </c>
      <c r="FW31" s="32">
        <f t="shared" si="127"/>
        <v>79</v>
      </c>
      <c r="FX31" s="32">
        <f t="shared" si="127"/>
        <v>90</v>
      </c>
      <c r="FY31" s="32">
        <f t="shared" si="127"/>
        <v>67</v>
      </c>
      <c r="FZ31" s="32">
        <f t="shared" si="127"/>
        <v>79</v>
      </c>
      <c r="GA31" s="32">
        <f t="shared" si="127"/>
        <v>71</v>
      </c>
      <c r="GB31" s="38">
        <f t="shared" si="21"/>
        <v>1668</v>
      </c>
      <c r="GC31" s="26"/>
      <c r="GD31" s="101">
        <f>SUM(GD28:GD30)</f>
        <v>161</v>
      </c>
      <c r="GE31" s="101">
        <f t="shared" ref="GE31:GO31" si="128">SUM(GE28:GE30)</f>
        <v>332</v>
      </c>
      <c r="GF31" s="101">
        <f t="shared" si="128"/>
        <v>210</v>
      </c>
      <c r="GG31" s="101">
        <f t="shared" si="128"/>
        <v>90</v>
      </c>
      <c r="GH31" s="101">
        <f t="shared" si="128"/>
        <v>112</v>
      </c>
      <c r="GI31" s="101">
        <f t="shared" si="128"/>
        <v>166</v>
      </c>
      <c r="GJ31" s="101">
        <f t="shared" si="128"/>
        <v>176</v>
      </c>
      <c r="GK31" s="101">
        <f t="shared" si="128"/>
        <v>157</v>
      </c>
      <c r="GL31" s="101">
        <f t="shared" si="128"/>
        <v>283</v>
      </c>
      <c r="GM31" s="101">
        <f t="shared" si="128"/>
        <v>372</v>
      </c>
      <c r="GN31" s="101">
        <f t="shared" si="128"/>
        <v>272</v>
      </c>
      <c r="GO31" s="101">
        <f t="shared" si="128"/>
        <v>358</v>
      </c>
      <c r="GP31" s="38">
        <f t="shared" si="22"/>
        <v>2689</v>
      </c>
      <c r="GQ31" s="26"/>
      <c r="GR31" s="32">
        <f>SUM(GR28:GR30)</f>
        <v>41</v>
      </c>
      <c r="GS31" s="32">
        <f t="shared" ref="GS31:HC31" si="129">SUM(GS28:GS30)</f>
        <v>20</v>
      </c>
      <c r="GT31" s="32">
        <f t="shared" si="129"/>
        <v>28</v>
      </c>
      <c r="GU31" s="32">
        <f t="shared" si="129"/>
        <v>12</v>
      </c>
      <c r="GV31" s="32">
        <f t="shared" si="129"/>
        <v>11</v>
      </c>
      <c r="GW31" s="32">
        <f t="shared" si="129"/>
        <v>18</v>
      </c>
      <c r="GX31" s="32">
        <f t="shared" si="129"/>
        <v>21</v>
      </c>
      <c r="GY31" s="32">
        <f t="shared" si="129"/>
        <v>21</v>
      </c>
      <c r="GZ31" s="32">
        <f t="shared" si="129"/>
        <v>24</v>
      </c>
      <c r="HA31" s="32">
        <f t="shared" si="129"/>
        <v>15</v>
      </c>
      <c r="HB31" s="32">
        <f t="shared" si="129"/>
        <v>16</v>
      </c>
      <c r="HC31" s="32">
        <f t="shared" si="129"/>
        <v>17</v>
      </c>
      <c r="HD31" s="38">
        <f t="shared" si="23"/>
        <v>244</v>
      </c>
      <c r="HE31" s="26"/>
      <c r="HF31" s="45">
        <f>SUM(HF28:HF30)</f>
        <v>842</v>
      </c>
      <c r="HG31" s="45">
        <f t="shared" ref="HG31:HQ31" si="130">SUM(HG28:HG30)</f>
        <v>930</v>
      </c>
      <c r="HH31" s="45">
        <f t="shared" si="130"/>
        <v>784</v>
      </c>
      <c r="HI31" s="45">
        <f t="shared" si="130"/>
        <v>494</v>
      </c>
      <c r="HJ31" s="45">
        <f t="shared" si="130"/>
        <v>690</v>
      </c>
      <c r="HK31" s="45">
        <f t="shared" si="130"/>
        <v>686</v>
      </c>
      <c r="HL31" s="45">
        <f t="shared" si="130"/>
        <v>693</v>
      </c>
      <c r="HM31" s="45">
        <f t="shared" si="130"/>
        <v>785</v>
      </c>
      <c r="HN31" s="45">
        <f t="shared" si="130"/>
        <v>744</v>
      </c>
      <c r="HO31" s="45">
        <f t="shared" si="130"/>
        <v>813</v>
      </c>
      <c r="HP31" s="45">
        <f t="shared" si="130"/>
        <v>711</v>
      </c>
      <c r="HQ31" s="45">
        <f t="shared" si="130"/>
        <v>561</v>
      </c>
      <c r="HR31" s="38">
        <f t="shared" si="24"/>
        <v>8733</v>
      </c>
      <c r="HS31" s="26"/>
      <c r="HT31" s="32">
        <f>SUM(HT28:HT30)</f>
        <v>458</v>
      </c>
      <c r="HU31" s="32">
        <f t="shared" ref="HU31:IE31" si="131">SUM(HU28:HU30)</f>
        <v>380</v>
      </c>
      <c r="HV31" s="32">
        <f t="shared" si="131"/>
        <v>430</v>
      </c>
      <c r="HW31" s="32">
        <f t="shared" si="131"/>
        <v>128</v>
      </c>
      <c r="HX31" s="32">
        <f t="shared" si="131"/>
        <v>111</v>
      </c>
      <c r="HY31" s="32">
        <f t="shared" si="131"/>
        <v>173</v>
      </c>
      <c r="HZ31" s="32">
        <f t="shared" si="131"/>
        <v>204</v>
      </c>
      <c r="IA31" s="32">
        <f t="shared" si="131"/>
        <v>185</v>
      </c>
      <c r="IB31" s="32">
        <f t="shared" si="131"/>
        <v>285</v>
      </c>
      <c r="IC31" s="32">
        <f t="shared" si="131"/>
        <v>147</v>
      </c>
      <c r="ID31" s="32">
        <f t="shared" si="131"/>
        <v>190</v>
      </c>
      <c r="IE31" s="32">
        <f t="shared" si="131"/>
        <v>188</v>
      </c>
      <c r="IF31" s="38">
        <f t="shared" si="3"/>
        <v>2879</v>
      </c>
      <c r="IG31" s="104">
        <f>SUM(IG28:IG30)</f>
        <v>244</v>
      </c>
      <c r="IH31" s="104">
        <f t="shared" ref="IH31:IR31" si="132">SUM(IH28:IH30)</f>
        <v>212</v>
      </c>
      <c r="II31" s="104">
        <f t="shared" si="132"/>
        <v>265</v>
      </c>
      <c r="IJ31" s="104">
        <f t="shared" si="132"/>
        <v>198</v>
      </c>
      <c r="IK31" s="104">
        <f t="shared" si="132"/>
        <v>182</v>
      </c>
      <c r="IL31" s="104">
        <f t="shared" si="132"/>
        <v>279</v>
      </c>
      <c r="IM31" s="104">
        <f t="shared" si="132"/>
        <v>303</v>
      </c>
      <c r="IN31" s="104">
        <f t="shared" si="132"/>
        <v>193</v>
      </c>
      <c r="IO31" s="104">
        <f t="shared" si="132"/>
        <v>201</v>
      </c>
      <c r="IP31" s="104">
        <f t="shared" si="132"/>
        <v>259</v>
      </c>
      <c r="IQ31" s="104">
        <f t="shared" si="132"/>
        <v>374</v>
      </c>
      <c r="IR31" s="104">
        <f t="shared" si="132"/>
        <v>162</v>
      </c>
      <c r="IS31" s="38">
        <f t="shared" si="25"/>
        <v>2872</v>
      </c>
      <c r="IT31" s="36">
        <f t="shared" si="26"/>
        <v>5751</v>
      </c>
      <c r="IU31" s="26"/>
      <c r="IV31" s="32">
        <f>SUM(IV28:IV30)</f>
        <v>274</v>
      </c>
      <c r="IW31" s="32">
        <f t="shared" ref="IW31:JG31" si="133">SUM(IW28:IW30)</f>
        <v>279</v>
      </c>
      <c r="IX31" s="32">
        <f t="shared" si="133"/>
        <v>291</v>
      </c>
      <c r="IY31" s="32">
        <f t="shared" si="133"/>
        <v>334</v>
      </c>
      <c r="IZ31" s="32">
        <f t="shared" si="133"/>
        <v>320</v>
      </c>
      <c r="JA31" s="32">
        <f t="shared" si="133"/>
        <v>308</v>
      </c>
      <c r="JB31" s="32">
        <f t="shared" si="133"/>
        <v>270</v>
      </c>
      <c r="JC31" s="32">
        <f t="shared" si="133"/>
        <v>247</v>
      </c>
      <c r="JD31" s="32">
        <f t="shared" si="133"/>
        <v>228</v>
      </c>
      <c r="JE31" s="32">
        <f t="shared" si="133"/>
        <v>235</v>
      </c>
      <c r="JF31" s="32">
        <f t="shared" si="133"/>
        <v>234</v>
      </c>
      <c r="JG31" s="32">
        <f t="shared" si="133"/>
        <v>243</v>
      </c>
      <c r="JH31" s="38">
        <f t="shared" si="27"/>
        <v>3263</v>
      </c>
      <c r="JI31" s="32">
        <f>SUM(JI28:JI30)</f>
        <v>1132.8</v>
      </c>
      <c r="JJ31" s="32">
        <f t="shared" ref="JJ31:JT31" si="134">SUM(JJ28:JJ30)</f>
        <v>1199.4000000000001</v>
      </c>
      <c r="JK31" s="32">
        <f t="shared" si="134"/>
        <v>891.4</v>
      </c>
      <c r="JL31" s="32">
        <f t="shared" si="134"/>
        <v>583</v>
      </c>
      <c r="JM31" s="32">
        <f t="shared" si="134"/>
        <v>562.00000000000011</v>
      </c>
      <c r="JN31" s="32">
        <f t="shared" si="134"/>
        <v>671.8</v>
      </c>
      <c r="JO31" s="32">
        <f t="shared" si="134"/>
        <v>420.4</v>
      </c>
      <c r="JP31" s="32">
        <f t="shared" si="134"/>
        <v>757.40000000000009</v>
      </c>
      <c r="JQ31" s="32">
        <f t="shared" si="134"/>
        <v>787.2</v>
      </c>
      <c r="JR31" s="32">
        <f t="shared" si="134"/>
        <v>830.2</v>
      </c>
      <c r="JS31" s="32">
        <f t="shared" si="134"/>
        <v>953.40000000000009</v>
      </c>
      <c r="JT31" s="32">
        <f t="shared" si="134"/>
        <v>943.80000000000007</v>
      </c>
      <c r="JU31" s="112">
        <f t="shared" si="4"/>
        <v>9732.7999999999993</v>
      </c>
      <c r="JV31" s="36">
        <f t="shared" si="28"/>
        <v>12995.8</v>
      </c>
      <c r="JW31" s="26"/>
      <c r="JX31" s="32">
        <f>SUM(JX28:JX30)</f>
        <v>198</v>
      </c>
      <c r="JY31" s="32">
        <f t="shared" ref="JY31:KI31" si="135">SUM(JY28:JY30)</f>
        <v>205</v>
      </c>
      <c r="JZ31" s="32">
        <f t="shared" si="135"/>
        <v>136</v>
      </c>
      <c r="KA31" s="32">
        <f t="shared" si="135"/>
        <v>109</v>
      </c>
      <c r="KB31" s="32">
        <f t="shared" si="135"/>
        <v>81</v>
      </c>
      <c r="KC31" s="32">
        <f t="shared" si="135"/>
        <v>106</v>
      </c>
      <c r="KD31" s="32">
        <f t="shared" si="135"/>
        <v>121</v>
      </c>
      <c r="KE31" s="32">
        <f t="shared" si="135"/>
        <v>139</v>
      </c>
      <c r="KF31" s="32">
        <f t="shared" si="135"/>
        <v>162</v>
      </c>
      <c r="KG31" s="32">
        <f t="shared" si="135"/>
        <v>77</v>
      </c>
      <c r="KH31" s="32">
        <f t="shared" si="135"/>
        <v>54</v>
      </c>
      <c r="KI31" s="32">
        <f t="shared" si="135"/>
        <v>94</v>
      </c>
      <c r="KJ31" s="38">
        <f t="shared" si="29"/>
        <v>1482</v>
      </c>
      <c r="KK31" s="32">
        <f>SUM(KK28:KK30)</f>
        <v>326</v>
      </c>
      <c r="KL31" s="32">
        <f t="shared" ref="KL31:KV31" si="136">SUM(KL28:KL30)</f>
        <v>331</v>
      </c>
      <c r="KM31" s="32">
        <f t="shared" si="136"/>
        <v>380</v>
      </c>
      <c r="KN31" s="32">
        <f t="shared" si="136"/>
        <v>242</v>
      </c>
      <c r="KO31" s="32">
        <f t="shared" si="136"/>
        <v>304</v>
      </c>
      <c r="KP31" s="32">
        <f t="shared" si="136"/>
        <v>528</v>
      </c>
      <c r="KQ31" s="32">
        <f t="shared" si="136"/>
        <v>607</v>
      </c>
      <c r="KR31" s="32">
        <f t="shared" si="136"/>
        <v>319</v>
      </c>
      <c r="KS31" s="32">
        <f t="shared" si="136"/>
        <v>584</v>
      </c>
      <c r="KT31" s="32">
        <f t="shared" si="136"/>
        <v>496</v>
      </c>
      <c r="KU31" s="32">
        <f t="shared" si="136"/>
        <v>491</v>
      </c>
      <c r="KV31" s="32">
        <f t="shared" si="136"/>
        <v>1094</v>
      </c>
      <c r="KW31" s="38">
        <f t="shared" si="5"/>
        <v>5702</v>
      </c>
      <c r="KX31" s="36">
        <f t="shared" si="30"/>
        <v>7184</v>
      </c>
      <c r="KY31" s="26"/>
      <c r="KZ31" s="101">
        <f>SUM(KZ28:KZ30)</f>
        <v>102</v>
      </c>
      <c r="LA31" s="101">
        <f t="shared" ref="LA31:LK31" si="137">SUM(LA28:LA30)</f>
        <v>79</v>
      </c>
      <c r="LB31" s="101">
        <f t="shared" si="137"/>
        <v>121</v>
      </c>
      <c r="LC31" s="101">
        <f t="shared" si="137"/>
        <v>123</v>
      </c>
      <c r="LD31" s="101">
        <f t="shared" si="137"/>
        <v>199</v>
      </c>
      <c r="LE31" s="101">
        <f t="shared" si="137"/>
        <v>145</v>
      </c>
      <c r="LF31" s="101">
        <f t="shared" si="137"/>
        <v>128</v>
      </c>
      <c r="LG31" s="101">
        <f t="shared" si="137"/>
        <v>231</v>
      </c>
      <c r="LH31" s="101">
        <f t="shared" si="137"/>
        <v>285</v>
      </c>
      <c r="LI31" s="101">
        <f t="shared" si="137"/>
        <v>323</v>
      </c>
      <c r="LJ31" s="101">
        <f t="shared" si="137"/>
        <v>214</v>
      </c>
      <c r="LK31" s="101">
        <f t="shared" si="137"/>
        <v>242</v>
      </c>
      <c r="LL31" s="38">
        <f t="shared" si="6"/>
        <v>2192</v>
      </c>
      <c r="LM31" s="26"/>
      <c r="LN31" s="71">
        <f>SUM(LN28:LN30)</f>
        <v>1032</v>
      </c>
      <c r="LO31" s="71">
        <f t="shared" ref="LO31:LY31" si="138">SUM(LO28:LO30)</f>
        <v>1039</v>
      </c>
      <c r="LP31" s="71">
        <f t="shared" si="138"/>
        <v>959</v>
      </c>
      <c r="LQ31" s="71">
        <f t="shared" si="138"/>
        <v>887</v>
      </c>
      <c r="LR31" s="71">
        <f t="shared" si="138"/>
        <v>829</v>
      </c>
      <c r="LS31" s="71">
        <f t="shared" si="138"/>
        <v>795</v>
      </c>
      <c r="LT31" s="71">
        <f t="shared" si="138"/>
        <v>1648</v>
      </c>
      <c r="LU31" s="71">
        <f t="shared" si="138"/>
        <v>828</v>
      </c>
      <c r="LV31" s="71">
        <f t="shared" si="138"/>
        <v>735</v>
      </c>
      <c r="LW31" s="71">
        <f t="shared" si="138"/>
        <v>742</v>
      </c>
      <c r="LX31" s="71">
        <f t="shared" si="138"/>
        <v>629</v>
      </c>
      <c r="LY31" s="71">
        <f t="shared" si="138"/>
        <v>726</v>
      </c>
      <c r="LZ31" s="38">
        <f t="shared" si="31"/>
        <v>10849</v>
      </c>
      <c r="MA31" s="26"/>
      <c r="MB31" s="45">
        <f>SUM(MB28:MB30)</f>
        <v>1282</v>
      </c>
      <c r="MC31" s="45">
        <f t="shared" ref="MC31:MM31" si="139">SUM(MC28:MC30)</f>
        <v>1020</v>
      </c>
      <c r="MD31" s="45">
        <f t="shared" si="139"/>
        <v>909</v>
      </c>
      <c r="ME31" s="45">
        <f t="shared" si="139"/>
        <v>742</v>
      </c>
      <c r="MF31" s="45">
        <f t="shared" si="139"/>
        <v>945</v>
      </c>
      <c r="MG31" s="45">
        <f t="shared" si="139"/>
        <v>737</v>
      </c>
      <c r="MH31" s="45">
        <f t="shared" si="139"/>
        <v>893</v>
      </c>
      <c r="MI31" s="45">
        <f t="shared" si="139"/>
        <v>761</v>
      </c>
      <c r="MJ31" s="45">
        <f t="shared" si="139"/>
        <v>943</v>
      </c>
      <c r="MK31" s="45">
        <f t="shared" si="139"/>
        <v>1150</v>
      </c>
      <c r="ML31" s="45">
        <f t="shared" si="139"/>
        <v>1302</v>
      </c>
      <c r="MM31" s="45">
        <f t="shared" si="139"/>
        <v>883</v>
      </c>
      <c r="MN31" s="38">
        <f t="shared" si="32"/>
        <v>11567</v>
      </c>
      <c r="MO31" s="32">
        <f>SUM(MO28:MO30)</f>
        <v>1343</v>
      </c>
      <c r="MP31" s="32">
        <f t="shared" ref="MP31:MZ31" si="140">SUM(MP28:MP30)</f>
        <v>1020</v>
      </c>
      <c r="MQ31" s="32">
        <f t="shared" si="140"/>
        <v>899</v>
      </c>
      <c r="MR31" s="32">
        <f t="shared" si="140"/>
        <v>309</v>
      </c>
      <c r="MS31" s="32">
        <f t="shared" si="140"/>
        <v>380</v>
      </c>
      <c r="MT31" s="32">
        <f t="shared" si="140"/>
        <v>380</v>
      </c>
      <c r="MU31" s="32">
        <f t="shared" si="140"/>
        <v>392</v>
      </c>
      <c r="MV31" s="32">
        <f t="shared" si="140"/>
        <v>463</v>
      </c>
      <c r="MW31" s="32">
        <f t="shared" si="140"/>
        <v>509</v>
      </c>
      <c r="MX31" s="32">
        <f t="shared" si="140"/>
        <v>620</v>
      </c>
      <c r="MY31" s="32">
        <f t="shared" si="140"/>
        <v>818</v>
      </c>
      <c r="MZ31" s="32">
        <f t="shared" si="140"/>
        <v>735</v>
      </c>
      <c r="NA31" s="38">
        <f t="shared" si="33"/>
        <v>7868</v>
      </c>
      <c r="NB31" s="36">
        <f t="shared" si="34"/>
        <v>19435</v>
      </c>
      <c r="NC31" s="26"/>
      <c r="ND31" s="101">
        <f>SUM(ND28:ND30)</f>
        <v>128</v>
      </c>
      <c r="NE31" s="101">
        <f t="shared" ref="NE31:NO31" si="141">SUM(NE28:NE30)</f>
        <v>136</v>
      </c>
      <c r="NF31" s="101">
        <f t="shared" si="141"/>
        <v>113</v>
      </c>
      <c r="NG31" s="101">
        <f t="shared" si="141"/>
        <v>94</v>
      </c>
      <c r="NH31" s="101">
        <f t="shared" si="141"/>
        <v>85</v>
      </c>
      <c r="NI31" s="101">
        <f t="shared" si="141"/>
        <v>139</v>
      </c>
      <c r="NJ31" s="101">
        <f t="shared" si="141"/>
        <v>257</v>
      </c>
      <c r="NK31" s="101">
        <f t="shared" si="141"/>
        <v>199</v>
      </c>
      <c r="NL31" s="101">
        <f t="shared" si="141"/>
        <v>162</v>
      </c>
      <c r="NM31" s="101">
        <f t="shared" si="141"/>
        <v>207</v>
      </c>
      <c r="NN31" s="101">
        <f t="shared" si="141"/>
        <v>142</v>
      </c>
      <c r="NO31" s="101">
        <f t="shared" si="141"/>
        <v>153</v>
      </c>
      <c r="NP31" s="38">
        <f t="shared" si="35"/>
        <v>1815</v>
      </c>
      <c r="NQ31" s="36">
        <f t="shared" si="36"/>
        <v>24201.454545454544</v>
      </c>
      <c r="NR31" s="36">
        <f t="shared" si="37"/>
        <v>87719</v>
      </c>
      <c r="NS31" s="36">
        <f t="shared" si="38"/>
        <v>48640.800000000003</v>
      </c>
      <c r="NT31" s="36">
        <f t="shared" si="39"/>
        <v>160561.25454545455</v>
      </c>
      <c r="NU31" s="18"/>
      <c r="NV31" s="18"/>
      <c r="NW31" s="18"/>
      <c r="NX31" s="19"/>
      <c r="NY31" s="19"/>
      <c r="NZ31" s="19"/>
      <c r="OA31" s="19"/>
      <c r="OB31" s="19"/>
      <c r="OC31" s="19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8"/>
      <c r="OR31" s="18"/>
      <c r="OS31" s="18"/>
      <c r="OT31" s="18"/>
      <c r="OU31" s="18"/>
      <c r="OV31" s="18"/>
      <c r="OW31" s="18"/>
      <c r="OX31" s="19"/>
      <c r="OY31" s="19"/>
      <c r="OZ31" s="19"/>
      <c r="PA31" s="19"/>
      <c r="PB31" s="19"/>
      <c r="PC31" s="19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8"/>
      <c r="PR31" s="18"/>
      <c r="PS31" s="18"/>
      <c r="PT31" s="18"/>
      <c r="PU31" s="18"/>
      <c r="PV31" s="18"/>
      <c r="PW31" s="18"/>
      <c r="PX31" s="19"/>
      <c r="PY31" s="19"/>
      <c r="PZ31" s="19"/>
      <c r="QA31" s="19"/>
      <c r="QB31" s="19"/>
      <c r="QC31" s="19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</row>
    <row r="32" spans="1:458" s="1" customFormat="1" ht="50.1" customHeight="1" x14ac:dyDescent="0.25">
      <c r="A32" s="120"/>
      <c r="B32" s="6" t="s">
        <v>21</v>
      </c>
      <c r="C32" s="23"/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38">
        <f t="shared" si="7"/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38">
        <f t="shared" si="8"/>
        <v>0</v>
      </c>
      <c r="AD32" s="36">
        <f t="shared" si="9"/>
        <v>0</v>
      </c>
      <c r="AE32" s="26"/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8">
        <f t="shared" si="10"/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8">
        <f t="shared" si="11"/>
        <v>0</v>
      </c>
      <c r="BF32" s="36">
        <f t="shared" si="12"/>
        <v>0</v>
      </c>
      <c r="BG32" s="26"/>
      <c r="BH32" s="41">
        <v>0</v>
      </c>
      <c r="BI32" s="41">
        <v>0</v>
      </c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  <c r="BQ32" s="41">
        <v>0</v>
      </c>
      <c r="BR32" s="41">
        <v>0</v>
      </c>
      <c r="BS32" s="41">
        <v>0</v>
      </c>
      <c r="BT32" s="38">
        <f t="shared" si="13"/>
        <v>0</v>
      </c>
      <c r="BU32" s="56">
        <v>0</v>
      </c>
      <c r="BV32" s="56">
        <v>0</v>
      </c>
      <c r="BW32" s="56">
        <v>0</v>
      </c>
      <c r="BX32" s="56">
        <v>1</v>
      </c>
      <c r="BY32" s="56">
        <v>2</v>
      </c>
      <c r="BZ32" s="56">
        <v>2</v>
      </c>
      <c r="CA32" s="56">
        <v>1</v>
      </c>
      <c r="CB32" s="56">
        <v>0</v>
      </c>
      <c r="CC32" s="56">
        <v>0</v>
      </c>
      <c r="CD32" s="56">
        <v>0</v>
      </c>
      <c r="CE32" s="56">
        <v>0</v>
      </c>
      <c r="CF32" s="56">
        <v>0</v>
      </c>
      <c r="CG32" s="61">
        <f t="shared" si="14"/>
        <v>6</v>
      </c>
      <c r="CH32" s="57">
        <f t="shared" si="15"/>
        <v>6</v>
      </c>
      <c r="CI32" s="26"/>
      <c r="CJ32" s="32">
        <v>8</v>
      </c>
      <c r="CK32" s="32">
        <v>7</v>
      </c>
      <c r="CL32" s="32">
        <v>4</v>
      </c>
      <c r="CM32" s="32">
        <v>9</v>
      </c>
      <c r="CN32" s="32">
        <v>9</v>
      </c>
      <c r="CO32" s="32">
        <v>12</v>
      </c>
      <c r="CP32" s="32">
        <v>10</v>
      </c>
      <c r="CQ32" s="32">
        <v>8</v>
      </c>
      <c r="CR32" s="32">
        <v>8</v>
      </c>
      <c r="CS32" s="32">
        <v>4</v>
      </c>
      <c r="CT32" s="32">
        <v>7</v>
      </c>
      <c r="CU32" s="69">
        <v>11</v>
      </c>
      <c r="CV32" s="38">
        <f t="shared" si="16"/>
        <v>97</v>
      </c>
      <c r="CW32" s="45">
        <v>1</v>
      </c>
      <c r="CX32" s="45">
        <v>1</v>
      </c>
      <c r="CY32" s="45">
        <v>5</v>
      </c>
      <c r="CZ32" s="45">
        <v>1</v>
      </c>
      <c r="DA32" s="45">
        <v>7</v>
      </c>
      <c r="DB32" s="45">
        <v>8</v>
      </c>
      <c r="DC32" s="45">
        <v>5</v>
      </c>
      <c r="DD32" s="45">
        <v>3</v>
      </c>
      <c r="DE32" s="45">
        <v>7</v>
      </c>
      <c r="DF32" s="45">
        <v>1</v>
      </c>
      <c r="DG32" s="45">
        <v>3</v>
      </c>
      <c r="DH32" s="45">
        <v>3</v>
      </c>
      <c r="DI32" s="38">
        <f t="shared" si="0"/>
        <v>45</v>
      </c>
      <c r="DJ32" s="36">
        <f t="shared" si="17"/>
        <v>142</v>
      </c>
      <c r="DK32" s="26"/>
      <c r="DL32" s="75">
        <v>0</v>
      </c>
      <c r="DM32" s="75">
        <v>0</v>
      </c>
      <c r="DN32" s="75">
        <v>0</v>
      </c>
      <c r="DO32" s="75">
        <v>0</v>
      </c>
      <c r="DP32" s="75">
        <v>0</v>
      </c>
      <c r="DQ32" s="75">
        <v>0</v>
      </c>
      <c r="DR32" s="75">
        <v>0</v>
      </c>
      <c r="DS32" s="75">
        <v>0</v>
      </c>
      <c r="DT32" s="75">
        <v>0</v>
      </c>
      <c r="DU32" s="75">
        <v>0</v>
      </c>
      <c r="DV32" s="75">
        <v>0</v>
      </c>
      <c r="DW32" s="83">
        <v>0</v>
      </c>
      <c r="DX32" s="38">
        <f t="shared" si="1"/>
        <v>0</v>
      </c>
      <c r="DY32" s="65">
        <v>2</v>
      </c>
      <c r="DZ32" s="65">
        <v>3</v>
      </c>
      <c r="EA32" s="65">
        <v>1</v>
      </c>
      <c r="EB32" s="65">
        <v>2</v>
      </c>
      <c r="EC32" s="65">
        <v>2</v>
      </c>
      <c r="ED32" s="65">
        <v>1</v>
      </c>
      <c r="EE32" s="65">
        <v>2</v>
      </c>
      <c r="EF32" s="65">
        <v>3</v>
      </c>
      <c r="EG32" s="65">
        <v>2</v>
      </c>
      <c r="EH32" s="65">
        <v>4</v>
      </c>
      <c r="EI32" s="65">
        <v>2</v>
      </c>
      <c r="EJ32" s="65">
        <v>2</v>
      </c>
      <c r="EK32" s="38">
        <f t="shared" si="18"/>
        <v>26</v>
      </c>
      <c r="EL32" s="36">
        <f t="shared" si="19"/>
        <v>26</v>
      </c>
      <c r="EM32" s="26"/>
      <c r="EN32" s="32">
        <v>0</v>
      </c>
      <c r="EO32" s="32">
        <v>0</v>
      </c>
      <c r="EP32" s="32">
        <v>0</v>
      </c>
      <c r="EQ32" s="32">
        <v>0</v>
      </c>
      <c r="ER32" s="32">
        <v>0</v>
      </c>
      <c r="ES32" s="32">
        <v>0</v>
      </c>
      <c r="ET32" s="32">
        <v>0</v>
      </c>
      <c r="EU32" s="32">
        <v>0</v>
      </c>
      <c r="EV32" s="32">
        <v>0</v>
      </c>
      <c r="EW32" s="32">
        <v>0</v>
      </c>
      <c r="EX32" s="32">
        <v>0</v>
      </c>
      <c r="EY32" s="32">
        <v>0</v>
      </c>
      <c r="EZ32" s="38">
        <f t="shared" si="2"/>
        <v>0</v>
      </c>
      <c r="FA32" s="26"/>
      <c r="FB32" s="54">
        <v>0</v>
      </c>
      <c r="FC32" s="54">
        <v>0</v>
      </c>
      <c r="FD32" s="54">
        <v>0</v>
      </c>
      <c r="FE32" s="54">
        <v>0</v>
      </c>
      <c r="FF32" s="54">
        <v>0</v>
      </c>
      <c r="FG32" s="54">
        <v>0</v>
      </c>
      <c r="FH32" s="54">
        <v>0</v>
      </c>
      <c r="FI32" s="54">
        <v>0</v>
      </c>
      <c r="FJ32" s="54">
        <v>0</v>
      </c>
      <c r="FK32" s="54">
        <v>0</v>
      </c>
      <c r="FL32" s="54">
        <v>0</v>
      </c>
      <c r="FM32" s="54">
        <v>0</v>
      </c>
      <c r="FN32" s="38">
        <f t="shared" si="20"/>
        <v>0</v>
      </c>
      <c r="FO32" s="26"/>
      <c r="FP32" s="32">
        <v>0</v>
      </c>
      <c r="FQ32" s="32">
        <v>0</v>
      </c>
      <c r="FR32" s="32">
        <v>0</v>
      </c>
      <c r="FS32" s="32">
        <v>0</v>
      </c>
      <c r="FT32" s="32">
        <v>0</v>
      </c>
      <c r="FU32" s="32">
        <v>0</v>
      </c>
      <c r="FV32" s="32">
        <v>0</v>
      </c>
      <c r="FW32" s="32">
        <v>0</v>
      </c>
      <c r="FX32" s="32">
        <v>0</v>
      </c>
      <c r="FY32" s="32">
        <v>0</v>
      </c>
      <c r="FZ32" s="32">
        <v>0</v>
      </c>
      <c r="GA32" s="32">
        <v>0</v>
      </c>
      <c r="GB32" s="38">
        <f t="shared" si="21"/>
        <v>0</v>
      </c>
      <c r="GC32" s="26"/>
      <c r="GD32" s="32">
        <v>0</v>
      </c>
      <c r="GE32" s="32">
        <v>0</v>
      </c>
      <c r="GF32" s="32">
        <v>0</v>
      </c>
      <c r="GG32" s="32">
        <v>0</v>
      </c>
      <c r="GH32" s="32">
        <v>0</v>
      </c>
      <c r="GI32" s="32">
        <v>0</v>
      </c>
      <c r="GJ32" s="32">
        <v>0</v>
      </c>
      <c r="GK32" s="32">
        <v>0</v>
      </c>
      <c r="GL32" s="32">
        <v>0</v>
      </c>
      <c r="GM32" s="32">
        <v>0</v>
      </c>
      <c r="GN32" s="32">
        <v>0</v>
      </c>
      <c r="GO32" s="32">
        <v>0</v>
      </c>
      <c r="GP32" s="38">
        <f t="shared" si="22"/>
        <v>0</v>
      </c>
      <c r="GQ32" s="26"/>
      <c r="GR32" s="32">
        <v>0</v>
      </c>
      <c r="GS32" s="32">
        <v>0</v>
      </c>
      <c r="GT32" s="32">
        <v>0</v>
      </c>
      <c r="GU32" s="32">
        <v>0</v>
      </c>
      <c r="GV32" s="32">
        <v>0</v>
      </c>
      <c r="GW32" s="32">
        <v>0</v>
      </c>
      <c r="GX32" s="32">
        <v>0</v>
      </c>
      <c r="GY32" s="32">
        <v>0</v>
      </c>
      <c r="GZ32" s="32">
        <v>0</v>
      </c>
      <c r="HA32" s="32">
        <v>0</v>
      </c>
      <c r="HB32" s="32">
        <v>0</v>
      </c>
      <c r="HC32" s="32">
        <v>0</v>
      </c>
      <c r="HD32" s="38">
        <f t="shared" si="23"/>
        <v>0</v>
      </c>
      <c r="HE32" s="26"/>
      <c r="HF32" s="45">
        <v>0</v>
      </c>
      <c r="HG32" s="45">
        <v>0</v>
      </c>
      <c r="HH32" s="45">
        <v>0</v>
      </c>
      <c r="HI32" s="45">
        <v>0</v>
      </c>
      <c r="HJ32" s="45">
        <v>0</v>
      </c>
      <c r="HK32" s="45">
        <v>0</v>
      </c>
      <c r="HL32" s="45">
        <v>0</v>
      </c>
      <c r="HM32" s="45">
        <v>0</v>
      </c>
      <c r="HN32" s="45">
        <v>0</v>
      </c>
      <c r="HO32" s="45">
        <v>0</v>
      </c>
      <c r="HP32" s="45">
        <v>0</v>
      </c>
      <c r="HQ32" s="45">
        <v>0</v>
      </c>
      <c r="HR32" s="38">
        <f t="shared" si="24"/>
        <v>0</v>
      </c>
      <c r="HS32" s="26"/>
      <c r="HT32" s="32">
        <v>0</v>
      </c>
      <c r="HU32" s="32">
        <v>0</v>
      </c>
      <c r="HV32" s="32">
        <v>0</v>
      </c>
      <c r="HW32" s="32">
        <v>0</v>
      </c>
      <c r="HX32" s="32">
        <v>0</v>
      </c>
      <c r="HY32" s="32">
        <v>0</v>
      </c>
      <c r="HZ32" s="32">
        <v>0</v>
      </c>
      <c r="IA32" s="32">
        <v>0</v>
      </c>
      <c r="IB32" s="32">
        <v>0</v>
      </c>
      <c r="IC32" s="32">
        <v>0</v>
      </c>
      <c r="ID32" s="32">
        <v>0</v>
      </c>
      <c r="IE32" s="32">
        <v>0</v>
      </c>
      <c r="IF32" s="38">
        <f t="shared" si="3"/>
        <v>0</v>
      </c>
      <c r="IG32" s="104">
        <v>0</v>
      </c>
      <c r="IH32" s="104">
        <v>0</v>
      </c>
      <c r="II32" s="104">
        <v>0</v>
      </c>
      <c r="IJ32" s="104">
        <v>0</v>
      </c>
      <c r="IK32" s="104">
        <v>1</v>
      </c>
      <c r="IL32" s="104">
        <v>1</v>
      </c>
      <c r="IM32" s="104">
        <v>0</v>
      </c>
      <c r="IN32" s="104">
        <v>2</v>
      </c>
      <c r="IO32" s="104">
        <v>0</v>
      </c>
      <c r="IP32" s="104">
        <v>0</v>
      </c>
      <c r="IQ32" s="104">
        <v>0</v>
      </c>
      <c r="IR32" s="104">
        <v>1</v>
      </c>
      <c r="IS32" s="38">
        <f t="shared" si="25"/>
        <v>5</v>
      </c>
      <c r="IT32" s="36">
        <f t="shared" si="26"/>
        <v>5</v>
      </c>
      <c r="IU32" s="26"/>
      <c r="IV32" s="32">
        <v>2</v>
      </c>
      <c r="IW32" s="32">
        <v>2</v>
      </c>
      <c r="IX32" s="32">
        <v>1</v>
      </c>
      <c r="IY32" s="32">
        <v>3</v>
      </c>
      <c r="IZ32" s="32">
        <v>4</v>
      </c>
      <c r="JA32" s="32">
        <v>2</v>
      </c>
      <c r="JB32" s="32">
        <v>3</v>
      </c>
      <c r="JC32" s="32">
        <v>4</v>
      </c>
      <c r="JD32" s="32">
        <v>2</v>
      </c>
      <c r="JE32" s="32">
        <v>3</v>
      </c>
      <c r="JF32" s="32">
        <v>4</v>
      </c>
      <c r="JG32" s="32">
        <v>2</v>
      </c>
      <c r="JH32" s="38">
        <f t="shared" si="27"/>
        <v>32</v>
      </c>
      <c r="JI32" s="32">
        <v>0</v>
      </c>
      <c r="JJ32" s="32">
        <v>0</v>
      </c>
      <c r="JK32" s="32">
        <v>1</v>
      </c>
      <c r="JL32" s="32">
        <v>1</v>
      </c>
      <c r="JM32" s="32">
        <v>2</v>
      </c>
      <c r="JN32" s="32">
        <v>0</v>
      </c>
      <c r="JO32" s="32">
        <v>2</v>
      </c>
      <c r="JP32" s="32">
        <v>1</v>
      </c>
      <c r="JQ32" s="32">
        <v>0</v>
      </c>
      <c r="JR32" s="32">
        <v>2</v>
      </c>
      <c r="JS32" s="32">
        <v>0</v>
      </c>
      <c r="JT32" s="32">
        <v>0</v>
      </c>
      <c r="JU32" s="112">
        <f t="shared" si="4"/>
        <v>9</v>
      </c>
      <c r="JV32" s="36">
        <f t="shared" si="28"/>
        <v>41</v>
      </c>
      <c r="JW32" s="26"/>
      <c r="JX32" s="32">
        <v>0</v>
      </c>
      <c r="JY32" s="32">
        <v>0</v>
      </c>
      <c r="JZ32" s="32">
        <v>0</v>
      </c>
      <c r="KA32" s="32">
        <v>0</v>
      </c>
      <c r="KB32" s="32">
        <v>0</v>
      </c>
      <c r="KC32" s="32">
        <v>0</v>
      </c>
      <c r="KD32" s="32">
        <v>0</v>
      </c>
      <c r="KE32" s="32">
        <v>0</v>
      </c>
      <c r="KF32" s="32">
        <v>0</v>
      </c>
      <c r="KG32" s="32">
        <v>0</v>
      </c>
      <c r="KH32" s="32">
        <v>0</v>
      </c>
      <c r="KI32" s="32">
        <v>0</v>
      </c>
      <c r="KJ32" s="38">
        <f t="shared" si="29"/>
        <v>0</v>
      </c>
      <c r="KK32" s="114">
        <v>3</v>
      </c>
      <c r="KL32" s="114">
        <v>6</v>
      </c>
      <c r="KM32" s="114">
        <v>24</v>
      </c>
      <c r="KN32" s="114">
        <v>1</v>
      </c>
      <c r="KO32" s="114">
        <v>0</v>
      </c>
      <c r="KP32" s="114">
        <v>0</v>
      </c>
      <c r="KQ32" s="114">
        <v>1</v>
      </c>
      <c r="KR32" s="114">
        <v>0</v>
      </c>
      <c r="KS32" s="114">
        <v>0</v>
      </c>
      <c r="KT32" s="114">
        <v>1</v>
      </c>
      <c r="KU32" s="114">
        <v>0</v>
      </c>
      <c r="KV32" s="114">
        <v>0</v>
      </c>
      <c r="KW32" s="38">
        <f t="shared" si="5"/>
        <v>36</v>
      </c>
      <c r="KX32" s="36">
        <f t="shared" si="30"/>
        <v>36</v>
      </c>
      <c r="KY32" s="26"/>
      <c r="KZ32" s="101">
        <v>2</v>
      </c>
      <c r="LA32" s="101">
        <v>8</v>
      </c>
      <c r="LB32" s="101">
        <v>4</v>
      </c>
      <c r="LC32" s="101">
        <v>3</v>
      </c>
      <c r="LD32" s="101">
        <v>4</v>
      </c>
      <c r="LE32" s="101">
        <v>4</v>
      </c>
      <c r="LF32" s="101">
        <v>3</v>
      </c>
      <c r="LG32" s="101">
        <v>2</v>
      </c>
      <c r="LH32" s="101">
        <v>2</v>
      </c>
      <c r="LI32" s="101">
        <v>1</v>
      </c>
      <c r="LJ32" s="101">
        <v>4</v>
      </c>
      <c r="LK32" s="101">
        <v>2</v>
      </c>
      <c r="LL32" s="38">
        <f t="shared" si="6"/>
        <v>39</v>
      </c>
      <c r="LM32" s="26"/>
      <c r="LN32" s="71">
        <v>1</v>
      </c>
      <c r="LO32" s="71">
        <v>1</v>
      </c>
      <c r="LP32" s="71">
        <v>2</v>
      </c>
      <c r="LQ32" s="71">
        <v>4</v>
      </c>
      <c r="LR32" s="71">
        <v>1</v>
      </c>
      <c r="LS32" s="71">
        <v>2</v>
      </c>
      <c r="LT32" s="71">
        <v>6</v>
      </c>
      <c r="LU32" s="45">
        <v>3</v>
      </c>
      <c r="LV32" s="45">
        <v>2</v>
      </c>
      <c r="LW32" s="45">
        <v>4</v>
      </c>
      <c r="LX32" s="45">
        <v>3</v>
      </c>
      <c r="LY32" s="45">
        <v>2</v>
      </c>
      <c r="LZ32" s="38">
        <f t="shared" si="31"/>
        <v>31</v>
      </c>
      <c r="MA32" s="26"/>
      <c r="MB32" s="45">
        <v>0</v>
      </c>
      <c r="MC32" s="45">
        <v>0</v>
      </c>
      <c r="MD32" s="45">
        <v>0</v>
      </c>
      <c r="ME32" s="45">
        <v>0</v>
      </c>
      <c r="MF32" s="45">
        <v>0</v>
      </c>
      <c r="MG32" s="45">
        <v>0</v>
      </c>
      <c r="MH32" s="45">
        <v>0</v>
      </c>
      <c r="MI32" s="45">
        <v>0</v>
      </c>
      <c r="MJ32" s="45">
        <v>0</v>
      </c>
      <c r="MK32" s="45">
        <v>0</v>
      </c>
      <c r="ML32" s="45">
        <v>0</v>
      </c>
      <c r="MM32" s="45">
        <v>0</v>
      </c>
      <c r="MN32" s="38">
        <f t="shared" si="32"/>
        <v>0</v>
      </c>
      <c r="MO32" s="32">
        <v>4</v>
      </c>
      <c r="MP32" s="32">
        <v>6</v>
      </c>
      <c r="MQ32" s="32">
        <v>3</v>
      </c>
      <c r="MR32" s="32">
        <v>2</v>
      </c>
      <c r="MS32" s="32">
        <v>3</v>
      </c>
      <c r="MT32" s="32">
        <v>2</v>
      </c>
      <c r="MU32" s="32">
        <v>1</v>
      </c>
      <c r="MV32" s="32">
        <v>2</v>
      </c>
      <c r="MW32" s="32">
        <v>6</v>
      </c>
      <c r="MX32" s="32">
        <v>8</v>
      </c>
      <c r="MY32" s="32">
        <v>5</v>
      </c>
      <c r="MZ32" s="32">
        <v>4</v>
      </c>
      <c r="NA32" s="38">
        <f t="shared" si="33"/>
        <v>46</v>
      </c>
      <c r="NB32" s="36">
        <f t="shared" si="34"/>
        <v>46</v>
      </c>
      <c r="NC32" s="26"/>
      <c r="ND32" s="32">
        <v>0</v>
      </c>
      <c r="NE32" s="32">
        <v>0</v>
      </c>
      <c r="NF32" s="32">
        <v>0</v>
      </c>
      <c r="NG32" s="32">
        <v>0</v>
      </c>
      <c r="NH32" s="32">
        <v>0</v>
      </c>
      <c r="NI32" s="32">
        <v>0</v>
      </c>
      <c r="NJ32" s="32">
        <v>0</v>
      </c>
      <c r="NK32" s="32">
        <v>0</v>
      </c>
      <c r="NL32" s="32">
        <v>0</v>
      </c>
      <c r="NM32" s="32">
        <v>0</v>
      </c>
      <c r="NN32" s="32">
        <v>0</v>
      </c>
      <c r="NO32" s="32">
        <v>0</v>
      </c>
      <c r="NP32" s="38">
        <f t="shared" si="35"/>
        <v>0</v>
      </c>
      <c r="NQ32" s="36">
        <f t="shared" si="36"/>
        <v>97</v>
      </c>
      <c r="NR32" s="36">
        <f t="shared" si="37"/>
        <v>220</v>
      </c>
      <c r="NS32" s="36">
        <f t="shared" si="38"/>
        <v>55</v>
      </c>
      <c r="NT32" s="36">
        <f t="shared" si="39"/>
        <v>372</v>
      </c>
      <c r="NU32" s="18"/>
      <c r="NV32" s="18"/>
      <c r="NW32" s="18"/>
      <c r="NX32" s="19"/>
      <c r="NY32" s="19"/>
      <c r="NZ32" s="19"/>
      <c r="OA32" s="19"/>
      <c r="OB32" s="19"/>
      <c r="OC32" s="19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8"/>
      <c r="OR32" s="18"/>
      <c r="OS32" s="18"/>
      <c r="OT32" s="18"/>
      <c r="OU32" s="18"/>
      <c r="OV32" s="18"/>
      <c r="OW32" s="18"/>
      <c r="OX32" s="19"/>
      <c r="OY32" s="19"/>
      <c r="OZ32" s="19"/>
      <c r="PA32" s="19"/>
      <c r="PB32" s="19"/>
      <c r="PC32" s="19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8"/>
      <c r="PR32" s="18"/>
      <c r="PS32" s="18"/>
      <c r="PT32" s="18"/>
      <c r="PU32" s="18"/>
      <c r="PV32" s="18"/>
      <c r="PW32" s="18"/>
      <c r="PX32" s="19"/>
      <c r="PY32" s="19"/>
      <c r="PZ32" s="19"/>
      <c r="QA32" s="19"/>
      <c r="QB32" s="19"/>
      <c r="QC32" s="19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</row>
    <row r="33" spans="1:458" s="1" customFormat="1" ht="50.1" customHeight="1" x14ac:dyDescent="0.25">
      <c r="A33" s="120"/>
      <c r="B33" s="6" t="s">
        <v>22</v>
      </c>
      <c r="C33" s="23"/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38">
        <f t="shared" si="7"/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  <c r="W33" s="49">
        <v>0</v>
      </c>
      <c r="X33" s="49">
        <v>0</v>
      </c>
      <c r="Y33" s="49">
        <v>0</v>
      </c>
      <c r="Z33" s="49">
        <v>0</v>
      </c>
      <c r="AA33" s="49">
        <v>0</v>
      </c>
      <c r="AB33" s="49">
        <v>0</v>
      </c>
      <c r="AC33" s="38">
        <f t="shared" si="8"/>
        <v>0</v>
      </c>
      <c r="AD33" s="36">
        <f t="shared" si="9"/>
        <v>0</v>
      </c>
      <c r="AE33" s="26"/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8">
        <f t="shared" si="10"/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8">
        <f t="shared" si="11"/>
        <v>0</v>
      </c>
      <c r="BF33" s="36">
        <f t="shared" si="12"/>
        <v>0</v>
      </c>
      <c r="BG33" s="26"/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  <c r="BQ33" s="41">
        <v>0</v>
      </c>
      <c r="BR33" s="41">
        <v>0</v>
      </c>
      <c r="BS33" s="41">
        <v>0</v>
      </c>
      <c r="BT33" s="38">
        <f t="shared" si="13"/>
        <v>0</v>
      </c>
      <c r="BU33" s="56">
        <v>0</v>
      </c>
      <c r="BV33" s="56">
        <v>0</v>
      </c>
      <c r="BW33" s="56">
        <v>0</v>
      </c>
      <c r="BX33" s="56">
        <v>0</v>
      </c>
      <c r="BY33" s="56">
        <v>0</v>
      </c>
      <c r="BZ33" s="56">
        <v>0</v>
      </c>
      <c r="CA33" s="56">
        <v>0</v>
      </c>
      <c r="CB33" s="56">
        <v>0</v>
      </c>
      <c r="CC33" s="56">
        <v>0</v>
      </c>
      <c r="CD33" s="56">
        <v>0</v>
      </c>
      <c r="CE33" s="56">
        <v>0</v>
      </c>
      <c r="CF33" s="56">
        <v>0</v>
      </c>
      <c r="CG33" s="61">
        <f t="shared" si="14"/>
        <v>0</v>
      </c>
      <c r="CH33" s="57">
        <f t="shared" si="15"/>
        <v>0</v>
      </c>
      <c r="CI33" s="26"/>
      <c r="CJ33" s="32">
        <v>0</v>
      </c>
      <c r="CK33" s="32">
        <v>0</v>
      </c>
      <c r="CL33" s="32">
        <v>0</v>
      </c>
      <c r="CM33" s="32">
        <v>0</v>
      </c>
      <c r="CN33" s="32">
        <v>0</v>
      </c>
      <c r="CO33" s="32">
        <v>0</v>
      </c>
      <c r="CP33" s="32">
        <v>0</v>
      </c>
      <c r="CQ33" s="32">
        <v>0</v>
      </c>
      <c r="CR33" s="32">
        <v>0</v>
      </c>
      <c r="CS33" s="32">
        <v>0</v>
      </c>
      <c r="CT33" s="32">
        <v>0</v>
      </c>
      <c r="CU33" s="69">
        <v>0</v>
      </c>
      <c r="CV33" s="38">
        <f t="shared" si="16"/>
        <v>0</v>
      </c>
      <c r="CW33" s="45">
        <v>0</v>
      </c>
      <c r="CX33" s="45">
        <v>0</v>
      </c>
      <c r="CY33" s="45">
        <v>0</v>
      </c>
      <c r="CZ33" s="45">
        <v>0</v>
      </c>
      <c r="DA33" s="45">
        <v>0</v>
      </c>
      <c r="DB33" s="45">
        <v>0</v>
      </c>
      <c r="DC33" s="45">
        <v>0</v>
      </c>
      <c r="DD33" s="45">
        <v>0</v>
      </c>
      <c r="DE33" s="45">
        <v>0</v>
      </c>
      <c r="DF33" s="45">
        <v>0</v>
      </c>
      <c r="DG33" s="45">
        <v>0</v>
      </c>
      <c r="DH33" s="45">
        <v>0</v>
      </c>
      <c r="DI33" s="38">
        <f t="shared" si="0"/>
        <v>0</v>
      </c>
      <c r="DJ33" s="36">
        <f t="shared" si="17"/>
        <v>0</v>
      </c>
      <c r="DK33" s="26"/>
      <c r="DL33" s="75">
        <v>0</v>
      </c>
      <c r="DM33" s="75">
        <v>0</v>
      </c>
      <c r="DN33" s="75">
        <v>0</v>
      </c>
      <c r="DO33" s="75">
        <v>0</v>
      </c>
      <c r="DP33" s="75">
        <v>0</v>
      </c>
      <c r="DQ33" s="75">
        <v>0</v>
      </c>
      <c r="DR33" s="75">
        <v>0</v>
      </c>
      <c r="DS33" s="75">
        <v>0</v>
      </c>
      <c r="DT33" s="75">
        <v>0</v>
      </c>
      <c r="DU33" s="75">
        <v>0</v>
      </c>
      <c r="DV33" s="75">
        <v>0</v>
      </c>
      <c r="DW33" s="83">
        <v>0</v>
      </c>
      <c r="DX33" s="38">
        <f t="shared" si="1"/>
        <v>0</v>
      </c>
      <c r="DY33" s="63">
        <v>0</v>
      </c>
      <c r="DZ33" s="63">
        <v>0</v>
      </c>
      <c r="EA33" s="63">
        <v>0</v>
      </c>
      <c r="EB33" s="63">
        <v>0</v>
      </c>
      <c r="EC33" s="63">
        <v>0</v>
      </c>
      <c r="ED33" s="63">
        <v>0</v>
      </c>
      <c r="EE33" s="63">
        <v>0</v>
      </c>
      <c r="EF33" s="63">
        <v>0</v>
      </c>
      <c r="EG33" s="63">
        <v>0</v>
      </c>
      <c r="EH33" s="63">
        <v>0</v>
      </c>
      <c r="EI33" s="63">
        <v>0</v>
      </c>
      <c r="EJ33" s="63">
        <v>0</v>
      </c>
      <c r="EK33" s="38">
        <f t="shared" si="18"/>
        <v>0</v>
      </c>
      <c r="EL33" s="36">
        <f t="shared" si="19"/>
        <v>0</v>
      </c>
      <c r="EM33" s="26"/>
      <c r="EN33" s="32">
        <v>0</v>
      </c>
      <c r="EO33" s="32">
        <v>0</v>
      </c>
      <c r="EP33" s="32">
        <v>0</v>
      </c>
      <c r="EQ33" s="32">
        <v>0</v>
      </c>
      <c r="ER33" s="32">
        <v>0</v>
      </c>
      <c r="ES33" s="32">
        <v>0</v>
      </c>
      <c r="ET33" s="32">
        <v>0</v>
      </c>
      <c r="EU33" s="32">
        <v>0</v>
      </c>
      <c r="EV33" s="32">
        <v>0</v>
      </c>
      <c r="EW33" s="32">
        <v>0</v>
      </c>
      <c r="EX33" s="32">
        <v>0</v>
      </c>
      <c r="EY33" s="32">
        <v>0</v>
      </c>
      <c r="EZ33" s="38">
        <f t="shared" si="2"/>
        <v>0</v>
      </c>
      <c r="FA33" s="26"/>
      <c r="FB33" s="54">
        <v>0</v>
      </c>
      <c r="FC33" s="54">
        <v>0</v>
      </c>
      <c r="FD33" s="54">
        <v>0</v>
      </c>
      <c r="FE33" s="54">
        <v>0</v>
      </c>
      <c r="FF33" s="54">
        <v>0</v>
      </c>
      <c r="FG33" s="54">
        <v>0</v>
      </c>
      <c r="FH33" s="54">
        <v>0</v>
      </c>
      <c r="FI33" s="54">
        <v>0</v>
      </c>
      <c r="FJ33" s="54">
        <v>0</v>
      </c>
      <c r="FK33" s="54">
        <v>0</v>
      </c>
      <c r="FL33" s="54">
        <v>0</v>
      </c>
      <c r="FM33" s="54">
        <v>0</v>
      </c>
      <c r="FN33" s="38">
        <f t="shared" si="20"/>
        <v>0</v>
      </c>
      <c r="FO33" s="26"/>
      <c r="FP33" s="32">
        <v>0</v>
      </c>
      <c r="FQ33" s="32">
        <v>0</v>
      </c>
      <c r="FR33" s="32">
        <v>0</v>
      </c>
      <c r="FS33" s="32">
        <v>0</v>
      </c>
      <c r="FT33" s="32">
        <v>0</v>
      </c>
      <c r="FU33" s="32">
        <v>0</v>
      </c>
      <c r="FV33" s="32">
        <v>0</v>
      </c>
      <c r="FW33" s="32">
        <v>0</v>
      </c>
      <c r="FX33" s="32">
        <v>0</v>
      </c>
      <c r="FY33" s="32">
        <v>0</v>
      </c>
      <c r="FZ33" s="32">
        <v>0</v>
      </c>
      <c r="GA33" s="32">
        <v>0</v>
      </c>
      <c r="GB33" s="38">
        <f t="shared" si="21"/>
        <v>0</v>
      </c>
      <c r="GC33" s="26"/>
      <c r="GD33" s="32">
        <v>0</v>
      </c>
      <c r="GE33" s="32">
        <v>0</v>
      </c>
      <c r="GF33" s="32">
        <v>0</v>
      </c>
      <c r="GG33" s="32">
        <v>0</v>
      </c>
      <c r="GH33" s="32">
        <v>0</v>
      </c>
      <c r="GI33" s="32">
        <v>0</v>
      </c>
      <c r="GJ33" s="32">
        <v>0</v>
      </c>
      <c r="GK33" s="32">
        <v>0</v>
      </c>
      <c r="GL33" s="32">
        <v>0</v>
      </c>
      <c r="GM33" s="32">
        <v>0</v>
      </c>
      <c r="GN33" s="32">
        <v>0</v>
      </c>
      <c r="GO33" s="32">
        <v>0</v>
      </c>
      <c r="GP33" s="38">
        <f t="shared" si="22"/>
        <v>0</v>
      </c>
      <c r="GQ33" s="26"/>
      <c r="GR33" s="32">
        <v>0</v>
      </c>
      <c r="GS33" s="32">
        <v>0</v>
      </c>
      <c r="GT33" s="32">
        <v>0</v>
      </c>
      <c r="GU33" s="32">
        <v>0</v>
      </c>
      <c r="GV33" s="32">
        <v>0</v>
      </c>
      <c r="GW33" s="32">
        <v>0</v>
      </c>
      <c r="GX33" s="32">
        <v>0</v>
      </c>
      <c r="GY33" s="32">
        <v>0</v>
      </c>
      <c r="GZ33" s="32">
        <v>0</v>
      </c>
      <c r="HA33" s="32">
        <v>0</v>
      </c>
      <c r="HB33" s="32">
        <v>0</v>
      </c>
      <c r="HC33" s="32">
        <v>0</v>
      </c>
      <c r="HD33" s="38">
        <f t="shared" si="23"/>
        <v>0</v>
      </c>
      <c r="HE33" s="26"/>
      <c r="HF33" s="45">
        <v>0</v>
      </c>
      <c r="HG33" s="45">
        <v>0</v>
      </c>
      <c r="HH33" s="45">
        <v>0</v>
      </c>
      <c r="HI33" s="45">
        <v>0</v>
      </c>
      <c r="HJ33" s="45">
        <v>0</v>
      </c>
      <c r="HK33" s="45">
        <v>0</v>
      </c>
      <c r="HL33" s="45">
        <v>0</v>
      </c>
      <c r="HM33" s="45">
        <v>0</v>
      </c>
      <c r="HN33" s="45">
        <v>0</v>
      </c>
      <c r="HO33" s="45">
        <v>0</v>
      </c>
      <c r="HP33" s="45">
        <v>0</v>
      </c>
      <c r="HQ33" s="45">
        <v>0</v>
      </c>
      <c r="HR33" s="38">
        <f t="shared" si="24"/>
        <v>0</v>
      </c>
      <c r="HS33" s="26"/>
      <c r="HT33" s="32">
        <v>0</v>
      </c>
      <c r="HU33" s="32">
        <v>0</v>
      </c>
      <c r="HV33" s="32">
        <v>0</v>
      </c>
      <c r="HW33" s="32">
        <v>0</v>
      </c>
      <c r="HX33" s="32">
        <v>0</v>
      </c>
      <c r="HY33" s="32">
        <v>0</v>
      </c>
      <c r="HZ33" s="32">
        <v>0</v>
      </c>
      <c r="IA33" s="32">
        <v>0</v>
      </c>
      <c r="IB33" s="32">
        <v>0</v>
      </c>
      <c r="IC33" s="32">
        <v>0</v>
      </c>
      <c r="ID33" s="32">
        <v>0</v>
      </c>
      <c r="IE33" s="32">
        <v>0</v>
      </c>
      <c r="IF33" s="38">
        <f t="shared" si="3"/>
        <v>0</v>
      </c>
      <c r="IG33" s="104">
        <v>0</v>
      </c>
      <c r="IH33" s="104">
        <v>0</v>
      </c>
      <c r="II33" s="104">
        <v>0</v>
      </c>
      <c r="IJ33" s="104">
        <v>0</v>
      </c>
      <c r="IK33" s="104">
        <v>0</v>
      </c>
      <c r="IL33" s="104">
        <v>0</v>
      </c>
      <c r="IM33" s="104">
        <v>0</v>
      </c>
      <c r="IN33" s="104">
        <v>0</v>
      </c>
      <c r="IO33" s="104">
        <v>0</v>
      </c>
      <c r="IP33" s="104">
        <v>0</v>
      </c>
      <c r="IQ33" s="104">
        <v>0</v>
      </c>
      <c r="IR33" s="104">
        <v>0</v>
      </c>
      <c r="IS33" s="38">
        <f t="shared" si="25"/>
        <v>0</v>
      </c>
      <c r="IT33" s="36">
        <f t="shared" si="26"/>
        <v>0</v>
      </c>
      <c r="IU33" s="26"/>
      <c r="IV33" s="32">
        <v>0</v>
      </c>
      <c r="IW33" s="32">
        <v>0</v>
      </c>
      <c r="IX33" s="32">
        <v>0</v>
      </c>
      <c r="IY33" s="32">
        <v>0</v>
      </c>
      <c r="IZ33" s="32">
        <v>0</v>
      </c>
      <c r="JA33" s="32">
        <v>0</v>
      </c>
      <c r="JB33" s="32">
        <v>0</v>
      </c>
      <c r="JC33" s="32">
        <v>0</v>
      </c>
      <c r="JD33" s="32">
        <v>0</v>
      </c>
      <c r="JE33" s="32">
        <v>0</v>
      </c>
      <c r="JF33" s="32">
        <v>0</v>
      </c>
      <c r="JG33" s="32">
        <v>0</v>
      </c>
      <c r="JH33" s="38">
        <f t="shared" si="27"/>
        <v>0</v>
      </c>
      <c r="JI33" s="32">
        <v>0</v>
      </c>
      <c r="JJ33" s="32">
        <v>0</v>
      </c>
      <c r="JK33" s="32">
        <v>0</v>
      </c>
      <c r="JL33" s="32">
        <v>0</v>
      </c>
      <c r="JM33" s="32">
        <v>0</v>
      </c>
      <c r="JN33" s="32">
        <v>0</v>
      </c>
      <c r="JO33" s="32">
        <v>0</v>
      </c>
      <c r="JP33" s="32">
        <v>0</v>
      </c>
      <c r="JQ33" s="32">
        <v>0</v>
      </c>
      <c r="JR33" s="32">
        <v>0</v>
      </c>
      <c r="JS33" s="32">
        <v>0</v>
      </c>
      <c r="JT33" s="32">
        <v>0</v>
      </c>
      <c r="JU33" s="112">
        <f t="shared" si="4"/>
        <v>0</v>
      </c>
      <c r="JV33" s="36">
        <f t="shared" si="28"/>
        <v>0</v>
      </c>
      <c r="JW33" s="26"/>
      <c r="JX33" s="32">
        <v>0</v>
      </c>
      <c r="JY33" s="32">
        <v>0</v>
      </c>
      <c r="JZ33" s="32">
        <v>0</v>
      </c>
      <c r="KA33" s="32">
        <v>0</v>
      </c>
      <c r="KB33" s="32">
        <v>0</v>
      </c>
      <c r="KC33" s="32">
        <v>0</v>
      </c>
      <c r="KD33" s="32">
        <v>0</v>
      </c>
      <c r="KE33" s="32">
        <v>0</v>
      </c>
      <c r="KF33" s="32">
        <v>0</v>
      </c>
      <c r="KG33" s="32">
        <v>0</v>
      </c>
      <c r="KH33" s="32">
        <v>0</v>
      </c>
      <c r="KI33" s="32">
        <v>0</v>
      </c>
      <c r="KJ33" s="38">
        <f t="shared" si="29"/>
        <v>0</v>
      </c>
      <c r="KK33" s="32">
        <v>0</v>
      </c>
      <c r="KL33" s="32">
        <v>0</v>
      </c>
      <c r="KM33" s="32">
        <v>0</v>
      </c>
      <c r="KN33" s="32">
        <v>0</v>
      </c>
      <c r="KO33" s="32">
        <v>0</v>
      </c>
      <c r="KP33" s="32">
        <v>0</v>
      </c>
      <c r="KQ33" s="32">
        <v>0</v>
      </c>
      <c r="KR33" s="32">
        <v>0</v>
      </c>
      <c r="KS33" s="32">
        <v>0</v>
      </c>
      <c r="KT33" s="32">
        <v>0</v>
      </c>
      <c r="KU33" s="32">
        <v>0</v>
      </c>
      <c r="KV33" s="32">
        <v>0</v>
      </c>
      <c r="KW33" s="38">
        <f t="shared" si="5"/>
        <v>0</v>
      </c>
      <c r="KX33" s="36">
        <f t="shared" si="30"/>
        <v>0</v>
      </c>
      <c r="KY33" s="26"/>
      <c r="KZ33" s="32">
        <v>0</v>
      </c>
      <c r="LA33" s="32">
        <v>0</v>
      </c>
      <c r="LB33" s="32">
        <v>0</v>
      </c>
      <c r="LC33" s="32">
        <v>0</v>
      </c>
      <c r="LD33" s="32">
        <v>0</v>
      </c>
      <c r="LE33" s="32">
        <v>0</v>
      </c>
      <c r="LF33" s="32">
        <v>0</v>
      </c>
      <c r="LG33" s="32">
        <v>0</v>
      </c>
      <c r="LH33" s="32">
        <v>0</v>
      </c>
      <c r="LI33" s="32">
        <v>0</v>
      </c>
      <c r="LJ33" s="32">
        <v>0</v>
      </c>
      <c r="LK33" s="32">
        <v>0</v>
      </c>
      <c r="LL33" s="38">
        <f t="shared" si="6"/>
        <v>0</v>
      </c>
      <c r="LM33" s="26"/>
      <c r="LN33" s="71">
        <v>0</v>
      </c>
      <c r="LO33" s="71">
        <v>0</v>
      </c>
      <c r="LP33" s="71">
        <v>0</v>
      </c>
      <c r="LQ33" s="71">
        <v>0</v>
      </c>
      <c r="LR33" s="71">
        <v>0</v>
      </c>
      <c r="LS33" s="71">
        <v>0</v>
      </c>
      <c r="LT33" s="71">
        <v>0</v>
      </c>
      <c r="LU33" s="45">
        <v>0</v>
      </c>
      <c r="LV33" s="45">
        <v>0</v>
      </c>
      <c r="LW33" s="45">
        <v>0</v>
      </c>
      <c r="LX33" s="45">
        <v>0</v>
      </c>
      <c r="LY33" s="45">
        <v>0</v>
      </c>
      <c r="LZ33" s="38">
        <f t="shared" si="31"/>
        <v>0</v>
      </c>
      <c r="MA33" s="26"/>
      <c r="MB33" s="45">
        <v>0</v>
      </c>
      <c r="MC33" s="45">
        <v>0</v>
      </c>
      <c r="MD33" s="45">
        <v>0</v>
      </c>
      <c r="ME33" s="45">
        <v>0</v>
      </c>
      <c r="MF33" s="45">
        <v>0</v>
      </c>
      <c r="MG33" s="45">
        <v>0</v>
      </c>
      <c r="MH33" s="45">
        <v>0</v>
      </c>
      <c r="MI33" s="45">
        <v>0</v>
      </c>
      <c r="MJ33" s="45">
        <v>0</v>
      </c>
      <c r="MK33" s="45">
        <v>0</v>
      </c>
      <c r="ML33" s="45">
        <v>0</v>
      </c>
      <c r="MM33" s="45">
        <v>0</v>
      </c>
      <c r="MN33" s="38">
        <f t="shared" si="32"/>
        <v>0</v>
      </c>
      <c r="MO33" s="32">
        <v>0</v>
      </c>
      <c r="MP33" s="32">
        <v>0</v>
      </c>
      <c r="MQ33" s="32">
        <v>0</v>
      </c>
      <c r="MR33" s="32">
        <v>0</v>
      </c>
      <c r="MS33" s="32">
        <v>0</v>
      </c>
      <c r="MT33" s="32">
        <v>0</v>
      </c>
      <c r="MU33" s="32">
        <v>0</v>
      </c>
      <c r="MV33" s="32">
        <v>0</v>
      </c>
      <c r="MW33" s="32">
        <v>0</v>
      </c>
      <c r="MX33" s="32">
        <v>0</v>
      </c>
      <c r="MY33" s="32">
        <v>0</v>
      </c>
      <c r="MZ33" s="32">
        <v>0</v>
      </c>
      <c r="NA33" s="38">
        <f t="shared" si="33"/>
        <v>0</v>
      </c>
      <c r="NB33" s="36">
        <f t="shared" si="34"/>
        <v>0</v>
      </c>
      <c r="NC33" s="26"/>
      <c r="ND33" s="32">
        <v>0</v>
      </c>
      <c r="NE33" s="32">
        <v>0</v>
      </c>
      <c r="NF33" s="32">
        <v>0</v>
      </c>
      <c r="NG33" s="32">
        <v>0</v>
      </c>
      <c r="NH33" s="32">
        <v>0</v>
      </c>
      <c r="NI33" s="32">
        <v>0</v>
      </c>
      <c r="NJ33" s="32">
        <v>0</v>
      </c>
      <c r="NK33" s="32">
        <v>0</v>
      </c>
      <c r="NL33" s="32">
        <v>0</v>
      </c>
      <c r="NM33" s="32">
        <v>0</v>
      </c>
      <c r="NN33" s="32">
        <v>0</v>
      </c>
      <c r="NO33" s="32">
        <v>0</v>
      </c>
      <c r="NP33" s="38">
        <f t="shared" si="35"/>
        <v>0</v>
      </c>
      <c r="NQ33" s="36">
        <f t="shared" si="36"/>
        <v>0</v>
      </c>
      <c r="NR33" s="36">
        <f t="shared" si="37"/>
        <v>0</v>
      </c>
      <c r="NS33" s="36">
        <f t="shared" si="38"/>
        <v>0</v>
      </c>
      <c r="NT33" s="36">
        <f t="shared" si="39"/>
        <v>0</v>
      </c>
      <c r="NU33" s="18"/>
      <c r="NV33" s="18"/>
      <c r="NW33" s="18"/>
      <c r="NX33" s="19"/>
      <c r="NY33" s="19"/>
      <c r="NZ33" s="19"/>
      <c r="OA33" s="19"/>
      <c r="OB33" s="19"/>
      <c r="OC33" s="19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8"/>
      <c r="OR33" s="18"/>
      <c r="OS33" s="18"/>
      <c r="OT33" s="18"/>
      <c r="OU33" s="18"/>
      <c r="OV33" s="18"/>
      <c r="OW33" s="18"/>
      <c r="OX33" s="19"/>
      <c r="OY33" s="19"/>
      <c r="OZ33" s="19"/>
      <c r="PA33" s="19"/>
      <c r="PB33" s="19"/>
      <c r="PC33" s="19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8"/>
      <c r="PR33" s="18"/>
      <c r="PS33" s="18"/>
      <c r="PT33" s="18"/>
      <c r="PU33" s="18"/>
      <c r="PV33" s="18"/>
      <c r="PW33" s="18"/>
      <c r="PX33" s="19"/>
      <c r="PY33" s="19"/>
      <c r="PZ33" s="19"/>
      <c r="QA33" s="19"/>
      <c r="QB33" s="19"/>
      <c r="QC33" s="19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</row>
    <row r="34" spans="1:458" s="1" customFormat="1" ht="50.1" customHeight="1" x14ac:dyDescent="0.25">
      <c r="A34" s="120">
        <v>2021</v>
      </c>
      <c r="B34" s="6" t="s">
        <v>17</v>
      </c>
      <c r="C34" s="23"/>
      <c r="D34" s="41">
        <v>385.54545454545456</v>
      </c>
      <c r="E34" s="41">
        <v>476</v>
      </c>
      <c r="F34" s="41">
        <v>690</v>
      </c>
      <c r="G34" s="41">
        <v>704</v>
      </c>
      <c r="H34" s="41">
        <v>746</v>
      </c>
      <c r="I34" s="41">
        <v>1006</v>
      </c>
      <c r="J34" s="41">
        <v>990</v>
      </c>
      <c r="K34" s="41">
        <v>842</v>
      </c>
      <c r="L34" s="41">
        <v>888</v>
      </c>
      <c r="M34" s="41">
        <v>690</v>
      </c>
      <c r="N34" s="41">
        <v>780</v>
      </c>
      <c r="O34" s="41">
        <v>823</v>
      </c>
      <c r="P34" s="38">
        <f t="shared" si="7"/>
        <v>9020.545454545454</v>
      </c>
      <c r="Q34" s="49">
        <v>1334</v>
      </c>
      <c r="R34" s="49">
        <v>1595</v>
      </c>
      <c r="S34" s="49">
        <v>1219</v>
      </c>
      <c r="T34" s="49">
        <v>1075</v>
      </c>
      <c r="U34" s="49">
        <v>1513</v>
      </c>
      <c r="V34" s="49">
        <v>1071</v>
      </c>
      <c r="W34" s="49">
        <v>1118</v>
      </c>
      <c r="X34" s="49">
        <v>1369</v>
      </c>
      <c r="Y34" s="49">
        <v>2041</v>
      </c>
      <c r="Z34" s="49">
        <v>2855</v>
      </c>
      <c r="AA34" s="49">
        <v>2788</v>
      </c>
      <c r="AB34" s="49">
        <v>3177</v>
      </c>
      <c r="AC34" s="38">
        <f t="shared" si="8"/>
        <v>21155</v>
      </c>
      <c r="AD34" s="36">
        <f t="shared" si="9"/>
        <v>30175.545454545456</v>
      </c>
      <c r="AE34" s="26"/>
      <c r="AF34" s="32">
        <v>158</v>
      </c>
      <c r="AG34" s="32">
        <v>165</v>
      </c>
      <c r="AH34" s="32">
        <v>161</v>
      </c>
      <c r="AI34" s="32">
        <v>238</v>
      </c>
      <c r="AJ34" s="32">
        <v>180</v>
      </c>
      <c r="AK34" s="32">
        <v>181</v>
      </c>
      <c r="AL34" s="32">
        <v>199</v>
      </c>
      <c r="AM34" s="32">
        <v>142</v>
      </c>
      <c r="AN34" s="32">
        <v>201</v>
      </c>
      <c r="AO34" s="32">
        <v>153</v>
      </c>
      <c r="AP34" s="32">
        <v>192</v>
      </c>
      <c r="AQ34" s="32">
        <v>132</v>
      </c>
      <c r="AR34" s="38">
        <f>SUM(AF34:AQ34)</f>
        <v>2102</v>
      </c>
      <c r="AS34" s="32">
        <v>189</v>
      </c>
      <c r="AT34" s="32">
        <v>158</v>
      </c>
      <c r="AU34" s="32">
        <v>258</v>
      </c>
      <c r="AV34" s="32">
        <v>305</v>
      </c>
      <c r="AW34" s="32">
        <v>270</v>
      </c>
      <c r="AX34" s="32">
        <v>243</v>
      </c>
      <c r="AY34" s="32">
        <v>215</v>
      </c>
      <c r="AZ34" s="32">
        <v>182</v>
      </c>
      <c r="BA34" s="32">
        <v>346</v>
      </c>
      <c r="BB34" s="32">
        <v>287</v>
      </c>
      <c r="BC34" s="32">
        <v>258</v>
      </c>
      <c r="BD34" s="32">
        <v>246</v>
      </c>
      <c r="BE34" s="38">
        <f t="shared" si="11"/>
        <v>2957</v>
      </c>
      <c r="BF34" s="36">
        <f>SUM(AR34+BE34)</f>
        <v>5059</v>
      </c>
      <c r="BG34" s="26"/>
      <c r="BH34" s="41">
        <v>159</v>
      </c>
      <c r="BI34" s="41">
        <v>97</v>
      </c>
      <c r="BJ34" s="41">
        <v>81</v>
      </c>
      <c r="BK34" s="41">
        <v>114</v>
      </c>
      <c r="BL34" s="41">
        <v>178</v>
      </c>
      <c r="BM34" s="41">
        <v>180</v>
      </c>
      <c r="BN34" s="41">
        <v>146</v>
      </c>
      <c r="BO34" s="41">
        <v>82</v>
      </c>
      <c r="BP34" s="41">
        <v>70</v>
      </c>
      <c r="BQ34" s="41">
        <v>205</v>
      </c>
      <c r="BR34" s="41">
        <v>120</v>
      </c>
      <c r="BS34" s="41">
        <v>142</v>
      </c>
      <c r="BT34" s="38">
        <f t="shared" si="13"/>
        <v>1574</v>
      </c>
      <c r="BU34" s="56">
        <v>354</v>
      </c>
      <c r="BV34" s="56">
        <v>300</v>
      </c>
      <c r="BW34" s="56">
        <v>346</v>
      </c>
      <c r="BX34" s="56">
        <v>327</v>
      </c>
      <c r="BY34" s="56">
        <v>306</v>
      </c>
      <c r="BZ34" s="56">
        <v>361</v>
      </c>
      <c r="CA34" s="56">
        <v>402</v>
      </c>
      <c r="CB34" s="56">
        <v>355</v>
      </c>
      <c r="CC34" s="56">
        <v>286</v>
      </c>
      <c r="CD34" s="56">
        <v>399</v>
      </c>
      <c r="CE34" s="56">
        <v>358.33333333333337</v>
      </c>
      <c r="CF34" s="56">
        <v>346.4848484848485</v>
      </c>
      <c r="CG34" s="61">
        <f t="shared" si="14"/>
        <v>4140.818181818182</v>
      </c>
      <c r="CH34" s="57">
        <f t="shared" si="15"/>
        <v>5714.818181818182</v>
      </c>
      <c r="CI34" s="26"/>
      <c r="CJ34" s="32">
        <v>176</v>
      </c>
      <c r="CK34" s="32">
        <v>124</v>
      </c>
      <c r="CL34" s="32">
        <v>205</v>
      </c>
      <c r="CM34" s="32">
        <v>168</v>
      </c>
      <c r="CN34" s="32">
        <v>130</v>
      </c>
      <c r="CO34" s="32">
        <v>81</v>
      </c>
      <c r="CP34" s="32">
        <v>118</v>
      </c>
      <c r="CQ34" s="32">
        <v>89</v>
      </c>
      <c r="CR34" s="32">
        <v>3</v>
      </c>
      <c r="CS34" s="32">
        <v>105</v>
      </c>
      <c r="CT34" s="32">
        <v>69</v>
      </c>
      <c r="CU34" s="69">
        <v>272</v>
      </c>
      <c r="CV34" s="38">
        <f t="shared" si="16"/>
        <v>1540</v>
      </c>
      <c r="CW34" s="45">
        <v>718</v>
      </c>
      <c r="CX34" s="45">
        <v>658</v>
      </c>
      <c r="CY34" s="45">
        <v>687</v>
      </c>
      <c r="CZ34" s="45">
        <v>532</v>
      </c>
      <c r="DA34" s="45">
        <v>552</v>
      </c>
      <c r="DB34" s="45">
        <v>602</v>
      </c>
      <c r="DC34" s="45">
        <v>775</v>
      </c>
      <c r="DD34" s="45">
        <v>753</v>
      </c>
      <c r="DE34" s="45">
        <v>680</v>
      </c>
      <c r="DF34" s="45">
        <v>655</v>
      </c>
      <c r="DG34" s="45">
        <v>625</v>
      </c>
      <c r="DH34" s="45">
        <v>675</v>
      </c>
      <c r="DI34" s="38">
        <f t="shared" si="0"/>
        <v>7912</v>
      </c>
      <c r="DJ34" s="36">
        <f t="shared" si="17"/>
        <v>9452</v>
      </c>
      <c r="DK34" s="26"/>
      <c r="DL34" s="75">
        <v>99</v>
      </c>
      <c r="DM34" s="75">
        <v>78</v>
      </c>
      <c r="DN34" s="75">
        <v>10</v>
      </c>
      <c r="DO34" s="75">
        <v>7</v>
      </c>
      <c r="DP34" s="75">
        <v>21</v>
      </c>
      <c r="DQ34" s="75">
        <v>20</v>
      </c>
      <c r="DR34" s="75">
        <v>7</v>
      </c>
      <c r="DS34" s="75">
        <v>3</v>
      </c>
      <c r="DT34" s="75">
        <v>9</v>
      </c>
      <c r="DU34" s="75">
        <v>7</v>
      </c>
      <c r="DV34" s="75">
        <v>12</v>
      </c>
      <c r="DW34" s="83">
        <v>10</v>
      </c>
      <c r="DX34" s="38">
        <f t="shared" si="1"/>
        <v>283</v>
      </c>
      <c r="DY34" s="65">
        <v>525</v>
      </c>
      <c r="DZ34" s="65">
        <v>534</v>
      </c>
      <c r="EA34" s="65">
        <v>620</v>
      </c>
      <c r="EB34" s="65">
        <v>403</v>
      </c>
      <c r="EC34" s="65">
        <v>419</v>
      </c>
      <c r="ED34" s="65">
        <v>551</v>
      </c>
      <c r="EE34" s="65">
        <v>524</v>
      </c>
      <c r="EF34" s="65">
        <v>632</v>
      </c>
      <c r="EG34" s="65">
        <v>504</v>
      </c>
      <c r="EH34" s="65">
        <v>388</v>
      </c>
      <c r="EI34" s="65">
        <v>384</v>
      </c>
      <c r="EJ34" s="65">
        <v>522</v>
      </c>
      <c r="EK34" s="38">
        <f t="shared" si="18"/>
        <v>6006</v>
      </c>
      <c r="EL34" s="36">
        <f t="shared" si="19"/>
        <v>6289</v>
      </c>
      <c r="EM34" s="26"/>
      <c r="EN34" s="101">
        <v>755</v>
      </c>
      <c r="EO34" s="101">
        <v>829</v>
      </c>
      <c r="EP34" s="101">
        <v>694</v>
      </c>
      <c r="EQ34" s="101">
        <v>622</v>
      </c>
      <c r="ER34" s="101">
        <v>645</v>
      </c>
      <c r="ES34" s="101">
        <v>641</v>
      </c>
      <c r="ET34" s="101">
        <v>1179</v>
      </c>
      <c r="EU34" s="101">
        <v>1300</v>
      </c>
      <c r="EV34" s="101">
        <v>749</v>
      </c>
      <c r="EW34" s="101">
        <v>682</v>
      </c>
      <c r="EX34" s="101">
        <v>770</v>
      </c>
      <c r="EY34" s="101">
        <v>651</v>
      </c>
      <c r="EZ34" s="38">
        <f t="shared" si="2"/>
        <v>9517</v>
      </c>
      <c r="FA34" s="26"/>
      <c r="FB34" s="54">
        <v>312</v>
      </c>
      <c r="FC34" s="54">
        <v>216</v>
      </c>
      <c r="FD34" s="54">
        <v>249</v>
      </c>
      <c r="FE34" s="54">
        <v>264</v>
      </c>
      <c r="FF34" s="54">
        <v>258</v>
      </c>
      <c r="FG34" s="54">
        <v>302</v>
      </c>
      <c r="FH34" s="54">
        <v>327</v>
      </c>
      <c r="FI34" s="54">
        <v>500</v>
      </c>
      <c r="FJ34" s="54">
        <v>337</v>
      </c>
      <c r="FK34" s="54">
        <v>357</v>
      </c>
      <c r="FL34" s="54">
        <v>324</v>
      </c>
      <c r="FM34" s="54">
        <v>339</v>
      </c>
      <c r="FN34" s="38">
        <f t="shared" si="20"/>
        <v>3785</v>
      </c>
      <c r="FO34" s="26"/>
      <c r="FP34" s="32">
        <v>212</v>
      </c>
      <c r="FQ34" s="32">
        <v>275</v>
      </c>
      <c r="FR34" s="32">
        <v>328</v>
      </c>
      <c r="FS34" s="32">
        <v>324</v>
      </c>
      <c r="FT34" s="32">
        <v>297</v>
      </c>
      <c r="FU34" s="32">
        <v>369</v>
      </c>
      <c r="FV34" s="32">
        <v>334</v>
      </c>
      <c r="FW34" s="32">
        <v>380</v>
      </c>
      <c r="FX34" s="32">
        <v>305</v>
      </c>
      <c r="FY34" s="32">
        <v>264</v>
      </c>
      <c r="FZ34" s="32">
        <v>288</v>
      </c>
      <c r="GA34" s="32">
        <v>277</v>
      </c>
      <c r="GB34" s="38">
        <f t="shared" si="21"/>
        <v>3653</v>
      </c>
      <c r="GC34" s="26"/>
      <c r="GD34" s="101">
        <v>214</v>
      </c>
      <c r="GE34" s="101">
        <v>215</v>
      </c>
      <c r="GF34" s="101">
        <v>230</v>
      </c>
      <c r="GG34" s="101">
        <v>184</v>
      </c>
      <c r="GH34" s="101">
        <v>175</v>
      </c>
      <c r="GI34" s="101">
        <v>150</v>
      </c>
      <c r="GJ34" s="101">
        <v>247</v>
      </c>
      <c r="GK34" s="101">
        <v>318</v>
      </c>
      <c r="GL34" s="101">
        <v>152</v>
      </c>
      <c r="GM34" s="101">
        <v>138</v>
      </c>
      <c r="GN34" s="101">
        <v>286</v>
      </c>
      <c r="GO34" s="101">
        <v>167</v>
      </c>
      <c r="GP34" s="38">
        <f t="shared" si="22"/>
        <v>2476</v>
      </c>
      <c r="GQ34" s="26"/>
      <c r="GR34" s="32">
        <v>9</v>
      </c>
      <c r="GS34" s="32">
        <v>7</v>
      </c>
      <c r="GT34" s="32">
        <v>6</v>
      </c>
      <c r="GU34" s="32">
        <v>11</v>
      </c>
      <c r="GV34" s="32">
        <v>3</v>
      </c>
      <c r="GW34" s="32">
        <v>14</v>
      </c>
      <c r="GX34" s="32">
        <v>11</v>
      </c>
      <c r="GY34" s="32">
        <v>4</v>
      </c>
      <c r="GZ34" s="32">
        <v>9</v>
      </c>
      <c r="HA34" s="32">
        <v>12</v>
      </c>
      <c r="HB34" s="32">
        <v>11</v>
      </c>
      <c r="HC34" s="32">
        <v>8</v>
      </c>
      <c r="HD34" s="38">
        <f t="shared" si="23"/>
        <v>105</v>
      </c>
      <c r="HE34" s="26"/>
      <c r="HF34" s="45">
        <v>438</v>
      </c>
      <c r="HG34" s="45">
        <v>515</v>
      </c>
      <c r="HH34" s="45">
        <v>526</v>
      </c>
      <c r="HI34" s="45">
        <v>390</v>
      </c>
      <c r="HJ34" s="45">
        <v>446</v>
      </c>
      <c r="HK34" s="45">
        <v>601</v>
      </c>
      <c r="HL34" s="45">
        <v>712</v>
      </c>
      <c r="HM34" s="45">
        <v>808</v>
      </c>
      <c r="HN34" s="45">
        <v>720</v>
      </c>
      <c r="HO34" s="45">
        <v>788</v>
      </c>
      <c r="HP34" s="45">
        <v>607</v>
      </c>
      <c r="HQ34" s="45">
        <v>465</v>
      </c>
      <c r="HR34" s="38">
        <f t="shared" si="24"/>
        <v>7016</v>
      </c>
      <c r="HS34" s="26"/>
      <c r="HT34" s="32">
        <v>152</v>
      </c>
      <c r="HU34" s="32">
        <v>175</v>
      </c>
      <c r="HV34" s="32">
        <v>227</v>
      </c>
      <c r="HW34" s="32">
        <v>162</v>
      </c>
      <c r="HX34" s="32">
        <v>153</v>
      </c>
      <c r="HY34" s="32">
        <v>238</v>
      </c>
      <c r="HZ34" s="32">
        <v>75</v>
      </c>
      <c r="IA34" s="32">
        <v>213</v>
      </c>
      <c r="IB34" s="32">
        <v>146</v>
      </c>
      <c r="IC34" s="32">
        <v>162</v>
      </c>
      <c r="ID34" s="32">
        <v>182</v>
      </c>
      <c r="IE34" s="32">
        <v>135</v>
      </c>
      <c r="IF34" s="38">
        <f t="shared" si="3"/>
        <v>2020</v>
      </c>
      <c r="IG34" s="104">
        <v>170</v>
      </c>
      <c r="IH34" s="104">
        <v>200</v>
      </c>
      <c r="II34" s="104">
        <v>259</v>
      </c>
      <c r="IJ34" s="104">
        <v>210</v>
      </c>
      <c r="IK34" s="104">
        <v>222</v>
      </c>
      <c r="IL34" s="104">
        <v>309</v>
      </c>
      <c r="IM34" s="104">
        <v>266</v>
      </c>
      <c r="IN34" s="104">
        <v>304</v>
      </c>
      <c r="IO34" s="104">
        <v>206</v>
      </c>
      <c r="IP34" s="104">
        <v>172</v>
      </c>
      <c r="IQ34" s="104">
        <v>184</v>
      </c>
      <c r="IR34" s="104">
        <v>162</v>
      </c>
      <c r="IS34" s="38">
        <f t="shared" si="25"/>
        <v>2664</v>
      </c>
      <c r="IT34" s="36">
        <f t="shared" si="26"/>
        <v>4684</v>
      </c>
      <c r="IU34" s="26"/>
      <c r="IV34" s="32">
        <v>259</v>
      </c>
      <c r="IW34" s="32">
        <v>260</v>
      </c>
      <c r="IX34" s="32">
        <v>280</v>
      </c>
      <c r="IY34" s="32">
        <v>239</v>
      </c>
      <c r="IZ34" s="32">
        <v>240</v>
      </c>
      <c r="JA34" s="32">
        <v>246</v>
      </c>
      <c r="JB34" s="32">
        <v>260</v>
      </c>
      <c r="JC34" s="32">
        <v>286</v>
      </c>
      <c r="JD34" s="32">
        <v>240</v>
      </c>
      <c r="JE34" s="32">
        <v>260</v>
      </c>
      <c r="JF34" s="32">
        <v>281</v>
      </c>
      <c r="JG34" s="32">
        <v>246</v>
      </c>
      <c r="JH34" s="38">
        <f t="shared" si="27"/>
        <v>3097</v>
      </c>
      <c r="JI34" s="97">
        <v>631.40000000000009</v>
      </c>
      <c r="JJ34" s="97">
        <v>421.8</v>
      </c>
      <c r="JK34" s="97">
        <v>452.20000000000005</v>
      </c>
      <c r="JL34" s="97">
        <v>437.40000000000003</v>
      </c>
      <c r="JM34" s="97">
        <v>620.40000000000009</v>
      </c>
      <c r="JN34" s="97">
        <v>612</v>
      </c>
      <c r="JO34" s="97">
        <v>708</v>
      </c>
      <c r="JP34" s="97">
        <v>418.6</v>
      </c>
      <c r="JQ34" s="97">
        <v>513.4</v>
      </c>
      <c r="JR34" s="97">
        <v>478.6</v>
      </c>
      <c r="JS34" s="97">
        <v>328.40000000000003</v>
      </c>
      <c r="JT34" s="97">
        <v>488.8</v>
      </c>
      <c r="JU34" s="112">
        <f t="shared" si="4"/>
        <v>6111</v>
      </c>
      <c r="JV34" s="36">
        <f t="shared" si="28"/>
        <v>9208</v>
      </c>
      <c r="JW34" s="26"/>
      <c r="JX34" s="93">
        <v>83</v>
      </c>
      <c r="JY34" s="93">
        <v>74</v>
      </c>
      <c r="JZ34" s="93">
        <v>132</v>
      </c>
      <c r="KA34" s="93">
        <v>141</v>
      </c>
      <c r="KB34" s="93">
        <v>146</v>
      </c>
      <c r="KC34" s="93">
        <v>116</v>
      </c>
      <c r="KD34" s="93">
        <v>131</v>
      </c>
      <c r="KE34" s="93">
        <v>133</v>
      </c>
      <c r="KF34" s="93">
        <v>108</v>
      </c>
      <c r="KG34" s="93">
        <v>134</v>
      </c>
      <c r="KH34" s="93">
        <v>140</v>
      </c>
      <c r="KI34" s="93">
        <v>91</v>
      </c>
      <c r="KJ34" s="38">
        <f t="shared" si="29"/>
        <v>1429</v>
      </c>
      <c r="KK34" s="114">
        <v>533</v>
      </c>
      <c r="KL34" s="114">
        <v>419</v>
      </c>
      <c r="KM34" s="114">
        <v>555</v>
      </c>
      <c r="KN34" s="114">
        <v>439</v>
      </c>
      <c r="KO34" s="114">
        <v>518</v>
      </c>
      <c r="KP34" s="114">
        <v>483</v>
      </c>
      <c r="KQ34" s="114">
        <v>693</v>
      </c>
      <c r="KR34" s="114">
        <v>616</v>
      </c>
      <c r="KS34" s="114">
        <v>602</v>
      </c>
      <c r="KT34" s="114">
        <v>470</v>
      </c>
      <c r="KU34" s="114">
        <v>325</v>
      </c>
      <c r="KV34" s="114">
        <v>189</v>
      </c>
      <c r="KW34" s="38">
        <f t="shared" si="5"/>
        <v>5842</v>
      </c>
      <c r="KX34" s="36">
        <f t="shared" si="30"/>
        <v>7271</v>
      </c>
      <c r="KY34" s="26"/>
      <c r="KZ34" s="101">
        <v>222</v>
      </c>
      <c r="LA34" s="101">
        <v>94</v>
      </c>
      <c r="LB34" s="101">
        <v>183</v>
      </c>
      <c r="LC34" s="101">
        <v>188</v>
      </c>
      <c r="LD34" s="101">
        <v>208</v>
      </c>
      <c r="LE34" s="101">
        <v>269</v>
      </c>
      <c r="LF34" s="101">
        <v>216</v>
      </c>
      <c r="LG34" s="101">
        <v>222</v>
      </c>
      <c r="LH34" s="101">
        <v>207</v>
      </c>
      <c r="LI34" s="101">
        <v>181</v>
      </c>
      <c r="LJ34" s="101">
        <v>185</v>
      </c>
      <c r="LK34" s="101">
        <v>199</v>
      </c>
      <c r="LL34" s="38">
        <f t="shared" si="6"/>
        <v>2374</v>
      </c>
      <c r="LM34" s="26"/>
      <c r="LN34" s="71">
        <v>787</v>
      </c>
      <c r="LO34" s="71">
        <v>663</v>
      </c>
      <c r="LP34" s="71">
        <v>702</v>
      </c>
      <c r="LQ34" s="71">
        <v>536</v>
      </c>
      <c r="LR34" s="71">
        <v>551</v>
      </c>
      <c r="LS34" s="71">
        <v>675</v>
      </c>
      <c r="LT34" s="71">
        <v>971</v>
      </c>
      <c r="LU34" s="45">
        <v>671</v>
      </c>
      <c r="LV34" s="45">
        <v>539</v>
      </c>
      <c r="LW34" s="45">
        <v>576</v>
      </c>
      <c r="LX34" s="45">
        <v>543</v>
      </c>
      <c r="LY34" s="45">
        <v>517</v>
      </c>
      <c r="LZ34" s="38">
        <f t="shared" si="31"/>
        <v>7731</v>
      </c>
      <c r="MA34" s="26"/>
      <c r="MB34" s="45">
        <v>989</v>
      </c>
      <c r="MC34" s="45">
        <v>1005</v>
      </c>
      <c r="MD34" s="45">
        <v>1093</v>
      </c>
      <c r="ME34" s="45">
        <v>1136</v>
      </c>
      <c r="MF34" s="45">
        <v>1093</v>
      </c>
      <c r="MG34" s="45">
        <v>1016</v>
      </c>
      <c r="MH34" s="45">
        <v>1550</v>
      </c>
      <c r="MI34" s="45">
        <v>1250</v>
      </c>
      <c r="MJ34" s="45">
        <v>942</v>
      </c>
      <c r="MK34" s="45">
        <v>939</v>
      </c>
      <c r="ML34" s="45">
        <v>1003</v>
      </c>
      <c r="MM34" s="45">
        <v>743</v>
      </c>
      <c r="MN34" s="38">
        <f t="shared" si="32"/>
        <v>12759</v>
      </c>
      <c r="MO34" s="32">
        <v>225</v>
      </c>
      <c r="MP34" s="32">
        <v>119</v>
      </c>
      <c r="MQ34" s="32">
        <v>265</v>
      </c>
      <c r="MR34" s="32">
        <v>219</v>
      </c>
      <c r="MS34" s="32">
        <v>279</v>
      </c>
      <c r="MT34" s="32">
        <v>295</v>
      </c>
      <c r="MU34" s="32">
        <v>532</v>
      </c>
      <c r="MV34" s="32">
        <v>232</v>
      </c>
      <c r="MW34" s="32">
        <v>299</v>
      </c>
      <c r="MX34" s="32">
        <v>337</v>
      </c>
      <c r="MY34" s="32">
        <v>288</v>
      </c>
      <c r="MZ34" s="32">
        <v>303</v>
      </c>
      <c r="NA34" s="38">
        <f t="shared" si="33"/>
        <v>3393</v>
      </c>
      <c r="NB34" s="36">
        <f t="shared" si="34"/>
        <v>16152</v>
      </c>
      <c r="NC34" s="26"/>
      <c r="ND34" s="101">
        <v>162</v>
      </c>
      <c r="NE34" s="101">
        <v>158</v>
      </c>
      <c r="NF34" s="101">
        <v>104</v>
      </c>
      <c r="NG34" s="101">
        <v>166</v>
      </c>
      <c r="NH34" s="101">
        <v>202</v>
      </c>
      <c r="NI34" s="101">
        <v>209</v>
      </c>
      <c r="NJ34" s="101">
        <v>286</v>
      </c>
      <c r="NK34" s="101">
        <v>352</v>
      </c>
      <c r="NL34" s="101">
        <v>157</v>
      </c>
      <c r="NM34" s="101">
        <v>133</v>
      </c>
      <c r="NN34" s="101">
        <v>111</v>
      </c>
      <c r="NO34" s="101">
        <v>260</v>
      </c>
      <c r="NP34" s="38">
        <f t="shared" si="35"/>
        <v>2300</v>
      </c>
      <c r="NQ34" s="36">
        <f t="shared" si="36"/>
        <v>18073.545454545456</v>
      </c>
      <c r="NR34" s="36">
        <f t="shared" si="37"/>
        <v>84229.818181818177</v>
      </c>
      <c r="NS34" s="36">
        <f t="shared" si="38"/>
        <v>30659</v>
      </c>
      <c r="NT34" s="36">
        <f t="shared" si="39"/>
        <v>132962.36363636365</v>
      </c>
      <c r="NU34" s="18"/>
      <c r="NV34" s="18"/>
      <c r="NW34" s="18"/>
      <c r="NX34" s="19"/>
      <c r="NY34" s="19"/>
      <c r="NZ34" s="19"/>
      <c r="OA34" s="19"/>
      <c r="OB34" s="19"/>
      <c r="OC34" s="19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8"/>
      <c r="OR34" s="18"/>
      <c r="OS34" s="18"/>
      <c r="OT34" s="18"/>
      <c r="OU34" s="18"/>
      <c r="OV34" s="18"/>
      <c r="OW34" s="18"/>
      <c r="OX34" s="19"/>
      <c r="OY34" s="19"/>
      <c r="OZ34" s="19"/>
      <c r="PA34" s="19"/>
      <c r="PB34" s="19"/>
      <c r="PC34" s="19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8"/>
      <c r="PR34" s="18"/>
      <c r="PS34" s="18"/>
      <c r="PT34" s="18"/>
      <c r="PU34" s="18"/>
      <c r="PV34" s="18"/>
      <c r="PW34" s="18"/>
      <c r="PX34" s="19"/>
      <c r="PY34" s="19"/>
      <c r="PZ34" s="19"/>
      <c r="QA34" s="19"/>
      <c r="QB34" s="19"/>
      <c r="QC34" s="19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</row>
    <row r="35" spans="1:458" s="1" customFormat="1" ht="50.1" customHeight="1" x14ac:dyDescent="0.25">
      <c r="A35" s="120"/>
      <c r="B35" s="6" t="s">
        <v>18</v>
      </c>
      <c r="C35" s="23"/>
      <c r="D35" s="41">
        <v>16.454545454545453</v>
      </c>
      <c r="E35" s="41">
        <v>8</v>
      </c>
      <c r="F35" s="41">
        <v>24</v>
      </c>
      <c r="G35" s="41">
        <v>26</v>
      </c>
      <c r="H35" s="41">
        <v>28</v>
      </c>
      <c r="I35" s="41">
        <v>46</v>
      </c>
      <c r="J35" s="41">
        <v>44</v>
      </c>
      <c r="K35" s="41">
        <v>82</v>
      </c>
      <c r="L35" s="41">
        <v>98</v>
      </c>
      <c r="M35" s="41">
        <v>73</v>
      </c>
      <c r="N35" s="41">
        <v>83</v>
      </c>
      <c r="O35" s="41">
        <v>68</v>
      </c>
      <c r="P35" s="38">
        <f t="shared" si="7"/>
        <v>596.4545454545455</v>
      </c>
      <c r="Q35" s="49">
        <v>697</v>
      </c>
      <c r="R35" s="49">
        <v>723</v>
      </c>
      <c r="S35" s="49">
        <v>409</v>
      </c>
      <c r="T35" s="49">
        <v>487</v>
      </c>
      <c r="U35" s="49">
        <v>625</v>
      </c>
      <c r="V35" s="49">
        <v>535</v>
      </c>
      <c r="W35" s="49">
        <v>608</v>
      </c>
      <c r="X35" s="49">
        <v>777</v>
      </c>
      <c r="Y35" s="49">
        <v>651</v>
      </c>
      <c r="Z35" s="49">
        <v>493</v>
      </c>
      <c r="AA35" s="49">
        <v>477</v>
      </c>
      <c r="AB35" s="49">
        <v>463</v>
      </c>
      <c r="AC35" s="38">
        <f t="shared" si="8"/>
        <v>6945</v>
      </c>
      <c r="AD35" s="36">
        <f t="shared" si="9"/>
        <v>7541.454545454546</v>
      </c>
      <c r="AE35" s="26"/>
      <c r="AF35" s="32">
        <v>6</v>
      </c>
      <c r="AG35" s="32">
        <v>5</v>
      </c>
      <c r="AH35" s="32">
        <v>3</v>
      </c>
      <c r="AI35" s="32">
        <v>1</v>
      </c>
      <c r="AJ35" s="32">
        <v>1</v>
      </c>
      <c r="AK35" s="32">
        <v>1</v>
      </c>
      <c r="AL35" s="32">
        <v>7</v>
      </c>
      <c r="AM35" s="32">
        <v>2</v>
      </c>
      <c r="AN35" s="32">
        <v>6</v>
      </c>
      <c r="AO35" s="32">
        <v>2</v>
      </c>
      <c r="AP35" s="32">
        <v>8</v>
      </c>
      <c r="AQ35" s="32">
        <v>6</v>
      </c>
      <c r="AR35" s="38">
        <f t="shared" si="10"/>
        <v>48</v>
      </c>
      <c r="AS35" s="32">
        <v>48</v>
      </c>
      <c r="AT35" s="32">
        <v>43</v>
      </c>
      <c r="AU35" s="32">
        <v>37</v>
      </c>
      <c r="AV35" s="32">
        <v>42</v>
      </c>
      <c r="AW35" s="32">
        <v>89</v>
      </c>
      <c r="AX35" s="32">
        <v>46</v>
      </c>
      <c r="AY35" s="32">
        <v>87</v>
      </c>
      <c r="AZ35" s="32">
        <v>55</v>
      </c>
      <c r="BA35" s="32">
        <v>49</v>
      </c>
      <c r="BB35" s="32">
        <v>30</v>
      </c>
      <c r="BC35" s="32">
        <v>47</v>
      </c>
      <c r="BD35" s="32">
        <v>22</v>
      </c>
      <c r="BE35" s="38">
        <f t="shared" si="11"/>
        <v>595</v>
      </c>
      <c r="BF35" s="36">
        <f t="shared" si="12"/>
        <v>643</v>
      </c>
      <c r="BG35" s="26"/>
      <c r="BH35" s="41">
        <v>41</v>
      </c>
      <c r="BI35" s="41">
        <v>27</v>
      </c>
      <c r="BJ35" s="41">
        <v>16</v>
      </c>
      <c r="BK35" s="41">
        <v>35</v>
      </c>
      <c r="BL35" s="41">
        <v>18</v>
      </c>
      <c r="BM35" s="41">
        <v>10</v>
      </c>
      <c r="BN35" s="41">
        <v>37</v>
      </c>
      <c r="BO35" s="41">
        <v>48</v>
      </c>
      <c r="BP35" s="41">
        <v>15</v>
      </c>
      <c r="BQ35" s="41">
        <v>23</v>
      </c>
      <c r="BR35" s="41">
        <v>22</v>
      </c>
      <c r="BS35" s="41">
        <v>17</v>
      </c>
      <c r="BT35" s="38">
        <f t="shared" si="13"/>
        <v>309</v>
      </c>
      <c r="BU35" s="56">
        <v>7</v>
      </c>
      <c r="BV35" s="56">
        <v>25</v>
      </c>
      <c r="BW35" s="56">
        <v>21</v>
      </c>
      <c r="BX35" s="56">
        <v>12</v>
      </c>
      <c r="BY35" s="56">
        <v>22</v>
      </c>
      <c r="BZ35" s="56">
        <v>17</v>
      </c>
      <c r="CA35" s="56">
        <v>15</v>
      </c>
      <c r="CB35" s="56">
        <v>20</v>
      </c>
      <c r="CC35" s="56">
        <v>25</v>
      </c>
      <c r="CD35" s="56">
        <v>20</v>
      </c>
      <c r="CE35" s="56">
        <v>22.666666666666668</v>
      </c>
      <c r="CF35" s="56">
        <v>19.151515151515152</v>
      </c>
      <c r="CG35" s="61">
        <f t="shared" si="14"/>
        <v>225.81818181818181</v>
      </c>
      <c r="CH35" s="57">
        <f t="shared" si="15"/>
        <v>534.81818181818176</v>
      </c>
      <c r="CI35" s="26"/>
      <c r="CJ35" s="32">
        <v>10</v>
      </c>
      <c r="CK35" s="32">
        <v>10</v>
      </c>
      <c r="CL35" s="32">
        <v>17</v>
      </c>
      <c r="CM35" s="32">
        <v>20</v>
      </c>
      <c r="CN35" s="32">
        <v>27</v>
      </c>
      <c r="CO35" s="32">
        <v>10</v>
      </c>
      <c r="CP35" s="32">
        <v>25</v>
      </c>
      <c r="CQ35" s="32">
        <v>42</v>
      </c>
      <c r="CR35" s="32">
        <v>24</v>
      </c>
      <c r="CS35" s="32">
        <v>31</v>
      </c>
      <c r="CT35" s="32">
        <v>35</v>
      </c>
      <c r="CU35" s="69">
        <v>11</v>
      </c>
      <c r="CV35" s="38">
        <f t="shared" si="16"/>
        <v>262</v>
      </c>
      <c r="CW35" s="45">
        <v>49</v>
      </c>
      <c r="CX35" s="45">
        <v>51</v>
      </c>
      <c r="CY35" s="45">
        <v>103</v>
      </c>
      <c r="CZ35" s="45">
        <v>90</v>
      </c>
      <c r="DA35" s="45">
        <v>77</v>
      </c>
      <c r="DB35" s="45">
        <v>92</v>
      </c>
      <c r="DC35" s="45">
        <v>73</v>
      </c>
      <c r="DD35" s="45">
        <v>62</v>
      </c>
      <c r="DE35" s="45">
        <v>55</v>
      </c>
      <c r="DF35" s="45">
        <v>79</v>
      </c>
      <c r="DG35" s="45">
        <v>85</v>
      </c>
      <c r="DH35" s="45">
        <v>55</v>
      </c>
      <c r="DI35" s="38">
        <f t="shared" si="0"/>
        <v>871</v>
      </c>
      <c r="DJ35" s="36">
        <f t="shared" si="17"/>
        <v>1133</v>
      </c>
      <c r="DK35" s="26"/>
      <c r="DL35" s="75">
        <v>0</v>
      </c>
      <c r="DM35" s="75">
        <v>0</v>
      </c>
      <c r="DN35" s="75">
        <v>0</v>
      </c>
      <c r="DO35" s="75">
        <v>0</v>
      </c>
      <c r="DP35" s="75">
        <v>0</v>
      </c>
      <c r="DQ35" s="75"/>
      <c r="DR35" s="75">
        <v>0</v>
      </c>
      <c r="DS35" s="75">
        <v>0</v>
      </c>
      <c r="DT35" s="75">
        <v>0</v>
      </c>
      <c r="DU35" s="75">
        <v>0</v>
      </c>
      <c r="DV35" s="75">
        <v>0</v>
      </c>
      <c r="DW35" s="83">
        <v>0</v>
      </c>
      <c r="DX35" s="38">
        <f t="shared" si="1"/>
        <v>0</v>
      </c>
      <c r="DY35" s="65">
        <v>24</v>
      </c>
      <c r="DZ35" s="65">
        <v>39</v>
      </c>
      <c r="EA35" s="65">
        <v>101</v>
      </c>
      <c r="EB35" s="65">
        <v>46</v>
      </c>
      <c r="EC35" s="65">
        <v>48</v>
      </c>
      <c r="ED35" s="65">
        <v>135</v>
      </c>
      <c r="EE35" s="65">
        <v>126</v>
      </c>
      <c r="EF35" s="65">
        <v>88</v>
      </c>
      <c r="EG35" s="65">
        <v>95</v>
      </c>
      <c r="EH35" s="65">
        <v>95</v>
      </c>
      <c r="EI35" s="65">
        <v>84</v>
      </c>
      <c r="EJ35" s="65">
        <v>42</v>
      </c>
      <c r="EK35" s="38">
        <f t="shared" si="18"/>
        <v>923</v>
      </c>
      <c r="EL35" s="36">
        <f t="shared" si="19"/>
        <v>923</v>
      </c>
      <c r="EM35" s="26"/>
      <c r="EN35" s="101">
        <v>23</v>
      </c>
      <c r="EO35" s="101">
        <v>67</v>
      </c>
      <c r="EP35" s="101">
        <v>26</v>
      </c>
      <c r="EQ35" s="101">
        <v>24</v>
      </c>
      <c r="ER35" s="101">
        <v>16</v>
      </c>
      <c r="ES35" s="101">
        <v>12</v>
      </c>
      <c r="ET35" s="101">
        <v>47</v>
      </c>
      <c r="EU35" s="101">
        <v>68</v>
      </c>
      <c r="EV35" s="101">
        <v>51</v>
      </c>
      <c r="EW35" s="101">
        <v>59</v>
      </c>
      <c r="EX35" s="101">
        <v>25</v>
      </c>
      <c r="EY35" s="101">
        <v>21</v>
      </c>
      <c r="EZ35" s="38">
        <f t="shared" si="2"/>
        <v>439</v>
      </c>
      <c r="FA35" s="26"/>
      <c r="FB35" s="54">
        <v>71</v>
      </c>
      <c r="FC35" s="54">
        <v>71</v>
      </c>
      <c r="FD35" s="54">
        <v>59</v>
      </c>
      <c r="FE35" s="54">
        <v>55</v>
      </c>
      <c r="FF35" s="54">
        <v>76</v>
      </c>
      <c r="FG35" s="54">
        <v>65</v>
      </c>
      <c r="FH35" s="54">
        <v>71</v>
      </c>
      <c r="FI35" s="54">
        <v>109</v>
      </c>
      <c r="FJ35" s="54">
        <v>77</v>
      </c>
      <c r="FK35" s="54">
        <v>87</v>
      </c>
      <c r="FL35" s="54">
        <v>99</v>
      </c>
      <c r="FM35" s="54">
        <v>109</v>
      </c>
      <c r="FN35" s="38">
        <f t="shared" si="20"/>
        <v>949</v>
      </c>
      <c r="FO35" s="26"/>
      <c r="FP35" s="32">
        <v>10</v>
      </c>
      <c r="FQ35" s="32">
        <v>17</v>
      </c>
      <c r="FR35" s="32">
        <v>13</v>
      </c>
      <c r="FS35" s="32">
        <v>23</v>
      </c>
      <c r="FT35" s="32">
        <v>24</v>
      </c>
      <c r="FU35" s="32">
        <v>45</v>
      </c>
      <c r="FV35" s="32">
        <v>25</v>
      </c>
      <c r="FW35" s="32">
        <v>7</v>
      </c>
      <c r="FX35" s="32">
        <v>5</v>
      </c>
      <c r="FY35" s="32">
        <v>5</v>
      </c>
      <c r="FZ35" s="32">
        <v>15</v>
      </c>
      <c r="GA35" s="32">
        <v>8</v>
      </c>
      <c r="GB35" s="38">
        <f t="shared" si="21"/>
        <v>197</v>
      </c>
      <c r="GC35" s="26"/>
      <c r="GD35" s="101">
        <v>50</v>
      </c>
      <c r="GE35" s="101">
        <v>54</v>
      </c>
      <c r="GF35" s="101">
        <v>25</v>
      </c>
      <c r="GG35" s="101">
        <v>28</v>
      </c>
      <c r="GH35" s="101">
        <v>37</v>
      </c>
      <c r="GI35" s="101">
        <v>84</v>
      </c>
      <c r="GJ35" s="101">
        <v>49</v>
      </c>
      <c r="GK35" s="101">
        <v>79</v>
      </c>
      <c r="GL35" s="101">
        <v>22</v>
      </c>
      <c r="GM35" s="101">
        <v>33</v>
      </c>
      <c r="GN35" s="101">
        <v>44</v>
      </c>
      <c r="GO35" s="101">
        <v>42</v>
      </c>
      <c r="GP35" s="38">
        <f t="shared" si="22"/>
        <v>547</v>
      </c>
      <c r="GQ35" s="26"/>
      <c r="GR35" s="32">
        <v>6</v>
      </c>
      <c r="GS35" s="32">
        <v>5</v>
      </c>
      <c r="GT35" s="32">
        <v>6</v>
      </c>
      <c r="GU35" s="32">
        <v>7</v>
      </c>
      <c r="GV35" s="32">
        <v>6</v>
      </c>
      <c r="GW35" s="32">
        <v>3</v>
      </c>
      <c r="GX35" s="32">
        <v>7</v>
      </c>
      <c r="GY35" s="32">
        <v>3</v>
      </c>
      <c r="GZ35" s="32">
        <v>8</v>
      </c>
      <c r="HA35" s="32">
        <v>9</v>
      </c>
      <c r="HB35" s="32">
        <v>7</v>
      </c>
      <c r="HC35" s="32">
        <v>6</v>
      </c>
      <c r="HD35" s="38">
        <f t="shared" si="23"/>
        <v>73</v>
      </c>
      <c r="HE35" s="26"/>
      <c r="HF35" s="45">
        <v>91</v>
      </c>
      <c r="HG35" s="45">
        <v>99</v>
      </c>
      <c r="HH35" s="45">
        <v>101</v>
      </c>
      <c r="HI35" s="45">
        <v>109</v>
      </c>
      <c r="HJ35" s="45">
        <v>121</v>
      </c>
      <c r="HK35" s="45">
        <v>94</v>
      </c>
      <c r="HL35" s="45">
        <v>90</v>
      </c>
      <c r="HM35" s="45">
        <v>118</v>
      </c>
      <c r="HN35" s="45">
        <v>167</v>
      </c>
      <c r="HO35" s="45">
        <v>163</v>
      </c>
      <c r="HP35" s="45">
        <v>156</v>
      </c>
      <c r="HQ35" s="45">
        <v>54</v>
      </c>
      <c r="HR35" s="38">
        <f t="shared" si="24"/>
        <v>1363</v>
      </c>
      <c r="HS35" s="26"/>
      <c r="HT35" s="32">
        <v>3</v>
      </c>
      <c r="HU35" s="32">
        <v>3</v>
      </c>
      <c r="HV35" s="32">
        <v>13</v>
      </c>
      <c r="HW35" s="32">
        <v>4</v>
      </c>
      <c r="HX35" s="32">
        <v>1</v>
      </c>
      <c r="HY35" s="32">
        <v>1</v>
      </c>
      <c r="HZ35" s="32">
        <v>4</v>
      </c>
      <c r="IA35" s="32">
        <v>2</v>
      </c>
      <c r="IB35" s="32">
        <v>3</v>
      </c>
      <c r="IC35" s="32">
        <v>2</v>
      </c>
      <c r="ID35" s="32">
        <v>5</v>
      </c>
      <c r="IE35" s="32">
        <v>4</v>
      </c>
      <c r="IF35" s="38">
        <f t="shared" si="3"/>
        <v>45</v>
      </c>
      <c r="IG35" s="104">
        <v>14</v>
      </c>
      <c r="IH35" s="104">
        <v>19</v>
      </c>
      <c r="II35" s="104">
        <v>32</v>
      </c>
      <c r="IJ35" s="104">
        <v>21</v>
      </c>
      <c r="IK35" s="104">
        <v>10</v>
      </c>
      <c r="IL35" s="104">
        <v>24</v>
      </c>
      <c r="IM35" s="104">
        <v>39</v>
      </c>
      <c r="IN35" s="104">
        <v>25</v>
      </c>
      <c r="IO35" s="104">
        <v>26</v>
      </c>
      <c r="IP35" s="104">
        <v>23</v>
      </c>
      <c r="IQ35" s="104">
        <v>36</v>
      </c>
      <c r="IR35" s="104">
        <v>28</v>
      </c>
      <c r="IS35" s="38">
        <f t="shared" si="25"/>
        <v>297</v>
      </c>
      <c r="IT35" s="36">
        <f t="shared" si="26"/>
        <v>342</v>
      </c>
      <c r="IU35" s="26"/>
      <c r="IV35" s="32">
        <v>40</v>
      </c>
      <c r="IW35" s="32">
        <v>42</v>
      </c>
      <c r="IX35" s="32">
        <v>49</v>
      </c>
      <c r="IY35" s="32">
        <v>36</v>
      </c>
      <c r="IZ35" s="32">
        <v>39</v>
      </c>
      <c r="JA35" s="32">
        <v>35</v>
      </c>
      <c r="JB35" s="32">
        <v>39</v>
      </c>
      <c r="JC35" s="32">
        <v>42</v>
      </c>
      <c r="JD35" s="32">
        <v>46</v>
      </c>
      <c r="JE35" s="32">
        <v>35</v>
      </c>
      <c r="JF35" s="32">
        <v>38</v>
      </c>
      <c r="JG35" s="32">
        <v>42</v>
      </c>
      <c r="JH35" s="38">
        <f t="shared" si="27"/>
        <v>483</v>
      </c>
      <c r="JI35" s="97">
        <v>235.20000000000002</v>
      </c>
      <c r="JJ35" s="97">
        <v>264.60000000000002</v>
      </c>
      <c r="JK35" s="97">
        <v>268.60000000000002</v>
      </c>
      <c r="JL35" s="97">
        <v>281</v>
      </c>
      <c r="JM35" s="97">
        <v>188.60000000000002</v>
      </c>
      <c r="JN35" s="97">
        <v>199</v>
      </c>
      <c r="JO35" s="97">
        <v>128.6</v>
      </c>
      <c r="JP35" s="97">
        <v>144.4</v>
      </c>
      <c r="JQ35" s="97">
        <v>155.20000000000002</v>
      </c>
      <c r="JR35" s="97">
        <v>225.60000000000002</v>
      </c>
      <c r="JS35" s="97">
        <v>208</v>
      </c>
      <c r="JT35" s="97">
        <v>166.4</v>
      </c>
      <c r="JU35" s="112">
        <f t="shared" si="4"/>
        <v>2465.2000000000003</v>
      </c>
      <c r="JV35" s="36">
        <f t="shared" si="28"/>
        <v>2948.2000000000003</v>
      </c>
      <c r="JW35" s="26"/>
      <c r="JX35" s="93">
        <v>10</v>
      </c>
      <c r="JY35" s="93">
        <v>13</v>
      </c>
      <c r="JZ35" s="93">
        <v>9</v>
      </c>
      <c r="KA35" s="93">
        <v>8</v>
      </c>
      <c r="KB35" s="93">
        <v>10</v>
      </c>
      <c r="KC35" s="93">
        <v>9</v>
      </c>
      <c r="KD35" s="93">
        <v>10</v>
      </c>
      <c r="KE35" s="93">
        <v>53</v>
      </c>
      <c r="KF35" s="93">
        <v>12</v>
      </c>
      <c r="KG35" s="93">
        <v>7</v>
      </c>
      <c r="KH35" s="93">
        <v>7</v>
      </c>
      <c r="KI35" s="93">
        <v>12</v>
      </c>
      <c r="KJ35" s="38">
        <f t="shared" si="29"/>
        <v>160</v>
      </c>
      <c r="KK35" s="114">
        <v>39</v>
      </c>
      <c r="KL35" s="114">
        <v>32</v>
      </c>
      <c r="KM35" s="114">
        <v>25</v>
      </c>
      <c r="KN35" s="114">
        <v>18</v>
      </c>
      <c r="KO35" s="114">
        <v>6</v>
      </c>
      <c r="KP35" s="114">
        <v>2</v>
      </c>
      <c r="KQ35" s="114">
        <v>3</v>
      </c>
      <c r="KR35" s="114">
        <v>14</v>
      </c>
      <c r="KS35" s="114">
        <v>46</v>
      </c>
      <c r="KT35" s="114">
        <v>51</v>
      </c>
      <c r="KU35" s="114">
        <v>40</v>
      </c>
      <c r="KV35" s="114">
        <v>51</v>
      </c>
      <c r="KW35" s="38">
        <f t="shared" si="5"/>
        <v>327</v>
      </c>
      <c r="KX35" s="36">
        <f t="shared" si="30"/>
        <v>487</v>
      </c>
      <c r="KY35" s="26"/>
      <c r="KZ35" s="101">
        <v>31</v>
      </c>
      <c r="LA35" s="101">
        <v>20</v>
      </c>
      <c r="LB35" s="101">
        <v>24</v>
      </c>
      <c r="LC35" s="101">
        <v>20</v>
      </c>
      <c r="LD35" s="101">
        <v>19</v>
      </c>
      <c r="LE35" s="101">
        <v>25</v>
      </c>
      <c r="LF35" s="101">
        <v>27</v>
      </c>
      <c r="LG35" s="101">
        <v>24</v>
      </c>
      <c r="LH35" s="101">
        <v>10</v>
      </c>
      <c r="LI35" s="101">
        <v>5</v>
      </c>
      <c r="LJ35" s="101">
        <v>12</v>
      </c>
      <c r="LK35" s="101">
        <v>0</v>
      </c>
      <c r="LL35" s="38">
        <f t="shared" si="6"/>
        <v>217</v>
      </c>
      <c r="LM35" s="26"/>
      <c r="LN35" s="71">
        <v>47</v>
      </c>
      <c r="LO35" s="71">
        <v>38</v>
      </c>
      <c r="LP35" s="71">
        <v>55</v>
      </c>
      <c r="LQ35" s="71">
        <v>46</v>
      </c>
      <c r="LR35" s="71">
        <v>37</v>
      </c>
      <c r="LS35" s="71">
        <v>43</v>
      </c>
      <c r="LT35" s="71">
        <v>45</v>
      </c>
      <c r="LU35" s="45">
        <v>48</v>
      </c>
      <c r="LV35" s="45">
        <v>62</v>
      </c>
      <c r="LW35" s="45">
        <v>52</v>
      </c>
      <c r="LX35" s="45">
        <v>47</v>
      </c>
      <c r="LY35" s="45">
        <v>57</v>
      </c>
      <c r="LZ35" s="38">
        <f t="shared" si="31"/>
        <v>577</v>
      </c>
      <c r="MA35" s="26"/>
      <c r="MB35" s="45">
        <v>48</v>
      </c>
      <c r="MC35" s="45">
        <v>39</v>
      </c>
      <c r="MD35" s="45">
        <v>44</v>
      </c>
      <c r="ME35" s="45">
        <v>36</v>
      </c>
      <c r="MF35" s="45">
        <v>61</v>
      </c>
      <c r="MG35" s="45">
        <v>63</v>
      </c>
      <c r="MH35" s="45">
        <v>106</v>
      </c>
      <c r="MI35" s="45">
        <v>67</v>
      </c>
      <c r="MJ35" s="45">
        <v>153</v>
      </c>
      <c r="MK35" s="45">
        <v>103</v>
      </c>
      <c r="ML35" s="45">
        <v>91</v>
      </c>
      <c r="MM35" s="45">
        <v>190</v>
      </c>
      <c r="MN35" s="38">
        <f t="shared" si="32"/>
        <v>1001</v>
      </c>
      <c r="MO35" s="32">
        <v>92</v>
      </c>
      <c r="MP35" s="32">
        <v>59</v>
      </c>
      <c r="MQ35" s="32">
        <v>91</v>
      </c>
      <c r="MR35" s="32">
        <v>115</v>
      </c>
      <c r="MS35" s="32">
        <v>171</v>
      </c>
      <c r="MT35" s="32">
        <v>258</v>
      </c>
      <c r="MU35" s="32">
        <v>275</v>
      </c>
      <c r="MV35" s="32">
        <v>175</v>
      </c>
      <c r="MW35" s="32">
        <v>120</v>
      </c>
      <c r="MX35" s="32">
        <v>164</v>
      </c>
      <c r="MY35" s="32">
        <v>143</v>
      </c>
      <c r="MZ35" s="32">
        <v>166</v>
      </c>
      <c r="NA35" s="38">
        <f t="shared" si="33"/>
        <v>1829</v>
      </c>
      <c r="NB35" s="36">
        <f t="shared" si="34"/>
        <v>2830</v>
      </c>
      <c r="NC35" s="26"/>
      <c r="ND35" s="101">
        <v>30</v>
      </c>
      <c r="NE35" s="101">
        <v>20</v>
      </c>
      <c r="NF35" s="101">
        <v>14</v>
      </c>
      <c r="NG35" s="101">
        <v>46</v>
      </c>
      <c r="NH35" s="101">
        <v>21</v>
      </c>
      <c r="NI35" s="101">
        <v>10</v>
      </c>
      <c r="NJ35" s="101">
        <v>64</v>
      </c>
      <c r="NK35" s="101">
        <v>55</v>
      </c>
      <c r="NL35" s="101">
        <v>51</v>
      </c>
      <c r="NM35" s="101">
        <v>42</v>
      </c>
      <c r="NN35" s="101">
        <v>38</v>
      </c>
      <c r="NO35" s="101">
        <v>19</v>
      </c>
      <c r="NP35" s="38">
        <f t="shared" si="35"/>
        <v>410</v>
      </c>
      <c r="NQ35" s="36">
        <f t="shared" si="36"/>
        <v>1493.4545454545455</v>
      </c>
      <c r="NR35" s="36">
        <f t="shared" si="37"/>
        <v>9421.818181818182</v>
      </c>
      <c r="NS35" s="36">
        <f t="shared" si="38"/>
        <v>11239.2</v>
      </c>
      <c r="NT35" s="36">
        <f t="shared" si="39"/>
        <v>22154.472727272729</v>
      </c>
      <c r="NU35" s="18"/>
      <c r="NV35" s="18"/>
      <c r="NW35" s="18"/>
      <c r="NX35" s="19"/>
      <c r="NY35" s="19"/>
      <c r="NZ35" s="19"/>
      <c r="OA35" s="19"/>
      <c r="OB35" s="19"/>
      <c r="OC35" s="19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8"/>
      <c r="OR35" s="18"/>
      <c r="OS35" s="18"/>
      <c r="OT35" s="18"/>
      <c r="OU35" s="18"/>
      <c r="OV35" s="18"/>
      <c r="OW35" s="18"/>
      <c r="OX35" s="19"/>
      <c r="OY35" s="19"/>
      <c r="OZ35" s="19"/>
      <c r="PA35" s="19"/>
      <c r="PB35" s="19"/>
      <c r="PC35" s="19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8"/>
      <c r="PR35" s="18"/>
      <c r="PS35" s="18"/>
      <c r="PT35" s="18"/>
      <c r="PU35" s="18"/>
      <c r="PV35" s="18"/>
      <c r="PW35" s="18"/>
      <c r="PX35" s="19"/>
      <c r="PY35" s="19"/>
      <c r="PZ35" s="19"/>
      <c r="QA35" s="19"/>
      <c r="QB35" s="19"/>
      <c r="QC35" s="19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</row>
    <row r="36" spans="1:458" s="1" customFormat="1" ht="50.1" customHeight="1" x14ac:dyDescent="0.25">
      <c r="A36" s="120"/>
      <c r="B36" s="6" t="s">
        <v>19</v>
      </c>
      <c r="C36" s="23"/>
      <c r="D36" s="41">
        <v>9.0909090909090912E-2</v>
      </c>
      <c r="E36" s="41">
        <v>5</v>
      </c>
      <c r="F36" s="41">
        <v>5</v>
      </c>
      <c r="G36" s="41">
        <v>9</v>
      </c>
      <c r="H36" s="41">
        <v>13</v>
      </c>
      <c r="I36" s="41">
        <v>11</v>
      </c>
      <c r="J36" s="41">
        <v>9</v>
      </c>
      <c r="K36" s="41">
        <v>7</v>
      </c>
      <c r="L36" s="41">
        <v>18</v>
      </c>
      <c r="M36" s="41">
        <v>23</v>
      </c>
      <c r="N36" s="41">
        <v>9</v>
      </c>
      <c r="O36" s="41">
        <v>4</v>
      </c>
      <c r="P36" s="38">
        <f t="shared" si="7"/>
        <v>113.09090909090909</v>
      </c>
      <c r="Q36" s="49">
        <v>119</v>
      </c>
      <c r="R36" s="49">
        <v>84</v>
      </c>
      <c r="S36" s="49">
        <v>122</v>
      </c>
      <c r="T36" s="49">
        <v>72</v>
      </c>
      <c r="U36" s="49">
        <v>118</v>
      </c>
      <c r="V36" s="49">
        <v>9</v>
      </c>
      <c r="W36" s="49">
        <v>134</v>
      </c>
      <c r="X36" s="49">
        <v>130</v>
      </c>
      <c r="Y36" s="49">
        <v>203</v>
      </c>
      <c r="Z36" s="49">
        <v>193</v>
      </c>
      <c r="AA36" s="49">
        <v>180</v>
      </c>
      <c r="AB36" s="49">
        <v>93</v>
      </c>
      <c r="AC36" s="38">
        <f t="shared" si="8"/>
        <v>1457</v>
      </c>
      <c r="AD36" s="36">
        <f t="shared" si="9"/>
        <v>1570.090909090909</v>
      </c>
      <c r="AE36" s="26"/>
      <c r="AF36" s="32">
        <v>2</v>
      </c>
      <c r="AG36" s="32">
        <v>1</v>
      </c>
      <c r="AH36" s="32">
        <v>2</v>
      </c>
      <c r="AI36" s="32">
        <v>1</v>
      </c>
      <c r="AJ36" s="32">
        <v>0</v>
      </c>
      <c r="AK36" s="32">
        <v>1</v>
      </c>
      <c r="AL36" s="32">
        <v>3</v>
      </c>
      <c r="AM36" s="32">
        <v>0</v>
      </c>
      <c r="AN36" s="32">
        <v>1</v>
      </c>
      <c r="AO36" s="32">
        <v>1</v>
      </c>
      <c r="AP36" s="32">
        <v>3</v>
      </c>
      <c r="AQ36" s="32">
        <v>0</v>
      </c>
      <c r="AR36" s="38">
        <f t="shared" si="10"/>
        <v>15</v>
      </c>
      <c r="AS36" s="32">
        <v>0</v>
      </c>
      <c r="AT36" s="32">
        <v>5</v>
      </c>
      <c r="AU36" s="32">
        <v>2</v>
      </c>
      <c r="AV36" s="32">
        <v>7</v>
      </c>
      <c r="AW36" s="32">
        <v>0</v>
      </c>
      <c r="AX36" s="32">
        <v>0</v>
      </c>
      <c r="AY36" s="32">
        <v>2</v>
      </c>
      <c r="AZ36" s="32">
        <v>8</v>
      </c>
      <c r="BA36" s="32">
        <v>0</v>
      </c>
      <c r="BB36" s="32">
        <v>3</v>
      </c>
      <c r="BC36" s="32">
        <v>4</v>
      </c>
      <c r="BD36" s="32">
        <v>4</v>
      </c>
      <c r="BE36" s="38">
        <f t="shared" si="11"/>
        <v>35</v>
      </c>
      <c r="BF36" s="36">
        <f t="shared" si="12"/>
        <v>50</v>
      </c>
      <c r="BG36" s="26"/>
      <c r="BH36" s="41">
        <v>9</v>
      </c>
      <c r="BI36" s="41">
        <v>4</v>
      </c>
      <c r="BJ36" s="41">
        <v>0</v>
      </c>
      <c r="BK36" s="41">
        <v>3</v>
      </c>
      <c r="BL36" s="41">
        <v>7</v>
      </c>
      <c r="BM36" s="41">
        <v>8</v>
      </c>
      <c r="BN36" s="41">
        <v>6</v>
      </c>
      <c r="BO36" s="41">
        <v>8</v>
      </c>
      <c r="BP36" s="41">
        <v>121</v>
      </c>
      <c r="BQ36" s="41">
        <v>236</v>
      </c>
      <c r="BR36" s="41">
        <v>220</v>
      </c>
      <c r="BS36" s="41">
        <v>234</v>
      </c>
      <c r="BT36" s="38">
        <f t="shared" si="13"/>
        <v>856</v>
      </c>
      <c r="BU36" s="56">
        <v>2</v>
      </c>
      <c r="BV36" s="56">
        <v>4</v>
      </c>
      <c r="BW36" s="56">
        <v>7</v>
      </c>
      <c r="BX36" s="56">
        <v>1</v>
      </c>
      <c r="BY36" s="56">
        <v>1</v>
      </c>
      <c r="BZ36" s="56">
        <v>1</v>
      </c>
      <c r="CA36" s="56">
        <v>4</v>
      </c>
      <c r="CB36" s="56">
        <v>5</v>
      </c>
      <c r="CC36" s="56">
        <v>6</v>
      </c>
      <c r="CD36" s="56">
        <v>10</v>
      </c>
      <c r="CE36" s="56">
        <v>5.6666666666666661</v>
      </c>
      <c r="CF36" s="56">
        <v>3.2424242424242427</v>
      </c>
      <c r="CG36" s="61">
        <f t="shared" si="14"/>
        <v>49.909090909090907</v>
      </c>
      <c r="CH36" s="57">
        <f t="shared" si="15"/>
        <v>905.90909090909088</v>
      </c>
      <c r="CI36" s="26"/>
      <c r="CJ36" s="32">
        <v>3</v>
      </c>
      <c r="CK36" s="32">
        <v>2</v>
      </c>
      <c r="CL36" s="32">
        <v>1</v>
      </c>
      <c r="CM36" s="32">
        <v>3</v>
      </c>
      <c r="CN36" s="32">
        <v>0</v>
      </c>
      <c r="CO36" s="32">
        <v>4</v>
      </c>
      <c r="CP36" s="32">
        <v>1</v>
      </c>
      <c r="CQ36" s="32">
        <v>1</v>
      </c>
      <c r="CR36" s="32">
        <v>0</v>
      </c>
      <c r="CS36" s="32">
        <v>1</v>
      </c>
      <c r="CT36" s="32">
        <v>18</v>
      </c>
      <c r="CU36" s="69">
        <v>1</v>
      </c>
      <c r="CV36" s="38">
        <f t="shared" si="16"/>
        <v>35</v>
      </c>
      <c r="CW36" s="45">
        <v>18</v>
      </c>
      <c r="CX36" s="45">
        <v>15</v>
      </c>
      <c r="CY36" s="45">
        <v>84</v>
      </c>
      <c r="CZ36" s="45">
        <v>80</v>
      </c>
      <c r="DA36" s="45">
        <v>44</v>
      </c>
      <c r="DB36" s="45">
        <v>69</v>
      </c>
      <c r="DC36" s="45">
        <v>63</v>
      </c>
      <c r="DD36" s="45">
        <v>25</v>
      </c>
      <c r="DE36" s="45">
        <v>35</v>
      </c>
      <c r="DF36" s="45">
        <v>47</v>
      </c>
      <c r="DG36" s="45">
        <v>56</v>
      </c>
      <c r="DH36" s="45">
        <v>19</v>
      </c>
      <c r="DI36" s="38">
        <f t="shared" si="0"/>
        <v>555</v>
      </c>
      <c r="DJ36" s="36">
        <f t="shared" si="17"/>
        <v>590</v>
      </c>
      <c r="DK36" s="26"/>
      <c r="DL36" s="75">
        <v>0</v>
      </c>
      <c r="DM36" s="75">
        <v>0</v>
      </c>
      <c r="DN36" s="75">
        <v>0</v>
      </c>
      <c r="DO36" s="75">
        <v>0</v>
      </c>
      <c r="DP36" s="75">
        <v>0</v>
      </c>
      <c r="DQ36" s="75">
        <v>0</v>
      </c>
      <c r="DR36" s="75">
        <v>0</v>
      </c>
      <c r="DS36" s="75">
        <v>0</v>
      </c>
      <c r="DT36" s="75">
        <v>0</v>
      </c>
      <c r="DU36" s="75">
        <v>0</v>
      </c>
      <c r="DV36" s="75">
        <v>0</v>
      </c>
      <c r="DW36" s="83">
        <v>0</v>
      </c>
      <c r="DX36" s="38">
        <f t="shared" si="1"/>
        <v>0</v>
      </c>
      <c r="DY36" s="65">
        <v>0</v>
      </c>
      <c r="DZ36" s="65">
        <v>0</v>
      </c>
      <c r="EA36" s="65">
        <v>5</v>
      </c>
      <c r="EB36" s="65">
        <v>13</v>
      </c>
      <c r="EC36" s="65">
        <v>13</v>
      </c>
      <c r="ED36" s="65">
        <v>29</v>
      </c>
      <c r="EE36" s="65">
        <v>53</v>
      </c>
      <c r="EF36" s="65">
        <v>22</v>
      </c>
      <c r="EG36" s="65">
        <v>27</v>
      </c>
      <c r="EH36" s="65">
        <v>12</v>
      </c>
      <c r="EI36" s="65">
        <v>20</v>
      </c>
      <c r="EJ36" s="65">
        <v>6</v>
      </c>
      <c r="EK36" s="38">
        <f t="shared" si="18"/>
        <v>200</v>
      </c>
      <c r="EL36" s="36">
        <f t="shared" si="19"/>
        <v>200</v>
      </c>
      <c r="EM36" s="26"/>
      <c r="EN36" s="101">
        <v>12</v>
      </c>
      <c r="EO36" s="101">
        <v>33</v>
      </c>
      <c r="EP36" s="101">
        <v>9</v>
      </c>
      <c r="EQ36" s="101">
        <v>22</v>
      </c>
      <c r="ER36" s="101">
        <v>15</v>
      </c>
      <c r="ES36" s="101">
        <v>26</v>
      </c>
      <c r="ET36" s="101">
        <v>34</v>
      </c>
      <c r="EU36" s="101">
        <v>53</v>
      </c>
      <c r="EV36" s="101">
        <v>115</v>
      </c>
      <c r="EW36" s="101">
        <v>59</v>
      </c>
      <c r="EX36" s="101">
        <v>58</v>
      </c>
      <c r="EY36" s="101">
        <v>44</v>
      </c>
      <c r="EZ36" s="38">
        <f t="shared" si="2"/>
        <v>480</v>
      </c>
      <c r="FA36" s="26"/>
      <c r="FB36" s="54">
        <v>2</v>
      </c>
      <c r="FC36" s="54">
        <v>1</v>
      </c>
      <c r="FD36" s="54">
        <v>2</v>
      </c>
      <c r="FE36" s="54">
        <v>2</v>
      </c>
      <c r="FF36" s="54">
        <v>5</v>
      </c>
      <c r="FG36" s="54">
        <v>2</v>
      </c>
      <c r="FH36" s="54">
        <v>3</v>
      </c>
      <c r="FI36" s="54">
        <v>2</v>
      </c>
      <c r="FJ36" s="54">
        <v>3</v>
      </c>
      <c r="FK36" s="54">
        <v>1</v>
      </c>
      <c r="FL36" s="54">
        <v>4</v>
      </c>
      <c r="FM36" s="54">
        <v>5</v>
      </c>
      <c r="FN36" s="38">
        <f t="shared" si="20"/>
        <v>32</v>
      </c>
      <c r="FO36" s="26"/>
      <c r="FP36" s="54">
        <v>1</v>
      </c>
      <c r="FQ36" s="54">
        <v>0</v>
      </c>
      <c r="FR36" s="54">
        <v>3</v>
      </c>
      <c r="FS36" s="54">
        <v>1</v>
      </c>
      <c r="FT36" s="54">
        <v>3</v>
      </c>
      <c r="FU36" s="54">
        <v>0</v>
      </c>
      <c r="FV36" s="54">
        <v>0</v>
      </c>
      <c r="FW36" s="54">
        <v>0</v>
      </c>
      <c r="FX36" s="54">
        <v>0</v>
      </c>
      <c r="FY36" s="54">
        <v>0</v>
      </c>
      <c r="FZ36" s="54">
        <v>0</v>
      </c>
      <c r="GA36" s="54">
        <v>0</v>
      </c>
      <c r="GB36" s="38">
        <f t="shared" si="21"/>
        <v>8</v>
      </c>
      <c r="GC36" s="26"/>
      <c r="GD36" s="101">
        <v>27</v>
      </c>
      <c r="GE36" s="101">
        <v>20</v>
      </c>
      <c r="GF36" s="101">
        <v>12</v>
      </c>
      <c r="GG36" s="101">
        <v>21</v>
      </c>
      <c r="GH36" s="101">
        <v>17</v>
      </c>
      <c r="GI36" s="101">
        <v>25</v>
      </c>
      <c r="GJ36" s="101">
        <v>36</v>
      </c>
      <c r="GK36" s="101">
        <v>49</v>
      </c>
      <c r="GL36" s="101">
        <v>30</v>
      </c>
      <c r="GM36" s="101">
        <v>24</v>
      </c>
      <c r="GN36" s="101">
        <v>77</v>
      </c>
      <c r="GO36" s="101">
        <v>73</v>
      </c>
      <c r="GP36" s="38">
        <f t="shared" si="22"/>
        <v>411</v>
      </c>
      <c r="GQ36" s="26"/>
      <c r="GR36" s="32">
        <v>0</v>
      </c>
      <c r="GS36" s="32">
        <v>0</v>
      </c>
      <c r="GT36" s="32">
        <v>0</v>
      </c>
      <c r="GU36" s="32">
        <v>0</v>
      </c>
      <c r="GV36" s="32">
        <v>0</v>
      </c>
      <c r="GW36" s="32">
        <v>0</v>
      </c>
      <c r="GX36" s="32">
        <v>0</v>
      </c>
      <c r="GY36" s="32">
        <v>0</v>
      </c>
      <c r="GZ36" s="32">
        <v>0</v>
      </c>
      <c r="HA36" s="32">
        <v>0</v>
      </c>
      <c r="HB36" s="32">
        <v>0</v>
      </c>
      <c r="HC36" s="32">
        <v>0</v>
      </c>
      <c r="HD36" s="38">
        <f t="shared" si="23"/>
        <v>0</v>
      </c>
      <c r="HE36" s="26"/>
      <c r="HF36" s="45">
        <v>15</v>
      </c>
      <c r="HG36" s="45">
        <v>24</v>
      </c>
      <c r="HH36" s="45">
        <v>27</v>
      </c>
      <c r="HI36" s="45">
        <v>32</v>
      </c>
      <c r="HJ36" s="45">
        <v>50</v>
      </c>
      <c r="HK36" s="45">
        <v>48</v>
      </c>
      <c r="HL36" s="45">
        <v>26</v>
      </c>
      <c r="HM36" s="45">
        <v>32</v>
      </c>
      <c r="HN36" s="45">
        <v>28</v>
      </c>
      <c r="HO36" s="45">
        <v>43</v>
      </c>
      <c r="HP36" s="45">
        <v>31</v>
      </c>
      <c r="HQ36" s="45">
        <v>15</v>
      </c>
      <c r="HR36" s="38">
        <f t="shared" si="24"/>
        <v>371</v>
      </c>
      <c r="HS36" s="26"/>
      <c r="HT36" s="32">
        <v>1</v>
      </c>
      <c r="HU36" s="32">
        <v>1</v>
      </c>
      <c r="HV36" s="32">
        <v>2</v>
      </c>
      <c r="HW36" s="32">
        <v>0</v>
      </c>
      <c r="HX36" s="32">
        <v>0</v>
      </c>
      <c r="HY36" s="32">
        <v>0</v>
      </c>
      <c r="HZ36" s="32">
        <v>1</v>
      </c>
      <c r="IA36" s="32">
        <v>1</v>
      </c>
      <c r="IB36" s="32">
        <v>2</v>
      </c>
      <c r="IC36" s="32">
        <v>0</v>
      </c>
      <c r="ID36" s="32">
        <v>3</v>
      </c>
      <c r="IE36" s="32">
        <v>0</v>
      </c>
      <c r="IF36" s="38">
        <f t="shared" si="3"/>
        <v>11</v>
      </c>
      <c r="IG36" s="104">
        <v>7</v>
      </c>
      <c r="IH36" s="104">
        <v>18</v>
      </c>
      <c r="II36" s="104">
        <v>7</v>
      </c>
      <c r="IJ36" s="104">
        <v>13</v>
      </c>
      <c r="IK36" s="104">
        <v>10</v>
      </c>
      <c r="IL36" s="104">
        <v>9</v>
      </c>
      <c r="IM36" s="104">
        <v>7</v>
      </c>
      <c r="IN36" s="104">
        <v>12</v>
      </c>
      <c r="IO36" s="104">
        <v>18</v>
      </c>
      <c r="IP36" s="104">
        <v>5</v>
      </c>
      <c r="IQ36" s="104">
        <v>7</v>
      </c>
      <c r="IR36" s="104">
        <v>7</v>
      </c>
      <c r="IS36" s="38">
        <f t="shared" si="25"/>
        <v>120</v>
      </c>
      <c r="IT36" s="36">
        <f t="shared" si="26"/>
        <v>131</v>
      </c>
      <c r="IU36" s="26"/>
      <c r="IV36" s="32">
        <v>25</v>
      </c>
      <c r="IW36" s="32">
        <v>26</v>
      </c>
      <c r="IX36" s="32">
        <v>22</v>
      </c>
      <c r="IY36" s="32">
        <v>19</v>
      </c>
      <c r="IZ36" s="32">
        <v>16</v>
      </c>
      <c r="JA36" s="32">
        <v>28</v>
      </c>
      <c r="JB36" s="32">
        <v>26</v>
      </c>
      <c r="JC36" s="32">
        <v>32</v>
      </c>
      <c r="JD36" s="32">
        <v>36</v>
      </c>
      <c r="JE36" s="32">
        <v>30</v>
      </c>
      <c r="JF36" s="32">
        <v>26</v>
      </c>
      <c r="JG36" s="32">
        <v>28</v>
      </c>
      <c r="JH36" s="38">
        <f t="shared" si="27"/>
        <v>314</v>
      </c>
      <c r="JI36" s="97">
        <v>68.600000000000009</v>
      </c>
      <c r="JJ36" s="97">
        <v>114</v>
      </c>
      <c r="JK36" s="97">
        <v>61.6</v>
      </c>
      <c r="JL36" s="97">
        <v>91.800000000000011</v>
      </c>
      <c r="JM36" s="97">
        <v>45.800000000000004</v>
      </c>
      <c r="JN36" s="97">
        <v>35.200000000000003</v>
      </c>
      <c r="JO36" s="97">
        <v>30.6</v>
      </c>
      <c r="JP36" s="97">
        <v>35</v>
      </c>
      <c r="JQ36" s="97">
        <v>38.800000000000004</v>
      </c>
      <c r="JR36" s="97">
        <v>43</v>
      </c>
      <c r="JS36" s="97">
        <v>59</v>
      </c>
      <c r="JT36" s="97">
        <v>20.8</v>
      </c>
      <c r="JU36" s="112">
        <f t="shared" si="4"/>
        <v>644.19999999999993</v>
      </c>
      <c r="JV36" s="36">
        <f t="shared" si="28"/>
        <v>958.19999999999993</v>
      </c>
      <c r="JW36" s="26"/>
      <c r="JX36" s="93">
        <v>5</v>
      </c>
      <c r="JY36" s="93">
        <v>13</v>
      </c>
      <c r="JZ36" s="93">
        <v>9</v>
      </c>
      <c r="KA36" s="93">
        <v>17</v>
      </c>
      <c r="KB36" s="93">
        <v>6</v>
      </c>
      <c r="KC36" s="93">
        <v>5</v>
      </c>
      <c r="KD36" s="93">
        <v>3</v>
      </c>
      <c r="KE36" s="93">
        <v>3</v>
      </c>
      <c r="KF36" s="93">
        <v>5</v>
      </c>
      <c r="KG36" s="93">
        <v>5</v>
      </c>
      <c r="KH36" s="93">
        <v>2</v>
      </c>
      <c r="KI36" s="93">
        <v>6</v>
      </c>
      <c r="KJ36" s="38">
        <f t="shared" si="29"/>
        <v>79</v>
      </c>
      <c r="KK36" s="114">
        <v>2</v>
      </c>
      <c r="KL36" s="114">
        <v>0</v>
      </c>
      <c r="KM36" s="114">
        <v>0</v>
      </c>
      <c r="KN36" s="114">
        <v>0</v>
      </c>
      <c r="KO36" s="114">
        <v>3</v>
      </c>
      <c r="KP36" s="114">
        <v>0</v>
      </c>
      <c r="KQ36" s="114">
        <v>1</v>
      </c>
      <c r="KR36" s="114">
        <v>1</v>
      </c>
      <c r="KS36" s="114">
        <v>4</v>
      </c>
      <c r="KT36" s="114">
        <v>3</v>
      </c>
      <c r="KU36" s="114">
        <v>4</v>
      </c>
      <c r="KV36" s="114">
        <v>17</v>
      </c>
      <c r="KW36" s="38">
        <f t="shared" si="5"/>
        <v>35</v>
      </c>
      <c r="KX36" s="36">
        <f t="shared" si="30"/>
        <v>114</v>
      </c>
      <c r="KY36" s="26"/>
      <c r="KZ36" s="101">
        <v>3</v>
      </c>
      <c r="LA36" s="101">
        <v>0</v>
      </c>
      <c r="LB36" s="101">
        <v>2</v>
      </c>
      <c r="LC36" s="101">
        <v>10</v>
      </c>
      <c r="LD36" s="101">
        <v>3</v>
      </c>
      <c r="LE36" s="101">
        <v>26</v>
      </c>
      <c r="LF36" s="101">
        <v>3</v>
      </c>
      <c r="LG36" s="101">
        <v>9</v>
      </c>
      <c r="LH36" s="101">
        <v>0</v>
      </c>
      <c r="LI36" s="101">
        <v>1</v>
      </c>
      <c r="LJ36" s="101">
        <v>0</v>
      </c>
      <c r="LK36" s="101">
        <v>0</v>
      </c>
      <c r="LL36" s="38">
        <f t="shared" si="6"/>
        <v>57</v>
      </c>
      <c r="LM36" s="26"/>
      <c r="LN36" s="71">
        <v>7</v>
      </c>
      <c r="LO36" s="71">
        <v>6</v>
      </c>
      <c r="LP36" s="71">
        <v>5</v>
      </c>
      <c r="LQ36" s="71">
        <v>5</v>
      </c>
      <c r="LR36" s="71">
        <v>3</v>
      </c>
      <c r="LS36" s="71">
        <v>4</v>
      </c>
      <c r="LT36" s="71">
        <v>3</v>
      </c>
      <c r="LU36" s="45">
        <v>4</v>
      </c>
      <c r="LV36" s="45">
        <v>4</v>
      </c>
      <c r="LW36" s="45">
        <v>4</v>
      </c>
      <c r="LX36" s="45">
        <v>1</v>
      </c>
      <c r="LY36" s="45">
        <v>4</v>
      </c>
      <c r="LZ36" s="38">
        <f t="shared" si="31"/>
        <v>50</v>
      </c>
      <c r="MA36" s="26"/>
      <c r="MB36" s="45">
        <v>6</v>
      </c>
      <c r="MC36" s="45">
        <v>1</v>
      </c>
      <c r="MD36" s="45">
        <v>7</v>
      </c>
      <c r="ME36" s="45">
        <v>5</v>
      </c>
      <c r="MF36" s="45">
        <v>13</v>
      </c>
      <c r="MG36" s="45">
        <v>29</v>
      </c>
      <c r="MH36" s="45">
        <v>15</v>
      </c>
      <c r="MI36" s="45">
        <v>15</v>
      </c>
      <c r="MJ36" s="45">
        <v>45</v>
      </c>
      <c r="MK36" s="45">
        <v>10</v>
      </c>
      <c r="ML36" s="45">
        <v>5</v>
      </c>
      <c r="MM36" s="45">
        <v>44</v>
      </c>
      <c r="MN36" s="38">
        <f t="shared" si="32"/>
        <v>195</v>
      </c>
      <c r="MO36" s="32">
        <v>163</v>
      </c>
      <c r="MP36" s="32">
        <v>129</v>
      </c>
      <c r="MQ36" s="32">
        <v>183</v>
      </c>
      <c r="MR36" s="32">
        <v>233</v>
      </c>
      <c r="MS36" s="32">
        <v>310</v>
      </c>
      <c r="MT36" s="32">
        <v>482</v>
      </c>
      <c r="MU36" s="32">
        <v>372</v>
      </c>
      <c r="MV36" s="32">
        <v>270</v>
      </c>
      <c r="MW36" s="32">
        <v>363</v>
      </c>
      <c r="MX36" s="32">
        <v>379</v>
      </c>
      <c r="MY36" s="32">
        <v>355</v>
      </c>
      <c r="MZ36" s="32">
        <v>284</v>
      </c>
      <c r="NA36" s="38">
        <f t="shared" si="33"/>
        <v>3523</v>
      </c>
      <c r="NB36" s="36">
        <f t="shared" si="34"/>
        <v>3718</v>
      </c>
      <c r="NC36" s="26"/>
      <c r="ND36" s="101">
        <v>9</v>
      </c>
      <c r="NE36" s="101">
        <v>10</v>
      </c>
      <c r="NF36" s="101">
        <v>9</v>
      </c>
      <c r="NG36" s="101">
        <v>20</v>
      </c>
      <c r="NH36" s="101">
        <v>7</v>
      </c>
      <c r="NI36" s="101">
        <v>11</v>
      </c>
      <c r="NJ36" s="101">
        <v>26</v>
      </c>
      <c r="NK36" s="101">
        <v>20</v>
      </c>
      <c r="NL36" s="101">
        <v>23</v>
      </c>
      <c r="NM36" s="101">
        <v>16</v>
      </c>
      <c r="NN36" s="101">
        <v>8</v>
      </c>
      <c r="NO36" s="101">
        <v>4</v>
      </c>
      <c r="NP36" s="38">
        <f t="shared" si="35"/>
        <v>163</v>
      </c>
      <c r="NQ36" s="36">
        <f t="shared" si="36"/>
        <v>1109.090909090909</v>
      </c>
      <c r="NR36" s="36">
        <f t="shared" si="37"/>
        <v>3075.909090909091</v>
      </c>
      <c r="NS36" s="36">
        <f t="shared" si="38"/>
        <v>5624.2</v>
      </c>
      <c r="NT36" s="36">
        <f t="shared" si="39"/>
        <v>9809.2000000000007</v>
      </c>
      <c r="NU36" s="18"/>
      <c r="NV36" s="18"/>
      <c r="NW36" s="18"/>
      <c r="NX36" s="19"/>
      <c r="NY36" s="19"/>
      <c r="NZ36" s="19"/>
      <c r="OA36" s="19"/>
      <c r="OB36" s="19"/>
      <c r="OC36" s="19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8"/>
      <c r="OR36" s="18"/>
      <c r="OS36" s="18"/>
      <c r="OT36" s="18"/>
      <c r="OU36" s="18"/>
      <c r="OV36" s="18"/>
      <c r="OW36" s="18"/>
      <c r="OX36" s="19"/>
      <c r="OY36" s="19"/>
      <c r="OZ36" s="19"/>
      <c r="PA36" s="19"/>
      <c r="PB36" s="19"/>
      <c r="PC36" s="19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8"/>
      <c r="PR36" s="18"/>
      <c r="PS36" s="18"/>
      <c r="PT36" s="18"/>
      <c r="PU36" s="18"/>
      <c r="PV36" s="18"/>
      <c r="PW36" s="18"/>
      <c r="PX36" s="19"/>
      <c r="PY36" s="19"/>
      <c r="PZ36" s="19"/>
      <c r="QA36" s="19"/>
      <c r="QB36" s="19"/>
      <c r="QC36" s="19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</row>
    <row r="37" spans="1:458" s="1" customFormat="1" ht="50.1" customHeight="1" x14ac:dyDescent="0.25">
      <c r="A37" s="120"/>
      <c r="B37" s="6" t="s">
        <v>20</v>
      </c>
      <c r="C37" s="23"/>
      <c r="D37" s="41">
        <f>SUM(D34:D36)</f>
        <v>402.09090909090907</v>
      </c>
      <c r="E37" s="41">
        <f t="shared" ref="E37:O37" si="142">SUM(E34:E36)</f>
        <v>489</v>
      </c>
      <c r="F37" s="41">
        <f t="shared" si="142"/>
        <v>719</v>
      </c>
      <c r="G37" s="41">
        <f t="shared" si="142"/>
        <v>739</v>
      </c>
      <c r="H37" s="41">
        <f t="shared" si="142"/>
        <v>787</v>
      </c>
      <c r="I37" s="41">
        <f t="shared" si="142"/>
        <v>1063</v>
      </c>
      <c r="J37" s="41">
        <f t="shared" si="142"/>
        <v>1043</v>
      </c>
      <c r="K37" s="41">
        <f t="shared" si="142"/>
        <v>931</v>
      </c>
      <c r="L37" s="41">
        <f t="shared" si="142"/>
        <v>1004</v>
      </c>
      <c r="M37" s="41">
        <f t="shared" si="142"/>
        <v>786</v>
      </c>
      <c r="N37" s="41">
        <f t="shared" si="142"/>
        <v>872</v>
      </c>
      <c r="O37" s="41">
        <f t="shared" si="142"/>
        <v>895</v>
      </c>
      <c r="P37" s="38">
        <f t="shared" si="7"/>
        <v>9730.0909090909081</v>
      </c>
      <c r="Q37" s="49">
        <f>SUM(Q34:Q36)</f>
        <v>2150</v>
      </c>
      <c r="R37" s="49">
        <f t="shared" ref="R37:AB37" si="143">SUM(R34:R36)</f>
        <v>2402</v>
      </c>
      <c r="S37" s="49">
        <f t="shared" si="143"/>
        <v>1750</v>
      </c>
      <c r="T37" s="49">
        <f t="shared" si="143"/>
        <v>1634</v>
      </c>
      <c r="U37" s="49">
        <f t="shared" si="143"/>
        <v>2256</v>
      </c>
      <c r="V37" s="49">
        <f t="shared" si="143"/>
        <v>1615</v>
      </c>
      <c r="W37" s="49">
        <f t="shared" si="143"/>
        <v>1860</v>
      </c>
      <c r="X37" s="49">
        <f t="shared" si="143"/>
        <v>2276</v>
      </c>
      <c r="Y37" s="49">
        <f t="shared" si="143"/>
        <v>2895</v>
      </c>
      <c r="Z37" s="49">
        <f t="shared" si="143"/>
        <v>3541</v>
      </c>
      <c r="AA37" s="49">
        <f t="shared" si="143"/>
        <v>3445</v>
      </c>
      <c r="AB37" s="49">
        <f t="shared" si="143"/>
        <v>3733</v>
      </c>
      <c r="AC37" s="38">
        <f t="shared" si="8"/>
        <v>29557</v>
      </c>
      <c r="AD37" s="36">
        <f>SUM(P37+AC37)</f>
        <v>39287.090909090912</v>
      </c>
      <c r="AE37" s="26"/>
      <c r="AF37" s="32">
        <f>SUM(AF34:AF36)</f>
        <v>166</v>
      </c>
      <c r="AG37" s="32">
        <f t="shared" ref="AG37:AQ37" si="144">SUM(AG34:AG36)</f>
        <v>171</v>
      </c>
      <c r="AH37" s="32">
        <f t="shared" si="144"/>
        <v>166</v>
      </c>
      <c r="AI37" s="32">
        <f t="shared" si="144"/>
        <v>240</v>
      </c>
      <c r="AJ37" s="32">
        <f t="shared" si="144"/>
        <v>181</v>
      </c>
      <c r="AK37" s="32">
        <f t="shared" si="144"/>
        <v>183</v>
      </c>
      <c r="AL37" s="32">
        <f t="shared" si="144"/>
        <v>209</v>
      </c>
      <c r="AM37" s="32">
        <f t="shared" si="144"/>
        <v>144</v>
      </c>
      <c r="AN37" s="32">
        <f t="shared" si="144"/>
        <v>208</v>
      </c>
      <c r="AO37" s="32">
        <f t="shared" si="144"/>
        <v>156</v>
      </c>
      <c r="AP37" s="32">
        <f t="shared" si="144"/>
        <v>203</v>
      </c>
      <c r="AQ37" s="32">
        <f t="shared" si="144"/>
        <v>138</v>
      </c>
      <c r="AR37" s="38">
        <f t="shared" si="10"/>
        <v>2165</v>
      </c>
      <c r="AS37" s="32">
        <f>SUM(AS34:AS36)</f>
        <v>237</v>
      </c>
      <c r="AT37" s="32">
        <f t="shared" ref="AT37:BD37" si="145">SUM(AT34:AT36)</f>
        <v>206</v>
      </c>
      <c r="AU37" s="32">
        <f t="shared" si="145"/>
        <v>297</v>
      </c>
      <c r="AV37" s="32">
        <f t="shared" si="145"/>
        <v>354</v>
      </c>
      <c r="AW37" s="32">
        <f t="shared" si="145"/>
        <v>359</v>
      </c>
      <c r="AX37" s="32">
        <f t="shared" si="145"/>
        <v>289</v>
      </c>
      <c r="AY37" s="32">
        <f t="shared" si="145"/>
        <v>304</v>
      </c>
      <c r="AZ37" s="32">
        <f t="shared" si="145"/>
        <v>245</v>
      </c>
      <c r="BA37" s="32">
        <f t="shared" si="145"/>
        <v>395</v>
      </c>
      <c r="BB37" s="32">
        <f t="shared" si="145"/>
        <v>320</v>
      </c>
      <c r="BC37" s="32">
        <f t="shared" si="145"/>
        <v>309</v>
      </c>
      <c r="BD37" s="32">
        <f t="shared" si="145"/>
        <v>272</v>
      </c>
      <c r="BE37" s="38">
        <f>SUM(AS37:BD37)</f>
        <v>3587</v>
      </c>
      <c r="BF37" s="36">
        <f t="shared" si="12"/>
        <v>5752</v>
      </c>
      <c r="BG37" s="26"/>
      <c r="BH37" s="41">
        <f>SUM(BH34:BH36)</f>
        <v>209</v>
      </c>
      <c r="BI37" s="41">
        <f t="shared" ref="BI37:CF37" si="146">SUM(BI34:BI36)</f>
        <v>128</v>
      </c>
      <c r="BJ37" s="41">
        <f t="shared" si="146"/>
        <v>97</v>
      </c>
      <c r="BK37" s="41">
        <f t="shared" si="146"/>
        <v>152</v>
      </c>
      <c r="BL37" s="41">
        <f t="shared" si="146"/>
        <v>203</v>
      </c>
      <c r="BM37" s="41">
        <f t="shared" si="146"/>
        <v>198</v>
      </c>
      <c r="BN37" s="41">
        <f t="shared" si="146"/>
        <v>189</v>
      </c>
      <c r="BO37" s="41">
        <f t="shared" si="146"/>
        <v>138</v>
      </c>
      <c r="BP37" s="41">
        <f t="shared" si="146"/>
        <v>206</v>
      </c>
      <c r="BQ37" s="41">
        <f t="shared" si="146"/>
        <v>464</v>
      </c>
      <c r="BR37" s="41">
        <f t="shared" si="146"/>
        <v>362</v>
      </c>
      <c r="BS37" s="41">
        <f t="shared" si="146"/>
        <v>393</v>
      </c>
      <c r="BT37" s="38">
        <f t="shared" si="13"/>
        <v>2739</v>
      </c>
      <c r="BU37" s="58">
        <f>SUM(BU34:BU36)</f>
        <v>363</v>
      </c>
      <c r="BV37" s="58">
        <f t="shared" si="146"/>
        <v>329</v>
      </c>
      <c r="BW37" s="58">
        <f t="shared" si="146"/>
        <v>374</v>
      </c>
      <c r="BX37" s="58">
        <f t="shared" si="146"/>
        <v>340</v>
      </c>
      <c r="BY37" s="58">
        <f t="shared" si="146"/>
        <v>329</v>
      </c>
      <c r="BZ37" s="58">
        <f t="shared" si="146"/>
        <v>379</v>
      </c>
      <c r="CA37" s="58">
        <f t="shared" si="146"/>
        <v>421</v>
      </c>
      <c r="CB37" s="58">
        <f t="shared" si="146"/>
        <v>380</v>
      </c>
      <c r="CC37" s="58">
        <f t="shared" si="146"/>
        <v>317</v>
      </c>
      <c r="CD37" s="58">
        <f t="shared" si="146"/>
        <v>429</v>
      </c>
      <c r="CE37" s="58">
        <f t="shared" si="146"/>
        <v>386.66666666666674</v>
      </c>
      <c r="CF37" s="58">
        <f t="shared" si="146"/>
        <v>368.87878787878788</v>
      </c>
      <c r="CG37" s="61">
        <f t="shared" si="14"/>
        <v>4416.545454545455</v>
      </c>
      <c r="CH37" s="57">
        <f t="shared" si="15"/>
        <v>7155.545454545455</v>
      </c>
      <c r="CI37" s="26"/>
      <c r="CJ37" s="32">
        <f>SUM(CJ34:CJ36)</f>
        <v>189</v>
      </c>
      <c r="CK37" s="32">
        <f t="shared" ref="CK37:DH37" si="147">SUM(CK34:CK36)</f>
        <v>136</v>
      </c>
      <c r="CL37" s="32">
        <f t="shared" si="147"/>
        <v>223</v>
      </c>
      <c r="CM37" s="32">
        <f t="shared" si="147"/>
        <v>191</v>
      </c>
      <c r="CN37" s="32">
        <f t="shared" si="147"/>
        <v>157</v>
      </c>
      <c r="CO37" s="32">
        <f t="shared" si="147"/>
        <v>95</v>
      </c>
      <c r="CP37" s="32">
        <f t="shared" si="147"/>
        <v>144</v>
      </c>
      <c r="CQ37" s="32">
        <f t="shared" si="147"/>
        <v>132</v>
      </c>
      <c r="CR37" s="32">
        <f t="shared" si="147"/>
        <v>27</v>
      </c>
      <c r="CS37" s="32">
        <f t="shared" si="147"/>
        <v>137</v>
      </c>
      <c r="CT37" s="32">
        <f t="shared" si="147"/>
        <v>122</v>
      </c>
      <c r="CU37" s="69">
        <f t="shared" si="147"/>
        <v>284</v>
      </c>
      <c r="CV37" s="38">
        <f t="shared" si="16"/>
        <v>1837</v>
      </c>
      <c r="CW37" s="32">
        <f t="shared" si="147"/>
        <v>785</v>
      </c>
      <c r="CX37" s="32">
        <f t="shared" si="147"/>
        <v>724</v>
      </c>
      <c r="CY37" s="32">
        <f t="shared" si="147"/>
        <v>874</v>
      </c>
      <c r="CZ37" s="32">
        <f t="shared" si="147"/>
        <v>702</v>
      </c>
      <c r="DA37" s="32">
        <f t="shared" si="147"/>
        <v>673</v>
      </c>
      <c r="DB37" s="32">
        <f t="shared" si="147"/>
        <v>763</v>
      </c>
      <c r="DC37" s="32">
        <f t="shared" si="147"/>
        <v>911</v>
      </c>
      <c r="DD37" s="32">
        <f t="shared" si="147"/>
        <v>840</v>
      </c>
      <c r="DE37" s="32">
        <f t="shared" si="147"/>
        <v>770</v>
      </c>
      <c r="DF37" s="32">
        <f t="shared" si="147"/>
        <v>781</v>
      </c>
      <c r="DG37" s="32">
        <f t="shared" si="147"/>
        <v>766</v>
      </c>
      <c r="DH37" s="32">
        <f t="shared" si="147"/>
        <v>749</v>
      </c>
      <c r="DI37" s="38">
        <f t="shared" si="0"/>
        <v>9338</v>
      </c>
      <c r="DJ37" s="36">
        <f t="shared" si="17"/>
        <v>11175</v>
      </c>
      <c r="DK37" s="26"/>
      <c r="DL37" s="32">
        <f>SUM(DL34:DL36)</f>
        <v>99</v>
      </c>
      <c r="DM37" s="32">
        <f t="shared" ref="DM37:DW37" si="148">SUM(DM34:DM36)</f>
        <v>78</v>
      </c>
      <c r="DN37" s="32">
        <f t="shared" si="148"/>
        <v>10</v>
      </c>
      <c r="DO37" s="32">
        <f t="shared" si="148"/>
        <v>7</v>
      </c>
      <c r="DP37" s="32">
        <f t="shared" si="148"/>
        <v>21</v>
      </c>
      <c r="DQ37" s="32">
        <f t="shared" si="148"/>
        <v>20</v>
      </c>
      <c r="DR37" s="32">
        <f t="shared" si="148"/>
        <v>7</v>
      </c>
      <c r="DS37" s="32">
        <f t="shared" si="148"/>
        <v>3</v>
      </c>
      <c r="DT37" s="32">
        <f t="shared" si="148"/>
        <v>9</v>
      </c>
      <c r="DU37" s="32">
        <f t="shared" si="148"/>
        <v>7</v>
      </c>
      <c r="DV37" s="32">
        <f t="shared" si="148"/>
        <v>12</v>
      </c>
      <c r="DW37" s="69">
        <f t="shared" si="148"/>
        <v>10</v>
      </c>
      <c r="DX37" s="38">
        <f t="shared" si="1"/>
        <v>283</v>
      </c>
      <c r="DY37" s="63">
        <f>SUM(DY34:DY36)</f>
        <v>549</v>
      </c>
      <c r="DZ37" s="63">
        <f t="shared" ref="DZ37:EJ37" si="149">SUM(DZ34:DZ36)</f>
        <v>573</v>
      </c>
      <c r="EA37" s="63">
        <f t="shared" si="149"/>
        <v>726</v>
      </c>
      <c r="EB37" s="63">
        <f t="shared" si="149"/>
        <v>462</v>
      </c>
      <c r="EC37" s="63">
        <f t="shared" si="149"/>
        <v>480</v>
      </c>
      <c r="ED37" s="63">
        <f t="shared" si="149"/>
        <v>715</v>
      </c>
      <c r="EE37" s="63">
        <f t="shared" si="149"/>
        <v>703</v>
      </c>
      <c r="EF37" s="63">
        <f t="shared" si="149"/>
        <v>742</v>
      </c>
      <c r="EG37" s="63">
        <f t="shared" si="149"/>
        <v>626</v>
      </c>
      <c r="EH37" s="63">
        <f t="shared" si="149"/>
        <v>495</v>
      </c>
      <c r="EI37" s="63">
        <f t="shared" si="149"/>
        <v>488</v>
      </c>
      <c r="EJ37" s="63">
        <f t="shared" si="149"/>
        <v>570</v>
      </c>
      <c r="EK37" s="38">
        <f t="shared" si="18"/>
        <v>7129</v>
      </c>
      <c r="EL37" s="36">
        <f t="shared" si="19"/>
        <v>7412</v>
      </c>
      <c r="EM37" s="26"/>
      <c r="EN37" s="101">
        <f>SUM(EN34:EN36)</f>
        <v>790</v>
      </c>
      <c r="EO37" s="101">
        <f t="shared" ref="EO37:EY37" si="150">SUM(EO34:EO36)</f>
        <v>929</v>
      </c>
      <c r="EP37" s="101">
        <f t="shared" si="150"/>
        <v>729</v>
      </c>
      <c r="EQ37" s="101">
        <f t="shared" si="150"/>
        <v>668</v>
      </c>
      <c r="ER37" s="101">
        <f t="shared" si="150"/>
        <v>676</v>
      </c>
      <c r="ES37" s="101">
        <f t="shared" si="150"/>
        <v>679</v>
      </c>
      <c r="ET37" s="101">
        <f t="shared" si="150"/>
        <v>1260</v>
      </c>
      <c r="EU37" s="101">
        <f t="shared" si="150"/>
        <v>1421</v>
      </c>
      <c r="EV37" s="101">
        <f t="shared" si="150"/>
        <v>915</v>
      </c>
      <c r="EW37" s="101">
        <f t="shared" si="150"/>
        <v>800</v>
      </c>
      <c r="EX37" s="101">
        <f t="shared" si="150"/>
        <v>853</v>
      </c>
      <c r="EY37" s="101">
        <f t="shared" si="150"/>
        <v>716</v>
      </c>
      <c r="EZ37" s="38">
        <f t="shared" si="2"/>
        <v>10436</v>
      </c>
      <c r="FA37" s="26"/>
      <c r="FB37" s="54">
        <f>SUM(FB34:FB36)</f>
        <v>385</v>
      </c>
      <c r="FC37" s="54">
        <f t="shared" ref="FC37:FM37" si="151">SUM(FC34:FC36)</f>
        <v>288</v>
      </c>
      <c r="FD37" s="54">
        <f t="shared" si="151"/>
        <v>310</v>
      </c>
      <c r="FE37" s="54">
        <f t="shared" si="151"/>
        <v>321</v>
      </c>
      <c r="FF37" s="54">
        <f t="shared" si="151"/>
        <v>339</v>
      </c>
      <c r="FG37" s="54">
        <f t="shared" si="151"/>
        <v>369</v>
      </c>
      <c r="FH37" s="54">
        <f t="shared" si="151"/>
        <v>401</v>
      </c>
      <c r="FI37" s="54">
        <f t="shared" si="151"/>
        <v>611</v>
      </c>
      <c r="FJ37" s="54">
        <f t="shared" si="151"/>
        <v>417</v>
      </c>
      <c r="FK37" s="54">
        <f t="shared" si="151"/>
        <v>445</v>
      </c>
      <c r="FL37" s="54">
        <f t="shared" si="151"/>
        <v>427</v>
      </c>
      <c r="FM37" s="54">
        <f t="shared" si="151"/>
        <v>453</v>
      </c>
      <c r="FN37" s="38">
        <f t="shared" si="20"/>
        <v>4766</v>
      </c>
      <c r="FO37" s="26"/>
      <c r="FP37" s="32">
        <f>SUM(FP34:FP36)</f>
        <v>223</v>
      </c>
      <c r="FQ37" s="32">
        <f t="shared" ref="FQ37:GA37" si="152">SUM(FQ34:FQ36)</f>
        <v>292</v>
      </c>
      <c r="FR37" s="32">
        <f t="shared" si="152"/>
        <v>344</v>
      </c>
      <c r="FS37" s="32">
        <f t="shared" si="152"/>
        <v>348</v>
      </c>
      <c r="FT37" s="32">
        <f t="shared" si="152"/>
        <v>324</v>
      </c>
      <c r="FU37" s="32">
        <f t="shared" si="152"/>
        <v>414</v>
      </c>
      <c r="FV37" s="32">
        <f t="shared" si="152"/>
        <v>359</v>
      </c>
      <c r="FW37" s="32">
        <f t="shared" si="152"/>
        <v>387</v>
      </c>
      <c r="FX37" s="32">
        <f t="shared" si="152"/>
        <v>310</v>
      </c>
      <c r="FY37" s="32">
        <f t="shared" si="152"/>
        <v>269</v>
      </c>
      <c r="FZ37" s="32">
        <f t="shared" si="152"/>
        <v>303</v>
      </c>
      <c r="GA37" s="32">
        <f t="shared" si="152"/>
        <v>285</v>
      </c>
      <c r="GB37" s="38">
        <f t="shared" si="21"/>
        <v>3858</v>
      </c>
      <c r="GC37" s="26"/>
      <c r="GD37" s="101">
        <f>SUM(GD34:GD36)</f>
        <v>291</v>
      </c>
      <c r="GE37" s="101">
        <f t="shared" ref="GE37:GO37" si="153">SUM(GE34:GE36)</f>
        <v>289</v>
      </c>
      <c r="GF37" s="101">
        <f t="shared" si="153"/>
        <v>267</v>
      </c>
      <c r="GG37" s="101">
        <f t="shared" si="153"/>
        <v>233</v>
      </c>
      <c r="GH37" s="101">
        <f t="shared" si="153"/>
        <v>229</v>
      </c>
      <c r="GI37" s="101">
        <f t="shared" si="153"/>
        <v>259</v>
      </c>
      <c r="GJ37" s="101">
        <f t="shared" si="153"/>
        <v>332</v>
      </c>
      <c r="GK37" s="101">
        <f t="shared" si="153"/>
        <v>446</v>
      </c>
      <c r="GL37" s="101">
        <f t="shared" si="153"/>
        <v>204</v>
      </c>
      <c r="GM37" s="101">
        <f t="shared" si="153"/>
        <v>195</v>
      </c>
      <c r="GN37" s="101">
        <f t="shared" si="153"/>
        <v>407</v>
      </c>
      <c r="GO37" s="101">
        <f t="shared" si="153"/>
        <v>282</v>
      </c>
      <c r="GP37" s="38">
        <f t="shared" si="22"/>
        <v>3434</v>
      </c>
      <c r="GQ37" s="26"/>
      <c r="GR37" s="32">
        <v>15</v>
      </c>
      <c r="GS37" s="32">
        <v>12</v>
      </c>
      <c r="GT37" s="32">
        <v>12</v>
      </c>
      <c r="GU37" s="32">
        <v>18</v>
      </c>
      <c r="GV37" s="32">
        <v>9</v>
      </c>
      <c r="GW37" s="32">
        <v>17</v>
      </c>
      <c r="GX37" s="32">
        <v>18</v>
      </c>
      <c r="GY37" s="32">
        <v>7</v>
      </c>
      <c r="GZ37" s="32">
        <v>17</v>
      </c>
      <c r="HA37" s="32">
        <v>21</v>
      </c>
      <c r="HB37" s="32">
        <v>18</v>
      </c>
      <c r="HC37" s="32">
        <v>14</v>
      </c>
      <c r="HD37" s="38">
        <f t="shared" si="23"/>
        <v>178</v>
      </c>
      <c r="HE37" s="26"/>
      <c r="HF37" s="71">
        <f>SUM(HF34:HF36)</f>
        <v>544</v>
      </c>
      <c r="HG37" s="71">
        <f t="shared" ref="HG37:HQ37" si="154">SUM(HG34:HG36)</f>
        <v>638</v>
      </c>
      <c r="HH37" s="71">
        <f t="shared" si="154"/>
        <v>654</v>
      </c>
      <c r="HI37" s="71">
        <f t="shared" si="154"/>
        <v>531</v>
      </c>
      <c r="HJ37" s="71">
        <f t="shared" si="154"/>
        <v>617</v>
      </c>
      <c r="HK37" s="71">
        <f t="shared" si="154"/>
        <v>743</v>
      </c>
      <c r="HL37" s="71">
        <f t="shared" si="154"/>
        <v>828</v>
      </c>
      <c r="HM37" s="71">
        <f t="shared" si="154"/>
        <v>958</v>
      </c>
      <c r="HN37" s="71">
        <f t="shared" si="154"/>
        <v>915</v>
      </c>
      <c r="HO37" s="71">
        <f t="shared" si="154"/>
        <v>994</v>
      </c>
      <c r="HP37" s="71">
        <f t="shared" si="154"/>
        <v>794</v>
      </c>
      <c r="HQ37" s="71">
        <f t="shared" si="154"/>
        <v>534</v>
      </c>
      <c r="HR37" s="38">
        <f t="shared" si="24"/>
        <v>8750</v>
      </c>
      <c r="HS37" s="26"/>
      <c r="HT37" s="32">
        <f>SUM(HT34:HT36)</f>
        <v>156</v>
      </c>
      <c r="HU37" s="32">
        <f t="shared" ref="HU37:IE37" si="155">SUM(HU34:HU36)</f>
        <v>179</v>
      </c>
      <c r="HV37" s="32">
        <f t="shared" si="155"/>
        <v>242</v>
      </c>
      <c r="HW37" s="32">
        <f t="shared" si="155"/>
        <v>166</v>
      </c>
      <c r="HX37" s="32">
        <f t="shared" si="155"/>
        <v>154</v>
      </c>
      <c r="HY37" s="32">
        <f t="shared" si="155"/>
        <v>239</v>
      </c>
      <c r="HZ37" s="32">
        <f t="shared" si="155"/>
        <v>80</v>
      </c>
      <c r="IA37" s="32">
        <f t="shared" si="155"/>
        <v>216</v>
      </c>
      <c r="IB37" s="32">
        <f t="shared" si="155"/>
        <v>151</v>
      </c>
      <c r="IC37" s="32">
        <f t="shared" si="155"/>
        <v>164</v>
      </c>
      <c r="ID37" s="32">
        <f t="shared" si="155"/>
        <v>190</v>
      </c>
      <c r="IE37" s="32">
        <f t="shared" si="155"/>
        <v>139</v>
      </c>
      <c r="IF37" s="38">
        <f t="shared" si="3"/>
        <v>2076</v>
      </c>
      <c r="IG37" s="104">
        <f>SUM(IG34:IG36)</f>
        <v>191</v>
      </c>
      <c r="IH37" s="104">
        <f t="shared" ref="IH37:IR37" si="156">SUM(IH34:IH36)</f>
        <v>237</v>
      </c>
      <c r="II37" s="104">
        <f t="shared" si="156"/>
        <v>298</v>
      </c>
      <c r="IJ37" s="104">
        <f t="shared" si="156"/>
        <v>244</v>
      </c>
      <c r="IK37" s="104">
        <f t="shared" si="156"/>
        <v>242</v>
      </c>
      <c r="IL37" s="104">
        <f t="shared" si="156"/>
        <v>342</v>
      </c>
      <c r="IM37" s="104">
        <f t="shared" si="156"/>
        <v>312</v>
      </c>
      <c r="IN37" s="104">
        <f t="shared" si="156"/>
        <v>341</v>
      </c>
      <c r="IO37" s="104">
        <f t="shared" si="156"/>
        <v>250</v>
      </c>
      <c r="IP37" s="104">
        <f t="shared" si="156"/>
        <v>200</v>
      </c>
      <c r="IQ37" s="104">
        <f t="shared" si="156"/>
        <v>227</v>
      </c>
      <c r="IR37" s="104">
        <f t="shared" si="156"/>
        <v>197</v>
      </c>
      <c r="IS37" s="38">
        <f t="shared" si="25"/>
        <v>3081</v>
      </c>
      <c r="IT37" s="36">
        <f t="shared" si="26"/>
        <v>5157</v>
      </c>
      <c r="IU37" s="26"/>
      <c r="IV37" s="32">
        <f>SUM(IV34:IV36)</f>
        <v>324</v>
      </c>
      <c r="IW37" s="32">
        <f t="shared" ref="IW37:JG37" si="157">SUM(IW34:IW36)</f>
        <v>328</v>
      </c>
      <c r="IX37" s="32">
        <f t="shared" si="157"/>
        <v>351</v>
      </c>
      <c r="IY37" s="32">
        <f t="shared" si="157"/>
        <v>294</v>
      </c>
      <c r="IZ37" s="32">
        <f t="shared" si="157"/>
        <v>295</v>
      </c>
      <c r="JA37" s="32">
        <f t="shared" si="157"/>
        <v>309</v>
      </c>
      <c r="JB37" s="32">
        <f t="shared" si="157"/>
        <v>325</v>
      </c>
      <c r="JC37" s="32">
        <f t="shared" si="157"/>
        <v>360</v>
      </c>
      <c r="JD37" s="32">
        <f t="shared" si="157"/>
        <v>322</v>
      </c>
      <c r="JE37" s="32">
        <f t="shared" si="157"/>
        <v>325</v>
      </c>
      <c r="JF37" s="32">
        <f t="shared" si="157"/>
        <v>345</v>
      </c>
      <c r="JG37" s="32">
        <f t="shared" si="157"/>
        <v>316</v>
      </c>
      <c r="JH37" s="38">
        <f t="shared" si="27"/>
        <v>3894</v>
      </c>
      <c r="JI37" s="32">
        <f>SUM(JI34:JI36)</f>
        <v>935.20000000000016</v>
      </c>
      <c r="JJ37" s="32">
        <f t="shared" ref="JJ37:JT37" si="158">SUM(JJ34:JJ36)</f>
        <v>800.40000000000009</v>
      </c>
      <c r="JK37" s="32">
        <f t="shared" si="158"/>
        <v>782.40000000000009</v>
      </c>
      <c r="JL37" s="32">
        <f t="shared" si="158"/>
        <v>810.2</v>
      </c>
      <c r="JM37" s="32">
        <f t="shared" si="158"/>
        <v>854.80000000000007</v>
      </c>
      <c r="JN37" s="32">
        <f t="shared" si="158"/>
        <v>846.2</v>
      </c>
      <c r="JO37" s="32">
        <f t="shared" si="158"/>
        <v>867.2</v>
      </c>
      <c r="JP37" s="32">
        <f t="shared" si="158"/>
        <v>598</v>
      </c>
      <c r="JQ37" s="32">
        <f t="shared" si="158"/>
        <v>707.4</v>
      </c>
      <c r="JR37" s="32">
        <f t="shared" si="158"/>
        <v>747.2</v>
      </c>
      <c r="JS37" s="32">
        <f t="shared" si="158"/>
        <v>595.40000000000009</v>
      </c>
      <c r="JT37" s="32">
        <f t="shared" si="158"/>
        <v>676</v>
      </c>
      <c r="JU37" s="112">
        <f t="shared" si="4"/>
        <v>9220.4</v>
      </c>
      <c r="JV37" s="36">
        <f t="shared" si="28"/>
        <v>13114.4</v>
      </c>
      <c r="JW37" s="26"/>
      <c r="JX37" s="32">
        <f>SUM(JX34:JX36)</f>
        <v>98</v>
      </c>
      <c r="JY37" s="32">
        <f t="shared" ref="JY37:KI37" si="159">SUM(JY34:JY36)</f>
        <v>100</v>
      </c>
      <c r="JZ37" s="32">
        <f t="shared" si="159"/>
        <v>150</v>
      </c>
      <c r="KA37" s="32">
        <f t="shared" si="159"/>
        <v>166</v>
      </c>
      <c r="KB37" s="32">
        <f t="shared" si="159"/>
        <v>162</v>
      </c>
      <c r="KC37" s="32">
        <f t="shared" si="159"/>
        <v>130</v>
      </c>
      <c r="KD37" s="32">
        <f t="shared" si="159"/>
        <v>144</v>
      </c>
      <c r="KE37" s="32">
        <f t="shared" si="159"/>
        <v>189</v>
      </c>
      <c r="KF37" s="32">
        <f t="shared" si="159"/>
        <v>125</v>
      </c>
      <c r="KG37" s="32">
        <f t="shared" si="159"/>
        <v>146</v>
      </c>
      <c r="KH37" s="32">
        <f t="shared" si="159"/>
        <v>149</v>
      </c>
      <c r="KI37" s="32">
        <f t="shared" si="159"/>
        <v>109</v>
      </c>
      <c r="KJ37" s="38">
        <f t="shared" si="29"/>
        <v>1668</v>
      </c>
      <c r="KK37" s="32">
        <f>SUM(KK34:KK36)</f>
        <v>574</v>
      </c>
      <c r="KL37" s="32">
        <f t="shared" ref="KL37:KV37" si="160">SUM(KL34:KL36)</f>
        <v>451</v>
      </c>
      <c r="KM37" s="32">
        <f t="shared" si="160"/>
        <v>580</v>
      </c>
      <c r="KN37" s="32">
        <f t="shared" si="160"/>
        <v>457</v>
      </c>
      <c r="KO37" s="32">
        <f t="shared" si="160"/>
        <v>527</v>
      </c>
      <c r="KP37" s="32">
        <f t="shared" si="160"/>
        <v>485</v>
      </c>
      <c r="KQ37" s="32">
        <f t="shared" si="160"/>
        <v>697</v>
      </c>
      <c r="KR37" s="32">
        <f t="shared" si="160"/>
        <v>631</v>
      </c>
      <c r="KS37" s="32">
        <f t="shared" si="160"/>
        <v>652</v>
      </c>
      <c r="KT37" s="32">
        <f t="shared" si="160"/>
        <v>524</v>
      </c>
      <c r="KU37" s="32">
        <f t="shared" si="160"/>
        <v>369</v>
      </c>
      <c r="KV37" s="32">
        <f t="shared" si="160"/>
        <v>257</v>
      </c>
      <c r="KW37" s="38">
        <f t="shared" si="5"/>
        <v>6204</v>
      </c>
      <c r="KX37" s="36">
        <f t="shared" si="30"/>
        <v>7872</v>
      </c>
      <c r="KY37" s="26"/>
      <c r="KZ37" s="101">
        <f>SUM(KZ34:KZ36)</f>
        <v>256</v>
      </c>
      <c r="LA37" s="101">
        <f t="shared" ref="LA37:LK37" si="161">SUM(LA34:LA36)</f>
        <v>114</v>
      </c>
      <c r="LB37" s="101">
        <f t="shared" si="161"/>
        <v>209</v>
      </c>
      <c r="LC37" s="101">
        <f t="shared" si="161"/>
        <v>218</v>
      </c>
      <c r="LD37" s="101">
        <f t="shared" si="161"/>
        <v>230</v>
      </c>
      <c r="LE37" s="101">
        <f t="shared" si="161"/>
        <v>320</v>
      </c>
      <c r="LF37" s="101">
        <f t="shared" si="161"/>
        <v>246</v>
      </c>
      <c r="LG37" s="101">
        <f t="shared" si="161"/>
        <v>255</v>
      </c>
      <c r="LH37" s="101">
        <f t="shared" si="161"/>
        <v>217</v>
      </c>
      <c r="LI37" s="101">
        <f t="shared" si="161"/>
        <v>187</v>
      </c>
      <c r="LJ37" s="101">
        <f t="shared" si="161"/>
        <v>197</v>
      </c>
      <c r="LK37" s="101">
        <f t="shared" si="161"/>
        <v>199</v>
      </c>
      <c r="LL37" s="38">
        <f t="shared" si="6"/>
        <v>2648</v>
      </c>
      <c r="LM37" s="26"/>
      <c r="LN37" s="71">
        <f>SUM(LN34:LN36)</f>
        <v>841</v>
      </c>
      <c r="LO37" s="71">
        <f t="shared" ref="LO37:LY37" si="162">SUM(LO34:LO36)</f>
        <v>707</v>
      </c>
      <c r="LP37" s="71">
        <f t="shared" si="162"/>
        <v>762</v>
      </c>
      <c r="LQ37" s="71">
        <f t="shared" si="162"/>
        <v>587</v>
      </c>
      <c r="LR37" s="71">
        <f t="shared" si="162"/>
        <v>591</v>
      </c>
      <c r="LS37" s="71">
        <f t="shared" si="162"/>
        <v>722</v>
      </c>
      <c r="LT37" s="71">
        <f t="shared" si="162"/>
        <v>1019</v>
      </c>
      <c r="LU37" s="71">
        <f t="shared" si="162"/>
        <v>723</v>
      </c>
      <c r="LV37" s="71">
        <f t="shared" si="162"/>
        <v>605</v>
      </c>
      <c r="LW37" s="71">
        <f t="shared" si="162"/>
        <v>632</v>
      </c>
      <c r="LX37" s="71">
        <f t="shared" si="162"/>
        <v>591</v>
      </c>
      <c r="LY37" s="71">
        <f t="shared" si="162"/>
        <v>578</v>
      </c>
      <c r="LZ37" s="38">
        <f t="shared" si="31"/>
        <v>8358</v>
      </c>
      <c r="MA37" s="26"/>
      <c r="MB37" s="71">
        <f>SUM(MB34:MB36)</f>
        <v>1043</v>
      </c>
      <c r="MC37" s="71">
        <f t="shared" ref="MC37:MM37" si="163">SUM(MC34:MC36)</f>
        <v>1045</v>
      </c>
      <c r="MD37" s="71">
        <f t="shared" si="163"/>
        <v>1144</v>
      </c>
      <c r="ME37" s="71">
        <f t="shared" si="163"/>
        <v>1177</v>
      </c>
      <c r="MF37" s="71">
        <f t="shared" si="163"/>
        <v>1167</v>
      </c>
      <c r="MG37" s="71">
        <f t="shared" si="163"/>
        <v>1108</v>
      </c>
      <c r="MH37" s="71">
        <f t="shared" si="163"/>
        <v>1671</v>
      </c>
      <c r="MI37" s="71">
        <f t="shared" si="163"/>
        <v>1332</v>
      </c>
      <c r="MJ37" s="71">
        <f t="shared" si="163"/>
        <v>1140</v>
      </c>
      <c r="MK37" s="71">
        <f t="shared" si="163"/>
        <v>1052</v>
      </c>
      <c r="ML37" s="71">
        <f t="shared" si="163"/>
        <v>1099</v>
      </c>
      <c r="MM37" s="71">
        <f t="shared" si="163"/>
        <v>977</v>
      </c>
      <c r="MN37" s="38">
        <f t="shared" si="32"/>
        <v>13955</v>
      </c>
      <c r="MO37" s="32">
        <f>SUM(MO34:MO36)</f>
        <v>480</v>
      </c>
      <c r="MP37" s="32">
        <f t="shared" ref="MP37:MZ37" si="164">SUM(MP34:MP36)</f>
        <v>307</v>
      </c>
      <c r="MQ37" s="32">
        <f t="shared" si="164"/>
        <v>539</v>
      </c>
      <c r="MR37" s="32">
        <f t="shared" si="164"/>
        <v>567</v>
      </c>
      <c r="MS37" s="32">
        <f t="shared" si="164"/>
        <v>760</v>
      </c>
      <c r="MT37" s="32">
        <f t="shared" si="164"/>
        <v>1035</v>
      </c>
      <c r="MU37" s="32">
        <f t="shared" si="164"/>
        <v>1179</v>
      </c>
      <c r="MV37" s="32">
        <f t="shared" si="164"/>
        <v>677</v>
      </c>
      <c r="MW37" s="32">
        <f t="shared" si="164"/>
        <v>782</v>
      </c>
      <c r="MX37" s="32">
        <f t="shared" si="164"/>
        <v>880</v>
      </c>
      <c r="MY37" s="32">
        <f t="shared" si="164"/>
        <v>786</v>
      </c>
      <c r="MZ37" s="32">
        <f t="shared" si="164"/>
        <v>753</v>
      </c>
      <c r="NA37" s="38">
        <f t="shared" si="33"/>
        <v>8745</v>
      </c>
      <c r="NB37" s="36">
        <f t="shared" si="34"/>
        <v>22700</v>
      </c>
      <c r="NC37" s="26"/>
      <c r="ND37" s="101">
        <f>SUM(ND34:ND36)</f>
        <v>201</v>
      </c>
      <c r="NE37" s="101">
        <f t="shared" ref="NE37:NO37" si="165">SUM(NE34:NE36)</f>
        <v>188</v>
      </c>
      <c r="NF37" s="101">
        <f t="shared" si="165"/>
        <v>127</v>
      </c>
      <c r="NG37" s="101">
        <f t="shared" si="165"/>
        <v>232</v>
      </c>
      <c r="NH37" s="101">
        <f t="shared" si="165"/>
        <v>230</v>
      </c>
      <c r="NI37" s="101">
        <f t="shared" si="165"/>
        <v>230</v>
      </c>
      <c r="NJ37" s="101">
        <f t="shared" si="165"/>
        <v>376</v>
      </c>
      <c r="NK37" s="101">
        <f t="shared" si="165"/>
        <v>427</v>
      </c>
      <c r="NL37" s="101">
        <f t="shared" si="165"/>
        <v>231</v>
      </c>
      <c r="NM37" s="101">
        <f t="shared" si="165"/>
        <v>191</v>
      </c>
      <c r="NN37" s="101">
        <f t="shared" si="165"/>
        <v>157</v>
      </c>
      <c r="NO37" s="101">
        <f t="shared" si="165"/>
        <v>283</v>
      </c>
      <c r="NP37" s="38">
        <f t="shared" si="35"/>
        <v>2873</v>
      </c>
      <c r="NQ37" s="36">
        <f t="shared" si="36"/>
        <v>20676.090909090908</v>
      </c>
      <c r="NR37" s="36">
        <f t="shared" si="37"/>
        <v>96727.545454545456</v>
      </c>
      <c r="NS37" s="36">
        <f t="shared" si="38"/>
        <v>47522.400000000001</v>
      </c>
      <c r="NT37" s="36">
        <f t="shared" si="39"/>
        <v>164926.03636363638</v>
      </c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</row>
    <row r="38" spans="1:458" s="1" customFormat="1" ht="50.1" customHeight="1" x14ac:dyDescent="0.25">
      <c r="A38" s="120"/>
      <c r="B38" s="6" t="s">
        <v>21</v>
      </c>
      <c r="C38" s="23"/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38">
        <f t="shared" si="7"/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A38" s="49">
        <v>0</v>
      </c>
      <c r="AB38" s="49">
        <v>0</v>
      </c>
      <c r="AC38" s="38">
        <f t="shared" si="8"/>
        <v>0</v>
      </c>
      <c r="AD38" s="36">
        <f t="shared" si="9"/>
        <v>0</v>
      </c>
      <c r="AE38" s="26"/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8">
        <f t="shared" si="10"/>
        <v>0</v>
      </c>
      <c r="AS38" s="32">
        <v>0</v>
      </c>
      <c r="AT38" s="32">
        <v>0</v>
      </c>
      <c r="AU38" s="32">
        <v>4</v>
      </c>
      <c r="AV38" s="32">
        <v>0</v>
      </c>
      <c r="AW38" s="32">
        <v>0</v>
      </c>
      <c r="AX38" s="32">
        <v>2</v>
      </c>
      <c r="AY38" s="32">
        <v>0</v>
      </c>
      <c r="AZ38" s="32">
        <v>7</v>
      </c>
      <c r="BA38" s="32">
        <v>3</v>
      </c>
      <c r="BB38" s="32">
        <v>0</v>
      </c>
      <c r="BC38" s="32">
        <v>6</v>
      </c>
      <c r="BD38" s="32">
        <v>2</v>
      </c>
      <c r="BE38" s="38">
        <f t="shared" si="11"/>
        <v>24</v>
      </c>
      <c r="BF38" s="36">
        <f t="shared" si="12"/>
        <v>24</v>
      </c>
      <c r="BG38" s="26"/>
      <c r="BH38" s="41">
        <v>0</v>
      </c>
      <c r="BI38" s="41">
        <v>0</v>
      </c>
      <c r="BJ38" s="41">
        <v>0</v>
      </c>
      <c r="BK38" s="41">
        <v>0</v>
      </c>
      <c r="BL38" s="41">
        <v>0</v>
      </c>
      <c r="BM38" s="41">
        <v>0</v>
      </c>
      <c r="BN38" s="41">
        <v>0</v>
      </c>
      <c r="BO38" s="41">
        <v>0</v>
      </c>
      <c r="BP38" s="41">
        <v>0</v>
      </c>
      <c r="BQ38" s="41">
        <v>0</v>
      </c>
      <c r="BR38" s="41">
        <v>0</v>
      </c>
      <c r="BS38" s="41">
        <v>0</v>
      </c>
      <c r="BT38" s="38">
        <f t="shared" si="13"/>
        <v>0</v>
      </c>
      <c r="BU38" s="56">
        <v>0</v>
      </c>
      <c r="BV38" s="56">
        <v>2</v>
      </c>
      <c r="BW38" s="56">
        <v>2</v>
      </c>
      <c r="BX38" s="56">
        <v>3</v>
      </c>
      <c r="BY38" s="56">
        <v>0</v>
      </c>
      <c r="BZ38" s="56">
        <v>0</v>
      </c>
      <c r="CA38" s="56">
        <v>0</v>
      </c>
      <c r="CB38" s="56">
        <v>1</v>
      </c>
      <c r="CC38" s="56">
        <v>3</v>
      </c>
      <c r="CD38" s="56">
        <v>0</v>
      </c>
      <c r="CE38" s="56">
        <v>1</v>
      </c>
      <c r="CF38" s="56">
        <v>1</v>
      </c>
      <c r="CG38" s="61">
        <f t="shared" si="14"/>
        <v>13</v>
      </c>
      <c r="CH38" s="57">
        <f t="shared" si="15"/>
        <v>13</v>
      </c>
      <c r="CI38" s="26"/>
      <c r="CJ38" s="32">
        <v>0</v>
      </c>
      <c r="CK38" s="32">
        <v>0</v>
      </c>
      <c r="CL38" s="32">
        <v>0</v>
      </c>
      <c r="CM38" s="32">
        <v>0</v>
      </c>
      <c r="CN38" s="32">
        <v>0</v>
      </c>
      <c r="CO38" s="32">
        <v>0</v>
      </c>
      <c r="CP38" s="32">
        <v>0</v>
      </c>
      <c r="CQ38" s="32">
        <v>0</v>
      </c>
      <c r="CR38" s="32">
        <v>0</v>
      </c>
      <c r="CS38" s="32">
        <v>0</v>
      </c>
      <c r="CT38" s="32">
        <v>9</v>
      </c>
      <c r="CU38" s="69">
        <v>7</v>
      </c>
      <c r="CV38" s="38">
        <f t="shared" si="16"/>
        <v>16</v>
      </c>
      <c r="CW38" s="45">
        <v>1</v>
      </c>
      <c r="CX38" s="45">
        <v>4</v>
      </c>
      <c r="CY38" s="45">
        <v>6</v>
      </c>
      <c r="CZ38" s="45">
        <v>5</v>
      </c>
      <c r="DA38" s="45">
        <v>5</v>
      </c>
      <c r="DB38" s="45">
        <v>8</v>
      </c>
      <c r="DC38" s="45">
        <v>1</v>
      </c>
      <c r="DD38" s="45">
        <v>2</v>
      </c>
      <c r="DE38" s="45">
        <v>3</v>
      </c>
      <c r="DF38" s="45">
        <v>4</v>
      </c>
      <c r="DG38" s="45">
        <v>1</v>
      </c>
      <c r="DH38" s="45">
        <v>3</v>
      </c>
      <c r="DI38" s="38">
        <f t="shared" si="0"/>
        <v>43</v>
      </c>
      <c r="DJ38" s="36">
        <f t="shared" si="17"/>
        <v>59</v>
      </c>
      <c r="DK38" s="26"/>
      <c r="DL38" s="75">
        <v>0</v>
      </c>
      <c r="DM38" s="75">
        <v>0</v>
      </c>
      <c r="DN38" s="75">
        <v>0</v>
      </c>
      <c r="DO38" s="75">
        <v>0</v>
      </c>
      <c r="DP38" s="75">
        <v>0</v>
      </c>
      <c r="DQ38" s="75">
        <v>0</v>
      </c>
      <c r="DR38" s="75">
        <v>0</v>
      </c>
      <c r="DS38" s="75">
        <v>0</v>
      </c>
      <c r="DT38" s="75">
        <v>0</v>
      </c>
      <c r="DU38" s="75">
        <v>0</v>
      </c>
      <c r="DV38" s="75">
        <v>0</v>
      </c>
      <c r="DW38" s="83">
        <v>0</v>
      </c>
      <c r="DX38" s="38">
        <f t="shared" si="1"/>
        <v>0</v>
      </c>
      <c r="DY38" s="65">
        <v>2</v>
      </c>
      <c r="DZ38" s="65">
        <v>3</v>
      </c>
      <c r="EA38" s="65">
        <v>1</v>
      </c>
      <c r="EB38" s="65">
        <v>3</v>
      </c>
      <c r="EC38" s="65">
        <v>2</v>
      </c>
      <c r="ED38" s="65">
        <v>3</v>
      </c>
      <c r="EE38" s="65">
        <v>2</v>
      </c>
      <c r="EF38" s="65">
        <v>2</v>
      </c>
      <c r="EG38" s="65">
        <v>2</v>
      </c>
      <c r="EH38" s="65">
        <v>2</v>
      </c>
      <c r="EI38" s="65">
        <v>3</v>
      </c>
      <c r="EJ38" s="65">
        <v>2</v>
      </c>
      <c r="EK38" s="38">
        <f t="shared" si="18"/>
        <v>27</v>
      </c>
      <c r="EL38" s="36">
        <f t="shared" si="19"/>
        <v>27</v>
      </c>
      <c r="EM38" s="26"/>
      <c r="EN38" s="32">
        <v>0</v>
      </c>
      <c r="EO38" s="32">
        <v>0</v>
      </c>
      <c r="EP38" s="32">
        <v>0</v>
      </c>
      <c r="EQ38" s="32">
        <v>0</v>
      </c>
      <c r="ER38" s="32">
        <v>0</v>
      </c>
      <c r="ES38" s="32">
        <v>0</v>
      </c>
      <c r="ET38" s="32">
        <v>0</v>
      </c>
      <c r="EU38" s="32">
        <v>0</v>
      </c>
      <c r="EV38" s="32">
        <v>0</v>
      </c>
      <c r="EW38" s="32">
        <v>0</v>
      </c>
      <c r="EX38" s="32">
        <v>0</v>
      </c>
      <c r="EY38" s="32">
        <v>0</v>
      </c>
      <c r="EZ38" s="38">
        <f t="shared" si="2"/>
        <v>0</v>
      </c>
      <c r="FA38" s="26"/>
      <c r="FB38" s="54">
        <v>0</v>
      </c>
      <c r="FC38" s="54">
        <v>0</v>
      </c>
      <c r="FD38" s="54">
        <v>0</v>
      </c>
      <c r="FE38" s="54">
        <v>0</v>
      </c>
      <c r="FF38" s="54">
        <v>0</v>
      </c>
      <c r="FG38" s="54">
        <v>0</v>
      </c>
      <c r="FH38" s="54">
        <v>0</v>
      </c>
      <c r="FI38" s="54">
        <v>0</v>
      </c>
      <c r="FJ38" s="54">
        <v>0</v>
      </c>
      <c r="FK38" s="54">
        <v>0</v>
      </c>
      <c r="FL38" s="54">
        <v>0</v>
      </c>
      <c r="FM38" s="54">
        <v>0</v>
      </c>
      <c r="FN38" s="38">
        <f t="shared" si="20"/>
        <v>0</v>
      </c>
      <c r="FO38" s="26"/>
      <c r="FP38" s="32">
        <v>0</v>
      </c>
      <c r="FQ38" s="32">
        <v>0</v>
      </c>
      <c r="FR38" s="32">
        <v>0</v>
      </c>
      <c r="FS38" s="32">
        <v>0</v>
      </c>
      <c r="FT38" s="32">
        <v>0</v>
      </c>
      <c r="FU38" s="32">
        <v>0</v>
      </c>
      <c r="FV38" s="32">
        <v>0</v>
      </c>
      <c r="FW38" s="32">
        <v>0</v>
      </c>
      <c r="FX38" s="32">
        <v>0</v>
      </c>
      <c r="FY38" s="32">
        <v>0</v>
      </c>
      <c r="FZ38" s="32">
        <v>0</v>
      </c>
      <c r="GA38" s="32">
        <v>0</v>
      </c>
      <c r="GB38" s="38">
        <f t="shared" si="21"/>
        <v>0</v>
      </c>
      <c r="GC38" s="26"/>
      <c r="GD38" s="32">
        <v>0</v>
      </c>
      <c r="GE38" s="32">
        <v>0</v>
      </c>
      <c r="GF38" s="32">
        <v>0</v>
      </c>
      <c r="GG38" s="32">
        <v>0</v>
      </c>
      <c r="GH38" s="32">
        <v>0</v>
      </c>
      <c r="GI38" s="32">
        <v>0</v>
      </c>
      <c r="GJ38" s="32">
        <v>0</v>
      </c>
      <c r="GK38" s="32">
        <v>0</v>
      </c>
      <c r="GL38" s="32">
        <v>0</v>
      </c>
      <c r="GM38" s="32">
        <v>0</v>
      </c>
      <c r="GN38" s="32">
        <v>0</v>
      </c>
      <c r="GO38" s="32">
        <v>0</v>
      </c>
      <c r="GP38" s="38">
        <f t="shared" si="22"/>
        <v>0</v>
      </c>
      <c r="GQ38" s="26"/>
      <c r="GR38" s="32">
        <v>0</v>
      </c>
      <c r="GS38" s="32">
        <v>0</v>
      </c>
      <c r="GT38" s="32">
        <v>0</v>
      </c>
      <c r="GU38" s="32">
        <v>0</v>
      </c>
      <c r="GV38" s="32">
        <v>0</v>
      </c>
      <c r="GW38" s="32">
        <v>0</v>
      </c>
      <c r="GX38" s="32">
        <v>0</v>
      </c>
      <c r="GY38" s="32">
        <v>0</v>
      </c>
      <c r="GZ38" s="32">
        <v>0</v>
      </c>
      <c r="HA38" s="32">
        <v>0</v>
      </c>
      <c r="HB38" s="32">
        <v>0</v>
      </c>
      <c r="HC38" s="32">
        <v>0</v>
      </c>
      <c r="HD38" s="38">
        <f t="shared" si="23"/>
        <v>0</v>
      </c>
      <c r="HE38" s="26"/>
      <c r="HF38" s="45">
        <v>0</v>
      </c>
      <c r="HG38" s="45">
        <v>0</v>
      </c>
      <c r="HH38" s="45">
        <v>0</v>
      </c>
      <c r="HI38" s="45">
        <v>0</v>
      </c>
      <c r="HJ38" s="45">
        <v>0</v>
      </c>
      <c r="HK38" s="45">
        <v>0</v>
      </c>
      <c r="HL38" s="45">
        <v>0</v>
      </c>
      <c r="HM38" s="45">
        <v>0</v>
      </c>
      <c r="HN38" s="45">
        <v>0</v>
      </c>
      <c r="HO38" s="45">
        <v>0</v>
      </c>
      <c r="HP38" s="45">
        <v>0</v>
      </c>
      <c r="HQ38" s="45">
        <v>0</v>
      </c>
      <c r="HR38" s="38">
        <f t="shared" si="24"/>
        <v>0</v>
      </c>
      <c r="HS38" s="26"/>
      <c r="HT38" s="32">
        <v>0</v>
      </c>
      <c r="HU38" s="32">
        <v>0</v>
      </c>
      <c r="HV38" s="32">
        <v>0</v>
      </c>
      <c r="HW38" s="32">
        <v>0</v>
      </c>
      <c r="HX38" s="32">
        <v>0</v>
      </c>
      <c r="HY38" s="32">
        <v>0</v>
      </c>
      <c r="HZ38" s="32">
        <v>0</v>
      </c>
      <c r="IA38" s="32">
        <v>0</v>
      </c>
      <c r="IB38" s="32">
        <v>0</v>
      </c>
      <c r="IC38" s="32">
        <v>0</v>
      </c>
      <c r="ID38" s="32">
        <v>0</v>
      </c>
      <c r="IE38" s="32">
        <v>0</v>
      </c>
      <c r="IF38" s="38">
        <f t="shared" si="3"/>
        <v>0</v>
      </c>
      <c r="IG38" s="104">
        <v>0</v>
      </c>
      <c r="IH38" s="104">
        <v>3</v>
      </c>
      <c r="II38" s="104">
        <v>2</v>
      </c>
      <c r="IJ38" s="104">
        <v>1</v>
      </c>
      <c r="IK38" s="104">
        <v>0</v>
      </c>
      <c r="IL38" s="104">
        <v>1</v>
      </c>
      <c r="IM38" s="104">
        <v>0</v>
      </c>
      <c r="IN38" s="104">
        <v>0</v>
      </c>
      <c r="IO38" s="104">
        <v>0</v>
      </c>
      <c r="IP38" s="104">
        <v>0</v>
      </c>
      <c r="IQ38" s="104">
        <v>1</v>
      </c>
      <c r="IR38" s="104">
        <v>0</v>
      </c>
      <c r="IS38" s="38">
        <f t="shared" si="25"/>
        <v>8</v>
      </c>
      <c r="IT38" s="36">
        <f t="shared" si="26"/>
        <v>8</v>
      </c>
      <c r="IU38" s="26"/>
      <c r="IV38" s="32">
        <v>1</v>
      </c>
      <c r="IW38" s="32">
        <v>3</v>
      </c>
      <c r="IX38" s="32">
        <v>2</v>
      </c>
      <c r="IY38" s="32">
        <v>4</v>
      </c>
      <c r="IZ38" s="32">
        <v>5</v>
      </c>
      <c r="JA38" s="32">
        <v>3</v>
      </c>
      <c r="JB38" s="32">
        <v>2</v>
      </c>
      <c r="JC38" s="32">
        <v>4</v>
      </c>
      <c r="JD38" s="32">
        <v>5</v>
      </c>
      <c r="JE38" s="32">
        <v>4</v>
      </c>
      <c r="JF38" s="32">
        <v>3</v>
      </c>
      <c r="JG38" s="32">
        <v>5</v>
      </c>
      <c r="JH38" s="38">
        <f t="shared" si="27"/>
        <v>41</v>
      </c>
      <c r="JI38" s="32">
        <v>1</v>
      </c>
      <c r="JJ38" s="32">
        <v>0</v>
      </c>
      <c r="JK38" s="32">
        <v>0</v>
      </c>
      <c r="JL38" s="32">
        <v>0</v>
      </c>
      <c r="JM38" s="32">
        <v>2</v>
      </c>
      <c r="JN38" s="32">
        <v>0</v>
      </c>
      <c r="JO38" s="32">
        <v>1</v>
      </c>
      <c r="JP38" s="32">
        <v>0</v>
      </c>
      <c r="JQ38" s="32">
        <v>3</v>
      </c>
      <c r="JR38" s="32">
        <v>0</v>
      </c>
      <c r="JS38" s="32">
        <v>1</v>
      </c>
      <c r="JT38" s="32">
        <v>1</v>
      </c>
      <c r="JU38" s="112">
        <f t="shared" si="4"/>
        <v>9</v>
      </c>
      <c r="JV38" s="36">
        <f t="shared" si="28"/>
        <v>50</v>
      </c>
      <c r="JW38" s="26"/>
      <c r="JX38" s="32">
        <v>0</v>
      </c>
      <c r="JY38" s="32">
        <v>0</v>
      </c>
      <c r="JZ38" s="32">
        <v>0</v>
      </c>
      <c r="KA38" s="32">
        <v>0</v>
      </c>
      <c r="KB38" s="32">
        <v>0</v>
      </c>
      <c r="KC38" s="32">
        <v>0</v>
      </c>
      <c r="KD38" s="32">
        <v>0</v>
      </c>
      <c r="KE38" s="32">
        <v>0</v>
      </c>
      <c r="KF38" s="32">
        <v>0</v>
      </c>
      <c r="KG38" s="32">
        <v>0</v>
      </c>
      <c r="KH38" s="32">
        <v>0</v>
      </c>
      <c r="KI38" s="32">
        <v>0</v>
      </c>
      <c r="KJ38" s="38">
        <f t="shared" si="29"/>
        <v>0</v>
      </c>
      <c r="KK38" s="114">
        <v>2</v>
      </c>
      <c r="KL38" s="114">
        <v>0</v>
      </c>
      <c r="KM38" s="114">
        <v>2</v>
      </c>
      <c r="KN38" s="114">
        <v>2</v>
      </c>
      <c r="KO38" s="114">
        <v>6</v>
      </c>
      <c r="KP38" s="114">
        <v>3</v>
      </c>
      <c r="KQ38" s="114">
        <v>0</v>
      </c>
      <c r="KR38" s="114">
        <v>8</v>
      </c>
      <c r="KS38" s="114">
        <v>9</v>
      </c>
      <c r="KT38" s="114">
        <v>16</v>
      </c>
      <c r="KU38" s="114">
        <v>18</v>
      </c>
      <c r="KV38" s="114">
        <v>4</v>
      </c>
      <c r="KW38" s="38">
        <f t="shared" si="5"/>
        <v>70</v>
      </c>
      <c r="KX38" s="36">
        <f t="shared" si="30"/>
        <v>70</v>
      </c>
      <c r="KY38" s="26"/>
      <c r="KZ38" s="101">
        <v>1</v>
      </c>
      <c r="LA38" s="101">
        <v>0</v>
      </c>
      <c r="LB38" s="101">
        <v>0</v>
      </c>
      <c r="LC38" s="101">
        <v>0</v>
      </c>
      <c r="LD38" s="101">
        <v>0</v>
      </c>
      <c r="LE38" s="101">
        <v>0</v>
      </c>
      <c r="LF38" s="101">
        <v>0</v>
      </c>
      <c r="LG38" s="101">
        <v>2</v>
      </c>
      <c r="LH38" s="101">
        <v>1</v>
      </c>
      <c r="LI38" s="101">
        <v>0</v>
      </c>
      <c r="LJ38" s="101">
        <v>0</v>
      </c>
      <c r="LK38" s="101">
        <v>0</v>
      </c>
      <c r="LL38" s="38">
        <f t="shared" si="6"/>
        <v>4</v>
      </c>
      <c r="LM38" s="26"/>
      <c r="LN38" s="71">
        <v>3</v>
      </c>
      <c r="LO38" s="71">
        <v>3</v>
      </c>
      <c r="LP38" s="71">
        <v>4</v>
      </c>
      <c r="LQ38" s="71">
        <v>3</v>
      </c>
      <c r="LR38" s="71">
        <v>7</v>
      </c>
      <c r="LS38" s="71">
        <v>5</v>
      </c>
      <c r="LT38" s="71">
        <v>3</v>
      </c>
      <c r="LU38" s="45">
        <v>7</v>
      </c>
      <c r="LV38" s="45">
        <v>3</v>
      </c>
      <c r="LW38" s="45">
        <v>6</v>
      </c>
      <c r="LX38" s="45">
        <v>6</v>
      </c>
      <c r="LY38" s="45">
        <v>5</v>
      </c>
      <c r="LZ38" s="38">
        <f t="shared" si="31"/>
        <v>55</v>
      </c>
      <c r="MA38" s="26"/>
      <c r="MB38" s="45">
        <v>0</v>
      </c>
      <c r="MC38" s="45">
        <v>0</v>
      </c>
      <c r="MD38" s="45">
        <v>0</v>
      </c>
      <c r="ME38" s="45">
        <v>0</v>
      </c>
      <c r="MF38" s="45">
        <v>0</v>
      </c>
      <c r="MG38" s="45">
        <v>0</v>
      </c>
      <c r="MH38" s="45">
        <v>0</v>
      </c>
      <c r="MI38" s="45">
        <v>0</v>
      </c>
      <c r="MJ38" s="45">
        <v>0</v>
      </c>
      <c r="MK38" s="45">
        <v>0</v>
      </c>
      <c r="ML38" s="45">
        <v>0</v>
      </c>
      <c r="MM38" s="45">
        <v>0</v>
      </c>
      <c r="MN38" s="38">
        <f t="shared" si="32"/>
        <v>0</v>
      </c>
      <c r="MO38" s="32">
        <v>3</v>
      </c>
      <c r="MP38" s="32">
        <v>6</v>
      </c>
      <c r="MQ38" s="32">
        <v>5</v>
      </c>
      <c r="MR38" s="32">
        <v>3</v>
      </c>
      <c r="MS38" s="32">
        <v>5</v>
      </c>
      <c r="MT38" s="32">
        <v>2</v>
      </c>
      <c r="MU38" s="32">
        <v>3</v>
      </c>
      <c r="MV38" s="32">
        <v>2</v>
      </c>
      <c r="MW38" s="32">
        <v>3</v>
      </c>
      <c r="MX38" s="32">
        <v>4</v>
      </c>
      <c r="MY38" s="32">
        <v>4</v>
      </c>
      <c r="MZ38" s="32">
        <v>5</v>
      </c>
      <c r="NA38" s="38">
        <f t="shared" si="33"/>
        <v>45</v>
      </c>
      <c r="NB38" s="36">
        <f t="shared" si="34"/>
        <v>45</v>
      </c>
      <c r="NC38" s="26"/>
      <c r="ND38" s="32">
        <v>0</v>
      </c>
      <c r="NE38" s="32">
        <v>0</v>
      </c>
      <c r="NF38" s="32">
        <v>0</v>
      </c>
      <c r="NG38" s="32">
        <v>0</v>
      </c>
      <c r="NH38" s="32">
        <v>0</v>
      </c>
      <c r="NI38" s="32">
        <v>0</v>
      </c>
      <c r="NJ38" s="32">
        <v>0</v>
      </c>
      <c r="NK38" s="32">
        <v>0</v>
      </c>
      <c r="NL38" s="32">
        <v>0</v>
      </c>
      <c r="NM38" s="32">
        <v>0</v>
      </c>
      <c r="NN38" s="32">
        <v>0</v>
      </c>
      <c r="NO38" s="32">
        <v>0</v>
      </c>
      <c r="NP38" s="38">
        <f t="shared" si="35"/>
        <v>0</v>
      </c>
      <c r="NQ38" s="36">
        <f t="shared" si="36"/>
        <v>16</v>
      </c>
      <c r="NR38" s="36">
        <f t="shared" si="37"/>
        <v>285</v>
      </c>
      <c r="NS38" s="36">
        <f t="shared" si="38"/>
        <v>54</v>
      </c>
      <c r="NT38" s="36">
        <f t="shared" si="39"/>
        <v>355</v>
      </c>
      <c r="NU38" s="18"/>
      <c r="NV38" s="18"/>
      <c r="NW38" s="18"/>
      <c r="NX38" s="19"/>
      <c r="NY38" s="19"/>
      <c r="NZ38" s="19"/>
      <c r="OA38" s="19"/>
      <c r="OB38" s="19"/>
      <c r="OC38" s="19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8"/>
      <c r="OR38" s="18"/>
      <c r="OS38" s="18"/>
      <c r="OT38" s="18"/>
      <c r="OU38" s="18"/>
      <c r="OV38" s="18"/>
      <c r="OW38" s="18"/>
      <c r="OX38" s="19"/>
      <c r="OY38" s="19"/>
      <c r="OZ38" s="19"/>
      <c r="PA38" s="19"/>
      <c r="PB38" s="19"/>
      <c r="PC38" s="19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8"/>
      <c r="PR38" s="18"/>
      <c r="PS38" s="18"/>
      <c r="PT38" s="18"/>
      <c r="PU38" s="18"/>
      <c r="PV38" s="18"/>
      <c r="PW38" s="18"/>
      <c r="PX38" s="19"/>
      <c r="PY38" s="19"/>
      <c r="PZ38" s="19"/>
      <c r="QA38" s="19"/>
      <c r="QB38" s="19"/>
      <c r="QC38" s="19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</row>
    <row r="39" spans="1:458" s="1" customFormat="1" ht="50.1" customHeight="1" x14ac:dyDescent="0.25">
      <c r="A39" s="120"/>
      <c r="B39" s="6" t="s">
        <v>22</v>
      </c>
      <c r="C39" s="23"/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38">
        <f t="shared" si="7"/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Z39" s="49">
        <v>0</v>
      </c>
      <c r="AA39" s="49">
        <v>0</v>
      </c>
      <c r="AB39" s="49">
        <v>0</v>
      </c>
      <c r="AC39" s="38">
        <f t="shared" si="8"/>
        <v>0</v>
      </c>
      <c r="AD39" s="36">
        <f t="shared" si="9"/>
        <v>0</v>
      </c>
      <c r="AE39" s="26"/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8">
        <f t="shared" si="10"/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v>0</v>
      </c>
      <c r="BE39" s="38">
        <f t="shared" si="11"/>
        <v>0</v>
      </c>
      <c r="BF39" s="36">
        <f t="shared" si="12"/>
        <v>0</v>
      </c>
      <c r="BG39" s="26"/>
      <c r="BH39" s="41">
        <v>0</v>
      </c>
      <c r="BI39" s="41">
        <v>0</v>
      </c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  <c r="BQ39" s="41">
        <v>0</v>
      </c>
      <c r="BR39" s="41">
        <v>0</v>
      </c>
      <c r="BS39" s="41">
        <v>0</v>
      </c>
      <c r="BT39" s="38">
        <f t="shared" si="13"/>
        <v>0</v>
      </c>
      <c r="BU39" s="56">
        <v>0</v>
      </c>
      <c r="BV39" s="56">
        <v>0</v>
      </c>
      <c r="BW39" s="56">
        <v>0</v>
      </c>
      <c r="BX39" s="56">
        <v>0</v>
      </c>
      <c r="BY39" s="56">
        <v>0</v>
      </c>
      <c r="BZ39" s="56">
        <v>0</v>
      </c>
      <c r="CA39" s="56">
        <v>0</v>
      </c>
      <c r="CB39" s="56">
        <v>0</v>
      </c>
      <c r="CC39" s="56">
        <v>0</v>
      </c>
      <c r="CD39" s="56">
        <v>0</v>
      </c>
      <c r="CE39" s="56">
        <v>0</v>
      </c>
      <c r="CF39" s="56">
        <v>0</v>
      </c>
      <c r="CG39" s="61">
        <f t="shared" si="14"/>
        <v>0</v>
      </c>
      <c r="CH39" s="57">
        <f t="shared" si="15"/>
        <v>0</v>
      </c>
      <c r="CI39" s="26"/>
      <c r="CJ39" s="32">
        <v>0</v>
      </c>
      <c r="CK39" s="32">
        <v>0</v>
      </c>
      <c r="CL39" s="32">
        <v>0</v>
      </c>
      <c r="CM39" s="32">
        <v>0</v>
      </c>
      <c r="CN39" s="32">
        <v>0</v>
      </c>
      <c r="CO39" s="32">
        <v>0</v>
      </c>
      <c r="CP39" s="32">
        <v>0</v>
      </c>
      <c r="CQ39" s="32">
        <v>0</v>
      </c>
      <c r="CR39" s="32">
        <v>0</v>
      </c>
      <c r="CS39" s="32">
        <v>0</v>
      </c>
      <c r="CT39" s="32">
        <v>0</v>
      </c>
      <c r="CU39" s="69">
        <v>0</v>
      </c>
      <c r="CV39" s="38">
        <f t="shared" si="16"/>
        <v>0</v>
      </c>
      <c r="CW39" s="45">
        <v>0</v>
      </c>
      <c r="CX39" s="45">
        <v>0</v>
      </c>
      <c r="CY39" s="45">
        <v>0</v>
      </c>
      <c r="CZ39" s="45">
        <v>0</v>
      </c>
      <c r="DA39" s="45">
        <v>0</v>
      </c>
      <c r="DB39" s="45">
        <v>0</v>
      </c>
      <c r="DC39" s="45">
        <v>0</v>
      </c>
      <c r="DD39" s="45">
        <v>0</v>
      </c>
      <c r="DE39" s="45">
        <v>0</v>
      </c>
      <c r="DF39" s="45">
        <v>0</v>
      </c>
      <c r="DG39" s="45">
        <v>0</v>
      </c>
      <c r="DH39" s="45">
        <v>0</v>
      </c>
      <c r="DI39" s="38">
        <f t="shared" si="0"/>
        <v>0</v>
      </c>
      <c r="DJ39" s="36">
        <f t="shared" si="17"/>
        <v>0</v>
      </c>
      <c r="DK39" s="26"/>
      <c r="DL39" s="75">
        <v>0</v>
      </c>
      <c r="DM39" s="75">
        <v>0</v>
      </c>
      <c r="DN39" s="75">
        <v>0</v>
      </c>
      <c r="DO39" s="75">
        <v>0</v>
      </c>
      <c r="DP39" s="75">
        <v>0</v>
      </c>
      <c r="DQ39" s="75">
        <v>0</v>
      </c>
      <c r="DR39" s="75">
        <v>0</v>
      </c>
      <c r="DS39" s="75">
        <v>0</v>
      </c>
      <c r="DT39" s="75">
        <v>0</v>
      </c>
      <c r="DU39" s="75">
        <v>0</v>
      </c>
      <c r="DV39" s="75">
        <v>0</v>
      </c>
      <c r="DW39" s="83">
        <v>0</v>
      </c>
      <c r="DX39" s="38">
        <f t="shared" si="1"/>
        <v>0</v>
      </c>
      <c r="DY39" s="63">
        <v>0</v>
      </c>
      <c r="DZ39" s="63">
        <v>0</v>
      </c>
      <c r="EA39" s="63">
        <v>0</v>
      </c>
      <c r="EB39" s="63">
        <v>0</v>
      </c>
      <c r="EC39" s="63">
        <v>0</v>
      </c>
      <c r="ED39" s="63">
        <v>0</v>
      </c>
      <c r="EE39" s="63">
        <v>0</v>
      </c>
      <c r="EF39" s="63">
        <v>0</v>
      </c>
      <c r="EG39" s="63">
        <v>0</v>
      </c>
      <c r="EH39" s="63">
        <v>0</v>
      </c>
      <c r="EI39" s="63">
        <v>0</v>
      </c>
      <c r="EJ39" s="63">
        <v>0</v>
      </c>
      <c r="EK39" s="38">
        <f t="shared" si="18"/>
        <v>0</v>
      </c>
      <c r="EL39" s="36">
        <f t="shared" si="19"/>
        <v>0</v>
      </c>
      <c r="EM39" s="26"/>
      <c r="EN39" s="32">
        <v>0</v>
      </c>
      <c r="EO39" s="32">
        <v>0</v>
      </c>
      <c r="EP39" s="32">
        <v>0</v>
      </c>
      <c r="EQ39" s="32">
        <v>0</v>
      </c>
      <c r="ER39" s="32">
        <v>0</v>
      </c>
      <c r="ES39" s="32">
        <v>0</v>
      </c>
      <c r="ET39" s="32">
        <v>0</v>
      </c>
      <c r="EU39" s="32">
        <v>0</v>
      </c>
      <c r="EV39" s="32">
        <v>0</v>
      </c>
      <c r="EW39" s="32">
        <v>0</v>
      </c>
      <c r="EX39" s="32">
        <v>0</v>
      </c>
      <c r="EY39" s="32">
        <v>0</v>
      </c>
      <c r="EZ39" s="38">
        <f t="shared" si="2"/>
        <v>0</v>
      </c>
      <c r="FA39" s="26"/>
      <c r="FB39" s="54">
        <v>0</v>
      </c>
      <c r="FC39" s="54">
        <v>0</v>
      </c>
      <c r="FD39" s="54">
        <v>0</v>
      </c>
      <c r="FE39" s="54">
        <v>0</v>
      </c>
      <c r="FF39" s="54">
        <v>0</v>
      </c>
      <c r="FG39" s="54">
        <v>0</v>
      </c>
      <c r="FH39" s="54">
        <v>0</v>
      </c>
      <c r="FI39" s="54">
        <v>0</v>
      </c>
      <c r="FJ39" s="54">
        <v>0</v>
      </c>
      <c r="FK39" s="54">
        <v>0</v>
      </c>
      <c r="FL39" s="54">
        <v>0</v>
      </c>
      <c r="FM39" s="54">
        <v>0</v>
      </c>
      <c r="FN39" s="38">
        <f t="shared" si="20"/>
        <v>0</v>
      </c>
      <c r="FO39" s="26"/>
      <c r="FP39" s="32">
        <v>0</v>
      </c>
      <c r="FQ39" s="32">
        <v>0</v>
      </c>
      <c r="FR39" s="32">
        <v>0</v>
      </c>
      <c r="FS39" s="32">
        <v>0</v>
      </c>
      <c r="FT39" s="32">
        <v>0</v>
      </c>
      <c r="FU39" s="32">
        <v>0</v>
      </c>
      <c r="FV39" s="32">
        <v>0</v>
      </c>
      <c r="FW39" s="32">
        <v>0</v>
      </c>
      <c r="FX39" s="32">
        <v>0</v>
      </c>
      <c r="FY39" s="32">
        <v>0</v>
      </c>
      <c r="FZ39" s="32">
        <v>0</v>
      </c>
      <c r="GA39" s="32">
        <v>0</v>
      </c>
      <c r="GB39" s="38">
        <f t="shared" si="21"/>
        <v>0</v>
      </c>
      <c r="GC39" s="26"/>
      <c r="GD39" s="32">
        <v>0</v>
      </c>
      <c r="GE39" s="32">
        <v>0</v>
      </c>
      <c r="GF39" s="32">
        <v>0</v>
      </c>
      <c r="GG39" s="32">
        <v>0</v>
      </c>
      <c r="GH39" s="32">
        <v>0</v>
      </c>
      <c r="GI39" s="32">
        <v>0</v>
      </c>
      <c r="GJ39" s="32">
        <v>0</v>
      </c>
      <c r="GK39" s="32">
        <v>0</v>
      </c>
      <c r="GL39" s="32">
        <v>0</v>
      </c>
      <c r="GM39" s="32">
        <v>0</v>
      </c>
      <c r="GN39" s="32">
        <v>0</v>
      </c>
      <c r="GO39" s="32">
        <v>0</v>
      </c>
      <c r="GP39" s="38">
        <f t="shared" si="22"/>
        <v>0</v>
      </c>
      <c r="GQ39" s="26"/>
      <c r="GR39" s="32">
        <v>0</v>
      </c>
      <c r="GS39" s="32">
        <v>0</v>
      </c>
      <c r="GT39" s="32">
        <v>0</v>
      </c>
      <c r="GU39" s="32">
        <v>0</v>
      </c>
      <c r="GV39" s="32">
        <v>0</v>
      </c>
      <c r="GW39" s="32">
        <v>0</v>
      </c>
      <c r="GX39" s="32">
        <v>0</v>
      </c>
      <c r="GY39" s="32">
        <v>0</v>
      </c>
      <c r="GZ39" s="32">
        <v>0</v>
      </c>
      <c r="HA39" s="32">
        <v>0</v>
      </c>
      <c r="HB39" s="32">
        <v>0</v>
      </c>
      <c r="HC39" s="32">
        <v>0</v>
      </c>
      <c r="HD39" s="38">
        <f t="shared" si="23"/>
        <v>0</v>
      </c>
      <c r="HE39" s="26"/>
      <c r="HF39" s="45">
        <v>0</v>
      </c>
      <c r="HG39" s="45">
        <v>0</v>
      </c>
      <c r="HH39" s="45">
        <v>0</v>
      </c>
      <c r="HI39" s="45">
        <v>0</v>
      </c>
      <c r="HJ39" s="45">
        <v>0</v>
      </c>
      <c r="HK39" s="45">
        <v>0</v>
      </c>
      <c r="HL39" s="45">
        <v>0</v>
      </c>
      <c r="HM39" s="45">
        <v>0</v>
      </c>
      <c r="HN39" s="45">
        <v>0</v>
      </c>
      <c r="HO39" s="45">
        <v>0</v>
      </c>
      <c r="HP39" s="45">
        <v>0</v>
      </c>
      <c r="HQ39" s="45">
        <v>0</v>
      </c>
      <c r="HR39" s="38">
        <f t="shared" si="24"/>
        <v>0</v>
      </c>
      <c r="HS39" s="26"/>
      <c r="HT39" s="32">
        <v>0</v>
      </c>
      <c r="HU39" s="32">
        <v>0</v>
      </c>
      <c r="HV39" s="32">
        <v>0</v>
      </c>
      <c r="HW39" s="32">
        <v>0</v>
      </c>
      <c r="HX39" s="32">
        <v>0</v>
      </c>
      <c r="HY39" s="32">
        <v>0</v>
      </c>
      <c r="HZ39" s="32">
        <v>0</v>
      </c>
      <c r="IA39" s="32">
        <v>0</v>
      </c>
      <c r="IB39" s="32">
        <v>0</v>
      </c>
      <c r="IC39" s="32">
        <v>0</v>
      </c>
      <c r="ID39" s="32">
        <v>0</v>
      </c>
      <c r="IE39" s="32">
        <v>0</v>
      </c>
      <c r="IF39" s="38">
        <f t="shared" si="3"/>
        <v>0</v>
      </c>
      <c r="IG39" s="104">
        <v>0</v>
      </c>
      <c r="IH39" s="104">
        <v>0</v>
      </c>
      <c r="II39" s="104">
        <v>0</v>
      </c>
      <c r="IJ39" s="104">
        <v>0</v>
      </c>
      <c r="IK39" s="104">
        <v>0</v>
      </c>
      <c r="IL39" s="104">
        <v>0</v>
      </c>
      <c r="IM39" s="104">
        <v>0</v>
      </c>
      <c r="IN39" s="104">
        <v>0</v>
      </c>
      <c r="IO39" s="104">
        <v>0</v>
      </c>
      <c r="IP39" s="104">
        <v>0</v>
      </c>
      <c r="IQ39" s="104">
        <v>0</v>
      </c>
      <c r="IR39" s="104">
        <v>0</v>
      </c>
      <c r="IS39" s="38">
        <f t="shared" si="25"/>
        <v>0</v>
      </c>
      <c r="IT39" s="36">
        <f t="shared" si="26"/>
        <v>0</v>
      </c>
      <c r="IU39" s="26"/>
      <c r="IV39" s="32">
        <v>0</v>
      </c>
      <c r="IW39" s="32">
        <v>0</v>
      </c>
      <c r="IX39" s="32">
        <v>0</v>
      </c>
      <c r="IY39" s="32">
        <v>0</v>
      </c>
      <c r="IZ39" s="32">
        <v>0</v>
      </c>
      <c r="JA39" s="32">
        <v>0</v>
      </c>
      <c r="JB39" s="32">
        <v>0</v>
      </c>
      <c r="JC39" s="32">
        <v>0</v>
      </c>
      <c r="JD39" s="32">
        <v>0</v>
      </c>
      <c r="JE39" s="32">
        <v>0</v>
      </c>
      <c r="JF39" s="32">
        <v>0</v>
      </c>
      <c r="JG39" s="32">
        <v>0</v>
      </c>
      <c r="JH39" s="38">
        <f t="shared" si="27"/>
        <v>0</v>
      </c>
      <c r="JI39" s="32">
        <v>0</v>
      </c>
      <c r="JJ39" s="32">
        <v>0</v>
      </c>
      <c r="JK39" s="32">
        <v>0</v>
      </c>
      <c r="JL39" s="32">
        <v>0</v>
      </c>
      <c r="JM39" s="32">
        <v>0</v>
      </c>
      <c r="JN39" s="32">
        <v>0</v>
      </c>
      <c r="JO39" s="32">
        <v>0</v>
      </c>
      <c r="JP39" s="32">
        <v>0</v>
      </c>
      <c r="JQ39" s="32">
        <v>0</v>
      </c>
      <c r="JR39" s="32">
        <v>0</v>
      </c>
      <c r="JS39" s="32">
        <v>0</v>
      </c>
      <c r="JT39" s="32">
        <v>0</v>
      </c>
      <c r="JU39" s="112">
        <f t="shared" si="4"/>
        <v>0</v>
      </c>
      <c r="JV39" s="36">
        <f t="shared" si="28"/>
        <v>0</v>
      </c>
      <c r="JW39" s="26"/>
      <c r="JX39" s="32">
        <v>0</v>
      </c>
      <c r="JY39" s="32">
        <v>0</v>
      </c>
      <c r="JZ39" s="32">
        <v>0</v>
      </c>
      <c r="KA39" s="32">
        <v>0</v>
      </c>
      <c r="KB39" s="32">
        <v>0</v>
      </c>
      <c r="KC39" s="32">
        <v>0</v>
      </c>
      <c r="KD39" s="32">
        <v>0</v>
      </c>
      <c r="KE39" s="32">
        <v>0</v>
      </c>
      <c r="KF39" s="32">
        <v>0</v>
      </c>
      <c r="KG39" s="32">
        <v>0</v>
      </c>
      <c r="KH39" s="32">
        <v>0</v>
      </c>
      <c r="KI39" s="32">
        <v>0</v>
      </c>
      <c r="KJ39" s="38">
        <f t="shared" si="29"/>
        <v>0</v>
      </c>
      <c r="KK39" s="32">
        <v>0</v>
      </c>
      <c r="KL39" s="32">
        <v>0</v>
      </c>
      <c r="KM39" s="32">
        <v>0</v>
      </c>
      <c r="KN39" s="32">
        <v>0</v>
      </c>
      <c r="KO39" s="32">
        <v>0</v>
      </c>
      <c r="KP39" s="32">
        <v>0</v>
      </c>
      <c r="KQ39" s="32">
        <v>0</v>
      </c>
      <c r="KR39" s="32">
        <v>0</v>
      </c>
      <c r="KS39" s="32">
        <v>0</v>
      </c>
      <c r="KT39" s="32">
        <v>0</v>
      </c>
      <c r="KU39" s="32">
        <v>0</v>
      </c>
      <c r="KV39" s="32">
        <v>0</v>
      </c>
      <c r="KW39" s="38">
        <f t="shared" si="5"/>
        <v>0</v>
      </c>
      <c r="KX39" s="36">
        <f t="shared" si="30"/>
        <v>0</v>
      </c>
      <c r="KY39" s="26"/>
      <c r="KZ39" s="32">
        <v>0</v>
      </c>
      <c r="LA39" s="32">
        <v>0</v>
      </c>
      <c r="LB39" s="32">
        <v>0</v>
      </c>
      <c r="LC39" s="32">
        <v>0</v>
      </c>
      <c r="LD39" s="32">
        <v>0</v>
      </c>
      <c r="LE39" s="32">
        <v>0</v>
      </c>
      <c r="LF39" s="32">
        <v>0</v>
      </c>
      <c r="LG39" s="32">
        <v>0</v>
      </c>
      <c r="LH39" s="32">
        <v>0</v>
      </c>
      <c r="LI39" s="32">
        <v>0</v>
      </c>
      <c r="LJ39" s="32">
        <v>0</v>
      </c>
      <c r="LK39" s="32">
        <v>0</v>
      </c>
      <c r="LL39" s="38">
        <f t="shared" si="6"/>
        <v>0</v>
      </c>
      <c r="LM39" s="26"/>
      <c r="LN39" s="71">
        <v>0</v>
      </c>
      <c r="LO39" s="71">
        <v>0</v>
      </c>
      <c r="LP39" s="71">
        <v>0</v>
      </c>
      <c r="LQ39" s="71">
        <v>0</v>
      </c>
      <c r="LR39" s="71">
        <v>0</v>
      </c>
      <c r="LS39" s="71">
        <v>0</v>
      </c>
      <c r="LT39" s="71">
        <v>0</v>
      </c>
      <c r="LU39" s="45">
        <v>0</v>
      </c>
      <c r="LV39" s="45">
        <v>0</v>
      </c>
      <c r="LW39" s="45">
        <v>0</v>
      </c>
      <c r="LX39" s="45">
        <v>0</v>
      </c>
      <c r="LY39" s="45">
        <v>0</v>
      </c>
      <c r="LZ39" s="38">
        <f t="shared" si="31"/>
        <v>0</v>
      </c>
      <c r="MA39" s="26"/>
      <c r="MB39" s="45">
        <v>0</v>
      </c>
      <c r="MC39" s="45">
        <v>0</v>
      </c>
      <c r="MD39" s="45">
        <v>0</v>
      </c>
      <c r="ME39" s="45">
        <v>0</v>
      </c>
      <c r="MF39" s="45">
        <v>0</v>
      </c>
      <c r="MG39" s="45">
        <v>0</v>
      </c>
      <c r="MH39" s="45">
        <v>0</v>
      </c>
      <c r="MI39" s="45">
        <v>0</v>
      </c>
      <c r="MJ39" s="45">
        <v>0</v>
      </c>
      <c r="MK39" s="45">
        <v>0</v>
      </c>
      <c r="ML39" s="45">
        <v>0</v>
      </c>
      <c r="MM39" s="45">
        <v>0</v>
      </c>
      <c r="MN39" s="38">
        <f t="shared" si="32"/>
        <v>0</v>
      </c>
      <c r="MO39" s="32">
        <v>0</v>
      </c>
      <c r="MP39" s="32">
        <v>0</v>
      </c>
      <c r="MQ39" s="32">
        <v>0</v>
      </c>
      <c r="MR39" s="32">
        <v>0</v>
      </c>
      <c r="MS39" s="32">
        <v>0</v>
      </c>
      <c r="MT39" s="32">
        <v>0</v>
      </c>
      <c r="MU39" s="32">
        <v>0</v>
      </c>
      <c r="MV39" s="32">
        <v>0</v>
      </c>
      <c r="MW39" s="32">
        <v>0</v>
      </c>
      <c r="MX39" s="32">
        <v>0</v>
      </c>
      <c r="MY39" s="32">
        <v>0</v>
      </c>
      <c r="MZ39" s="32">
        <v>0</v>
      </c>
      <c r="NA39" s="38">
        <f t="shared" si="33"/>
        <v>0</v>
      </c>
      <c r="NB39" s="36">
        <f t="shared" si="34"/>
        <v>0</v>
      </c>
      <c r="NC39" s="26"/>
      <c r="ND39" s="32">
        <v>0</v>
      </c>
      <c r="NE39" s="32">
        <v>0</v>
      </c>
      <c r="NF39" s="32">
        <v>0</v>
      </c>
      <c r="NG39" s="32">
        <v>0</v>
      </c>
      <c r="NH39" s="32">
        <v>0</v>
      </c>
      <c r="NI39" s="32">
        <v>0</v>
      </c>
      <c r="NJ39" s="32">
        <v>0</v>
      </c>
      <c r="NK39" s="32">
        <v>0</v>
      </c>
      <c r="NL39" s="32">
        <v>0</v>
      </c>
      <c r="NM39" s="32">
        <v>0</v>
      </c>
      <c r="NN39" s="32">
        <v>0</v>
      </c>
      <c r="NO39" s="32">
        <v>0</v>
      </c>
      <c r="NP39" s="38">
        <f t="shared" si="35"/>
        <v>0</v>
      </c>
      <c r="NQ39" s="36">
        <f t="shared" si="36"/>
        <v>0</v>
      </c>
      <c r="NR39" s="36">
        <f t="shared" si="37"/>
        <v>0</v>
      </c>
      <c r="NS39" s="36">
        <f t="shared" si="38"/>
        <v>0</v>
      </c>
      <c r="NT39" s="36">
        <f t="shared" si="39"/>
        <v>0</v>
      </c>
      <c r="NU39" s="18"/>
      <c r="NV39" s="18"/>
      <c r="NW39" s="18"/>
      <c r="NX39" s="19"/>
      <c r="NY39" s="19"/>
      <c r="NZ39" s="19"/>
      <c r="OA39" s="19"/>
      <c r="OB39" s="19"/>
      <c r="OC39" s="19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8"/>
      <c r="OR39" s="18"/>
      <c r="OS39" s="18"/>
      <c r="OT39" s="18"/>
      <c r="OU39" s="18"/>
      <c r="OV39" s="18"/>
      <c r="OW39" s="18"/>
      <c r="OX39" s="19"/>
      <c r="OY39" s="19"/>
      <c r="OZ39" s="19"/>
      <c r="PA39" s="19"/>
      <c r="PB39" s="19"/>
      <c r="PC39" s="19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8"/>
      <c r="PR39" s="18"/>
      <c r="PS39" s="18"/>
      <c r="PT39" s="18"/>
      <c r="PU39" s="18"/>
      <c r="PV39" s="18"/>
      <c r="PW39" s="18"/>
      <c r="PX39" s="19"/>
      <c r="PY39" s="19"/>
      <c r="PZ39" s="19"/>
      <c r="QA39" s="19"/>
      <c r="QB39" s="19"/>
      <c r="QC39" s="19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</row>
    <row r="40" spans="1:458" s="1" customFormat="1" ht="50.1" customHeight="1" x14ac:dyDescent="0.25">
      <c r="A40" s="120">
        <v>2022</v>
      </c>
      <c r="B40" s="6" t="s">
        <v>17</v>
      </c>
      <c r="C40" s="23"/>
      <c r="D40" s="41">
        <v>1180</v>
      </c>
      <c r="E40" s="41">
        <v>746</v>
      </c>
      <c r="F40" s="41">
        <v>906</v>
      </c>
      <c r="G40" s="41">
        <v>787</v>
      </c>
      <c r="H40" s="41">
        <v>985</v>
      </c>
      <c r="I40" s="41">
        <v>1292</v>
      </c>
      <c r="J40" s="41">
        <v>1518</v>
      </c>
      <c r="K40" s="41">
        <v>1248</v>
      </c>
      <c r="L40" s="41">
        <v>1223</v>
      </c>
      <c r="M40" s="41">
        <v>1043</v>
      </c>
      <c r="N40" s="41">
        <v>1021</v>
      </c>
      <c r="O40" s="41">
        <v>1034</v>
      </c>
      <c r="P40" s="38">
        <f t="shared" si="7"/>
        <v>12983</v>
      </c>
      <c r="Q40" s="49">
        <v>3652</v>
      </c>
      <c r="R40" s="49">
        <v>1655</v>
      </c>
      <c r="S40" s="49">
        <v>1217</v>
      </c>
      <c r="T40" s="49">
        <v>1114</v>
      </c>
      <c r="U40" s="49">
        <v>3502</v>
      </c>
      <c r="V40" s="49">
        <v>2227</v>
      </c>
      <c r="W40" s="49">
        <v>1633</v>
      </c>
      <c r="X40" s="49">
        <v>2094</v>
      </c>
      <c r="Y40" s="49">
        <v>1633</v>
      </c>
      <c r="Z40" s="49">
        <v>2289</v>
      </c>
      <c r="AA40" s="49">
        <v>2157</v>
      </c>
      <c r="AB40" s="49">
        <v>2417</v>
      </c>
      <c r="AC40" s="38">
        <f t="shared" si="8"/>
        <v>25590</v>
      </c>
      <c r="AD40" s="36">
        <f t="shared" si="9"/>
        <v>38573</v>
      </c>
      <c r="AE40" s="26"/>
      <c r="AF40" s="32">
        <v>162</v>
      </c>
      <c r="AG40" s="32">
        <v>72</v>
      </c>
      <c r="AH40" s="32">
        <v>114</v>
      </c>
      <c r="AI40" s="32">
        <v>98</v>
      </c>
      <c r="AJ40" s="32">
        <v>159</v>
      </c>
      <c r="AK40" s="32">
        <v>141</v>
      </c>
      <c r="AL40" s="32">
        <v>142</v>
      </c>
      <c r="AM40" s="32">
        <v>117</v>
      </c>
      <c r="AN40" s="32">
        <v>86</v>
      </c>
      <c r="AO40" s="32">
        <v>140</v>
      </c>
      <c r="AP40" s="32">
        <v>200</v>
      </c>
      <c r="AQ40" s="32">
        <v>81</v>
      </c>
      <c r="AR40" s="38">
        <f t="shared" si="10"/>
        <v>1512</v>
      </c>
      <c r="AS40" s="32">
        <v>170</v>
      </c>
      <c r="AT40" s="32">
        <v>167</v>
      </c>
      <c r="AU40" s="32">
        <v>263</v>
      </c>
      <c r="AV40" s="32">
        <v>255</v>
      </c>
      <c r="AW40" s="32">
        <v>231</v>
      </c>
      <c r="AX40" s="32">
        <v>255</v>
      </c>
      <c r="AY40" s="32">
        <v>231</v>
      </c>
      <c r="AZ40" s="32">
        <v>190</v>
      </c>
      <c r="BA40" s="32">
        <v>216</v>
      </c>
      <c r="BB40" s="32">
        <v>259</v>
      </c>
      <c r="BC40" s="32">
        <v>240</v>
      </c>
      <c r="BD40" s="32">
        <v>232</v>
      </c>
      <c r="BE40" s="38">
        <f t="shared" si="11"/>
        <v>2709</v>
      </c>
      <c r="BF40" s="36">
        <f t="shared" si="12"/>
        <v>4221</v>
      </c>
      <c r="BG40" s="26"/>
      <c r="BH40" s="41">
        <v>222</v>
      </c>
      <c r="BI40" s="41">
        <v>139</v>
      </c>
      <c r="BJ40" s="41">
        <v>177</v>
      </c>
      <c r="BK40" s="41">
        <v>122</v>
      </c>
      <c r="BL40" s="41">
        <v>147</v>
      </c>
      <c r="BM40" s="41">
        <v>283</v>
      </c>
      <c r="BN40" s="41">
        <v>434</v>
      </c>
      <c r="BO40" s="41">
        <v>308</v>
      </c>
      <c r="BP40" s="41">
        <v>254</v>
      </c>
      <c r="BQ40" s="41">
        <v>411</v>
      </c>
      <c r="BR40" s="41">
        <v>314</v>
      </c>
      <c r="BS40" s="41">
        <v>164</v>
      </c>
      <c r="BT40" s="38">
        <f t="shared" si="13"/>
        <v>2975</v>
      </c>
      <c r="BU40" s="56">
        <v>361</v>
      </c>
      <c r="BV40" s="56">
        <v>259</v>
      </c>
      <c r="BW40" s="56">
        <v>294</v>
      </c>
      <c r="BX40" s="56">
        <v>330</v>
      </c>
      <c r="BY40" s="56">
        <v>340</v>
      </c>
      <c r="BZ40" s="56">
        <v>443</v>
      </c>
      <c r="CA40" s="56">
        <v>420</v>
      </c>
      <c r="CB40" s="56">
        <v>455</v>
      </c>
      <c r="CC40" s="56">
        <v>445</v>
      </c>
      <c r="CD40" s="56">
        <v>509</v>
      </c>
      <c r="CE40" s="56">
        <v>452</v>
      </c>
      <c r="CF40" s="56">
        <v>458</v>
      </c>
      <c r="CG40" s="61">
        <f t="shared" si="14"/>
        <v>4766</v>
      </c>
      <c r="CH40" s="57">
        <f t="shared" si="15"/>
        <v>7741</v>
      </c>
      <c r="CI40" s="26"/>
      <c r="CJ40" s="32">
        <v>98</v>
      </c>
      <c r="CK40" s="32">
        <v>32</v>
      </c>
      <c r="CL40" s="32">
        <v>64</v>
      </c>
      <c r="CM40" s="32">
        <v>149</v>
      </c>
      <c r="CN40" s="32">
        <v>122</v>
      </c>
      <c r="CO40" s="32">
        <v>159</v>
      </c>
      <c r="CP40" s="32">
        <v>183</v>
      </c>
      <c r="CQ40" s="32">
        <v>148</v>
      </c>
      <c r="CR40" s="32">
        <v>168</v>
      </c>
      <c r="CS40" s="32">
        <v>141</v>
      </c>
      <c r="CT40" s="32">
        <v>135</v>
      </c>
      <c r="CU40" s="69">
        <v>42</v>
      </c>
      <c r="CV40" s="38">
        <f t="shared" si="16"/>
        <v>1441</v>
      </c>
      <c r="CW40" s="45">
        <v>662</v>
      </c>
      <c r="CX40" s="45">
        <v>657</v>
      </c>
      <c r="CY40" s="45">
        <v>633</v>
      </c>
      <c r="CZ40" s="45">
        <v>557</v>
      </c>
      <c r="DA40" s="45">
        <v>711</v>
      </c>
      <c r="DB40" s="45">
        <v>689</v>
      </c>
      <c r="DC40" s="45">
        <v>936</v>
      </c>
      <c r="DD40" s="45">
        <v>613</v>
      </c>
      <c r="DE40" s="45">
        <v>674</v>
      </c>
      <c r="DF40" s="45">
        <v>631</v>
      </c>
      <c r="DG40" s="45">
        <v>652</v>
      </c>
      <c r="DH40" s="45">
        <v>637</v>
      </c>
      <c r="DI40" s="38">
        <f t="shared" si="0"/>
        <v>8052</v>
      </c>
      <c r="DJ40" s="36">
        <f t="shared" si="17"/>
        <v>9493</v>
      </c>
      <c r="DK40" s="26"/>
      <c r="DL40" s="75">
        <v>32</v>
      </c>
      <c r="DM40" s="75">
        <v>15</v>
      </c>
      <c r="DN40" s="75">
        <v>42</v>
      </c>
      <c r="DO40" s="75">
        <v>47</v>
      </c>
      <c r="DP40" s="75">
        <v>39</v>
      </c>
      <c r="DQ40" s="75">
        <v>53</v>
      </c>
      <c r="DR40" s="75">
        <v>49</v>
      </c>
      <c r="DS40" s="75">
        <v>59</v>
      </c>
      <c r="DT40" s="75">
        <v>47</v>
      </c>
      <c r="DU40" s="75">
        <v>32</v>
      </c>
      <c r="DV40" s="75">
        <v>54</v>
      </c>
      <c r="DW40" s="83">
        <v>46</v>
      </c>
      <c r="DX40" s="38">
        <f t="shared" si="1"/>
        <v>515</v>
      </c>
      <c r="DY40" s="65">
        <v>669</v>
      </c>
      <c r="DZ40" s="65">
        <v>435</v>
      </c>
      <c r="EA40" s="65">
        <v>451</v>
      </c>
      <c r="EB40" s="65">
        <v>528</v>
      </c>
      <c r="EC40" s="65">
        <v>759</v>
      </c>
      <c r="ED40" s="65">
        <v>583</v>
      </c>
      <c r="EE40" s="65">
        <v>727</v>
      </c>
      <c r="EF40" s="65">
        <v>648</v>
      </c>
      <c r="EG40" s="65">
        <v>590</v>
      </c>
      <c r="EH40" s="65">
        <v>532</v>
      </c>
      <c r="EI40" s="65">
        <v>560</v>
      </c>
      <c r="EJ40" s="65">
        <v>425</v>
      </c>
      <c r="EK40" s="38">
        <f t="shared" si="18"/>
        <v>6907</v>
      </c>
      <c r="EL40" s="36">
        <f t="shared" si="19"/>
        <v>7422</v>
      </c>
      <c r="EM40" s="26"/>
      <c r="EN40" s="101">
        <v>1161</v>
      </c>
      <c r="EO40" s="101">
        <v>645</v>
      </c>
      <c r="EP40" s="101">
        <v>688</v>
      </c>
      <c r="EQ40" s="101">
        <v>665</v>
      </c>
      <c r="ER40" s="101">
        <v>737</v>
      </c>
      <c r="ES40" s="101">
        <v>768</v>
      </c>
      <c r="ET40" s="101">
        <v>954</v>
      </c>
      <c r="EU40" s="101">
        <v>837</v>
      </c>
      <c r="EV40" s="101">
        <v>721</v>
      </c>
      <c r="EW40" s="101">
        <v>737</v>
      </c>
      <c r="EX40" s="101">
        <v>583</v>
      </c>
      <c r="EY40" s="101">
        <v>507</v>
      </c>
      <c r="EZ40" s="38">
        <f t="shared" si="2"/>
        <v>9003</v>
      </c>
      <c r="FA40" s="26"/>
      <c r="FB40" s="54">
        <v>458</v>
      </c>
      <c r="FC40" s="54">
        <v>295</v>
      </c>
      <c r="FD40" s="54">
        <v>378</v>
      </c>
      <c r="FE40" s="54">
        <v>348</v>
      </c>
      <c r="FF40" s="54">
        <v>344</v>
      </c>
      <c r="FG40" s="54">
        <v>452</v>
      </c>
      <c r="FH40" s="54">
        <v>547</v>
      </c>
      <c r="FI40" s="54">
        <v>518</v>
      </c>
      <c r="FJ40" s="54">
        <v>529</v>
      </c>
      <c r="FK40" s="54">
        <v>563</v>
      </c>
      <c r="FL40" s="54">
        <v>470</v>
      </c>
      <c r="FM40" s="54">
        <v>490</v>
      </c>
      <c r="FN40" s="38">
        <f t="shared" si="20"/>
        <v>5392</v>
      </c>
      <c r="FO40" s="26"/>
      <c r="FP40" s="32">
        <v>479</v>
      </c>
      <c r="FQ40" s="32">
        <v>251</v>
      </c>
      <c r="FR40" s="32">
        <v>281</v>
      </c>
      <c r="FS40" s="32">
        <v>264</v>
      </c>
      <c r="FT40" s="32">
        <v>306</v>
      </c>
      <c r="FU40" s="32">
        <v>364</v>
      </c>
      <c r="FV40" s="32">
        <v>327</v>
      </c>
      <c r="FW40" s="32">
        <v>356</v>
      </c>
      <c r="FX40" s="32">
        <v>362</v>
      </c>
      <c r="FY40" s="32">
        <v>344</v>
      </c>
      <c r="FZ40" s="32">
        <v>227</v>
      </c>
      <c r="GA40" s="32">
        <v>289</v>
      </c>
      <c r="GB40" s="38">
        <f t="shared" si="21"/>
        <v>3850</v>
      </c>
      <c r="GC40" s="26"/>
      <c r="GD40" s="101">
        <v>290</v>
      </c>
      <c r="GE40" s="101">
        <v>158</v>
      </c>
      <c r="GF40" s="101">
        <v>105</v>
      </c>
      <c r="GG40" s="101">
        <v>156</v>
      </c>
      <c r="GH40" s="101">
        <v>177</v>
      </c>
      <c r="GI40" s="101">
        <v>200</v>
      </c>
      <c r="GJ40" s="101">
        <v>120</v>
      </c>
      <c r="GK40" s="101">
        <v>154</v>
      </c>
      <c r="GL40" s="101">
        <v>157</v>
      </c>
      <c r="GM40" s="101">
        <v>243</v>
      </c>
      <c r="GN40" s="101">
        <v>203</v>
      </c>
      <c r="GO40" s="101">
        <v>183</v>
      </c>
      <c r="GP40" s="38">
        <f t="shared" si="22"/>
        <v>2146</v>
      </c>
      <c r="GQ40" s="26"/>
      <c r="GR40" s="32">
        <v>17</v>
      </c>
      <c r="GS40" s="32">
        <v>11</v>
      </c>
      <c r="GT40" s="32">
        <v>14</v>
      </c>
      <c r="GU40" s="32">
        <v>13</v>
      </c>
      <c r="GV40" s="32">
        <v>9</v>
      </c>
      <c r="GW40" s="32">
        <v>19</v>
      </c>
      <c r="GX40" s="32">
        <v>13</v>
      </c>
      <c r="GY40" s="32">
        <v>18</v>
      </c>
      <c r="GZ40" s="32">
        <v>21</v>
      </c>
      <c r="HA40" s="32">
        <v>15</v>
      </c>
      <c r="HB40" s="32">
        <v>13</v>
      </c>
      <c r="HC40" s="32">
        <v>11</v>
      </c>
      <c r="HD40" s="38">
        <f t="shared" si="23"/>
        <v>174</v>
      </c>
      <c r="HE40" s="26"/>
      <c r="HF40" s="45">
        <v>811</v>
      </c>
      <c r="HG40" s="45">
        <v>798</v>
      </c>
      <c r="HH40" s="45">
        <v>657</v>
      </c>
      <c r="HI40" s="45">
        <v>770</v>
      </c>
      <c r="HJ40" s="45">
        <v>866</v>
      </c>
      <c r="HK40" s="45">
        <v>1147</v>
      </c>
      <c r="HL40" s="45">
        <v>940</v>
      </c>
      <c r="HM40" s="45">
        <v>949</v>
      </c>
      <c r="HN40" s="45">
        <v>866</v>
      </c>
      <c r="HO40" s="45">
        <v>964</v>
      </c>
      <c r="HP40" s="45">
        <v>668</v>
      </c>
      <c r="HQ40" s="45">
        <v>568</v>
      </c>
      <c r="HR40" s="38">
        <f t="shared" si="24"/>
        <v>10004</v>
      </c>
      <c r="HS40" s="26"/>
      <c r="HT40" s="32">
        <v>235</v>
      </c>
      <c r="HU40" s="32">
        <v>121</v>
      </c>
      <c r="HV40" s="32">
        <v>109</v>
      </c>
      <c r="HW40" s="32">
        <v>151</v>
      </c>
      <c r="HX40" s="32">
        <v>147</v>
      </c>
      <c r="HY40" s="32">
        <v>237</v>
      </c>
      <c r="HZ40" s="32">
        <v>195</v>
      </c>
      <c r="IA40" s="32">
        <v>142</v>
      </c>
      <c r="IB40" s="32">
        <v>156</v>
      </c>
      <c r="IC40" s="32">
        <v>192</v>
      </c>
      <c r="ID40" s="32">
        <v>163</v>
      </c>
      <c r="IE40" s="32">
        <v>151</v>
      </c>
      <c r="IF40" s="38">
        <f t="shared" si="3"/>
        <v>1999</v>
      </c>
      <c r="IG40" s="104">
        <v>287</v>
      </c>
      <c r="IH40" s="104">
        <v>215</v>
      </c>
      <c r="II40" s="104">
        <v>208</v>
      </c>
      <c r="IJ40" s="104">
        <v>210</v>
      </c>
      <c r="IK40" s="104">
        <v>245</v>
      </c>
      <c r="IL40" s="104">
        <v>435</v>
      </c>
      <c r="IM40" s="104">
        <v>434</v>
      </c>
      <c r="IN40" s="104">
        <v>315</v>
      </c>
      <c r="IO40" s="104">
        <v>354</v>
      </c>
      <c r="IP40" s="104">
        <v>279</v>
      </c>
      <c r="IQ40" s="104">
        <v>317</v>
      </c>
      <c r="IR40" s="104">
        <v>204</v>
      </c>
      <c r="IS40" s="38">
        <f t="shared" si="25"/>
        <v>3503</v>
      </c>
      <c r="IT40" s="36">
        <f t="shared" si="26"/>
        <v>5502</v>
      </c>
      <c r="IU40" s="26"/>
      <c r="IV40" s="32">
        <v>288</v>
      </c>
      <c r="IW40" s="32">
        <v>168</v>
      </c>
      <c r="IX40" s="32">
        <v>247</v>
      </c>
      <c r="IY40" s="32">
        <v>218</v>
      </c>
      <c r="IZ40" s="32">
        <v>253</v>
      </c>
      <c r="JA40" s="32">
        <v>309</v>
      </c>
      <c r="JB40" s="32">
        <v>249</v>
      </c>
      <c r="JC40" s="32">
        <v>231</v>
      </c>
      <c r="JD40" s="32">
        <v>345</v>
      </c>
      <c r="JE40" s="32">
        <v>360</v>
      </c>
      <c r="JF40" s="32">
        <v>323</v>
      </c>
      <c r="JG40" s="32">
        <v>345</v>
      </c>
      <c r="JH40" s="38">
        <f t="shared" si="27"/>
        <v>3336</v>
      </c>
      <c r="JI40" s="97">
        <v>665</v>
      </c>
      <c r="JJ40" s="97">
        <v>410.40000000000003</v>
      </c>
      <c r="JK40" s="97">
        <v>419.6</v>
      </c>
      <c r="JL40" s="97">
        <v>305.60000000000002</v>
      </c>
      <c r="JM40" s="97">
        <v>334</v>
      </c>
      <c r="JN40" s="97">
        <v>440.8</v>
      </c>
      <c r="JO40" s="97">
        <v>421.40000000000003</v>
      </c>
      <c r="JP40" s="97">
        <v>347.8</v>
      </c>
      <c r="JQ40" s="97">
        <v>432</v>
      </c>
      <c r="JR40" s="97">
        <v>453.8</v>
      </c>
      <c r="JS40" s="97">
        <v>387.20000000000005</v>
      </c>
      <c r="JT40" s="97">
        <v>290.8</v>
      </c>
      <c r="JU40" s="112">
        <f t="shared" si="4"/>
        <v>4908.4000000000005</v>
      </c>
      <c r="JV40" s="36">
        <f t="shared" si="28"/>
        <v>8244.4000000000015</v>
      </c>
      <c r="JW40" s="26"/>
      <c r="JX40" s="93">
        <v>92</v>
      </c>
      <c r="JY40" s="93">
        <v>69</v>
      </c>
      <c r="JZ40" s="93">
        <v>91</v>
      </c>
      <c r="KA40" s="93">
        <v>60</v>
      </c>
      <c r="KB40" s="93">
        <v>41</v>
      </c>
      <c r="KC40" s="93">
        <v>110</v>
      </c>
      <c r="KD40" s="93">
        <v>94</v>
      </c>
      <c r="KE40" s="93">
        <v>97</v>
      </c>
      <c r="KF40" s="93">
        <v>71</v>
      </c>
      <c r="KG40" s="93">
        <v>101</v>
      </c>
      <c r="KH40" s="93">
        <v>89</v>
      </c>
      <c r="KI40" s="93">
        <v>86</v>
      </c>
      <c r="KJ40" s="38">
        <f t="shared" si="29"/>
        <v>1001</v>
      </c>
      <c r="KK40" s="114">
        <v>458</v>
      </c>
      <c r="KL40" s="114">
        <v>369</v>
      </c>
      <c r="KM40" s="114">
        <v>512</v>
      </c>
      <c r="KN40" s="114">
        <v>389</v>
      </c>
      <c r="KO40" s="114">
        <v>554</v>
      </c>
      <c r="KP40" s="114">
        <v>539</v>
      </c>
      <c r="KQ40" s="114">
        <v>590</v>
      </c>
      <c r="KR40" s="114">
        <v>660</v>
      </c>
      <c r="KS40" s="114">
        <v>614</v>
      </c>
      <c r="KT40" s="114">
        <v>521</v>
      </c>
      <c r="KU40" s="114">
        <v>635</v>
      </c>
      <c r="KV40" s="114">
        <v>458</v>
      </c>
      <c r="KW40" s="38">
        <f t="shared" si="5"/>
        <v>6299</v>
      </c>
      <c r="KX40" s="36">
        <f t="shared" si="30"/>
        <v>7300</v>
      </c>
      <c r="KY40" s="26"/>
      <c r="KZ40" s="101">
        <v>430</v>
      </c>
      <c r="LA40" s="101">
        <v>293</v>
      </c>
      <c r="LB40" s="101">
        <v>367</v>
      </c>
      <c r="LC40" s="101">
        <v>447</v>
      </c>
      <c r="LD40" s="101">
        <v>362</v>
      </c>
      <c r="LE40" s="101">
        <v>526</v>
      </c>
      <c r="LF40" s="101">
        <v>441</v>
      </c>
      <c r="LG40" s="101">
        <v>405</v>
      </c>
      <c r="LH40" s="101">
        <v>413</v>
      </c>
      <c r="LI40" s="101">
        <v>422</v>
      </c>
      <c r="LJ40" s="101">
        <v>436</v>
      </c>
      <c r="LK40" s="101">
        <v>404</v>
      </c>
      <c r="LL40" s="38">
        <f t="shared" si="6"/>
        <v>4946</v>
      </c>
      <c r="LM40" s="26"/>
      <c r="LN40" s="71">
        <v>581</v>
      </c>
      <c r="LO40" s="71">
        <v>470</v>
      </c>
      <c r="LP40" s="71">
        <v>582</v>
      </c>
      <c r="LQ40" s="71">
        <v>427</v>
      </c>
      <c r="LR40" s="71">
        <v>574</v>
      </c>
      <c r="LS40" s="71">
        <v>621</v>
      </c>
      <c r="LT40" s="71">
        <v>690</v>
      </c>
      <c r="LU40" s="45">
        <v>669</v>
      </c>
      <c r="LV40" s="45">
        <v>682</v>
      </c>
      <c r="LW40" s="45">
        <v>646</v>
      </c>
      <c r="LX40" s="45">
        <v>618</v>
      </c>
      <c r="LY40" s="45">
        <v>619</v>
      </c>
      <c r="LZ40" s="38">
        <f t="shared" si="31"/>
        <v>7179</v>
      </c>
      <c r="MA40" s="26"/>
      <c r="MB40" s="45">
        <v>2148</v>
      </c>
      <c r="MC40" s="45">
        <v>1664</v>
      </c>
      <c r="MD40" s="45">
        <v>2198</v>
      </c>
      <c r="ME40" s="45">
        <v>2170</v>
      </c>
      <c r="MF40" s="45">
        <v>2210</v>
      </c>
      <c r="MG40" s="45">
        <v>1669</v>
      </c>
      <c r="MH40" s="45">
        <v>2269</v>
      </c>
      <c r="MI40" s="45">
        <v>2760</v>
      </c>
      <c r="MJ40" s="45">
        <v>2277</v>
      </c>
      <c r="MK40" s="45">
        <v>2242</v>
      </c>
      <c r="ML40" s="45">
        <v>2589</v>
      </c>
      <c r="MM40" s="45">
        <v>1832</v>
      </c>
      <c r="MN40" s="38">
        <f t="shared" si="32"/>
        <v>26028</v>
      </c>
      <c r="MO40" s="32">
        <v>290</v>
      </c>
      <c r="MP40" s="32">
        <v>262</v>
      </c>
      <c r="MQ40" s="32">
        <v>296</v>
      </c>
      <c r="MR40" s="32">
        <v>214</v>
      </c>
      <c r="MS40" s="32">
        <v>238</v>
      </c>
      <c r="MT40" s="32">
        <v>346</v>
      </c>
      <c r="MU40" s="32">
        <v>219</v>
      </c>
      <c r="MV40" s="32">
        <v>350</v>
      </c>
      <c r="MW40" s="32">
        <v>414</v>
      </c>
      <c r="MX40" s="32">
        <v>504</v>
      </c>
      <c r="MY40" s="32">
        <v>341</v>
      </c>
      <c r="MZ40" s="32">
        <v>445</v>
      </c>
      <c r="NA40" s="38">
        <f t="shared" si="33"/>
        <v>3919</v>
      </c>
      <c r="NB40" s="36">
        <f t="shared" si="34"/>
        <v>29947</v>
      </c>
      <c r="NC40" s="26"/>
      <c r="ND40" s="101">
        <v>267</v>
      </c>
      <c r="NE40" s="101">
        <v>113</v>
      </c>
      <c r="NF40" s="101">
        <v>127</v>
      </c>
      <c r="NG40" s="101">
        <v>94</v>
      </c>
      <c r="NH40" s="101">
        <v>133</v>
      </c>
      <c r="NI40" s="101">
        <v>194</v>
      </c>
      <c r="NJ40" s="101">
        <v>148</v>
      </c>
      <c r="NK40" s="101">
        <v>188</v>
      </c>
      <c r="NL40" s="101">
        <v>157</v>
      </c>
      <c r="NM40" s="101">
        <v>186</v>
      </c>
      <c r="NN40" s="101">
        <v>133</v>
      </c>
      <c r="NO40" s="101">
        <v>133</v>
      </c>
      <c r="NP40" s="38">
        <f t="shared" si="35"/>
        <v>1873</v>
      </c>
      <c r="NQ40" s="36">
        <f t="shared" si="36"/>
        <v>22600</v>
      </c>
      <c r="NR40" s="36">
        <f t="shared" si="37"/>
        <v>105993</v>
      </c>
      <c r="NS40" s="36">
        <f t="shared" si="38"/>
        <v>34417.4</v>
      </c>
      <c r="NT40" s="36">
        <f t="shared" si="39"/>
        <v>163010.4</v>
      </c>
      <c r="NU40" s="18"/>
      <c r="NV40" s="18"/>
      <c r="NW40" s="18"/>
      <c r="NX40" s="19"/>
      <c r="NY40" s="19"/>
      <c r="NZ40" s="19"/>
      <c r="OA40" s="19"/>
      <c r="OB40" s="19"/>
      <c r="OC40" s="19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8"/>
      <c r="OR40" s="18"/>
      <c r="OS40" s="18"/>
      <c r="OT40" s="18"/>
      <c r="OU40" s="18"/>
      <c r="OV40" s="18"/>
      <c r="OW40" s="18"/>
      <c r="OX40" s="19"/>
      <c r="OY40" s="19"/>
      <c r="OZ40" s="19"/>
      <c r="PA40" s="19"/>
      <c r="PB40" s="19"/>
      <c r="PC40" s="19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8"/>
      <c r="PR40" s="18"/>
      <c r="PS40" s="18"/>
      <c r="PT40" s="18"/>
      <c r="PU40" s="18"/>
      <c r="PV40" s="18"/>
      <c r="PW40" s="18"/>
      <c r="PX40" s="19"/>
      <c r="PY40" s="19"/>
      <c r="PZ40" s="19"/>
      <c r="QA40" s="19"/>
      <c r="QB40" s="19"/>
      <c r="QC40" s="19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</row>
    <row r="41" spans="1:458" s="1" customFormat="1" ht="50.1" customHeight="1" x14ac:dyDescent="0.25">
      <c r="A41" s="120"/>
      <c r="B41" s="6" t="s">
        <v>18</v>
      </c>
      <c r="C41" s="23"/>
      <c r="D41" s="41">
        <v>94</v>
      </c>
      <c r="E41" s="41">
        <v>27</v>
      </c>
      <c r="F41" s="41">
        <v>42</v>
      </c>
      <c r="G41" s="41">
        <v>36</v>
      </c>
      <c r="H41" s="41">
        <v>82</v>
      </c>
      <c r="I41" s="41">
        <v>74</v>
      </c>
      <c r="J41" s="41">
        <v>63</v>
      </c>
      <c r="K41" s="41">
        <v>73</v>
      </c>
      <c r="L41" s="41">
        <v>64</v>
      </c>
      <c r="M41" s="41">
        <v>63</v>
      </c>
      <c r="N41" s="41">
        <v>91</v>
      </c>
      <c r="O41" s="41">
        <v>69</v>
      </c>
      <c r="P41" s="38">
        <f t="shared" si="7"/>
        <v>778</v>
      </c>
      <c r="Q41" s="49">
        <v>1574</v>
      </c>
      <c r="R41" s="49">
        <v>547</v>
      </c>
      <c r="S41" s="49">
        <v>311</v>
      </c>
      <c r="T41" s="49">
        <v>274</v>
      </c>
      <c r="U41" s="49">
        <v>304</v>
      </c>
      <c r="V41" s="49">
        <v>1125</v>
      </c>
      <c r="W41" s="49">
        <v>1144</v>
      </c>
      <c r="X41" s="49">
        <v>749</v>
      </c>
      <c r="Y41" s="49">
        <v>615</v>
      </c>
      <c r="Z41" s="49">
        <v>715</v>
      </c>
      <c r="AA41" s="49">
        <v>420</v>
      </c>
      <c r="AB41" s="49">
        <v>895</v>
      </c>
      <c r="AC41" s="38">
        <f t="shared" si="8"/>
        <v>8673</v>
      </c>
      <c r="AD41" s="36">
        <f t="shared" si="9"/>
        <v>9451</v>
      </c>
      <c r="AE41" s="26"/>
      <c r="AF41" s="32">
        <v>25</v>
      </c>
      <c r="AG41" s="32">
        <v>5</v>
      </c>
      <c r="AH41" s="32">
        <v>0</v>
      </c>
      <c r="AI41" s="32">
        <v>0</v>
      </c>
      <c r="AJ41" s="32">
        <v>2</v>
      </c>
      <c r="AK41" s="32">
        <v>0</v>
      </c>
      <c r="AL41" s="32">
        <v>6</v>
      </c>
      <c r="AM41" s="32">
        <v>3</v>
      </c>
      <c r="AN41" s="32">
        <v>2</v>
      </c>
      <c r="AO41" s="32">
        <v>4</v>
      </c>
      <c r="AP41" s="32">
        <v>15</v>
      </c>
      <c r="AQ41" s="32">
        <v>9</v>
      </c>
      <c r="AR41" s="38">
        <f t="shared" si="10"/>
        <v>71</v>
      </c>
      <c r="AS41" s="32">
        <v>50</v>
      </c>
      <c r="AT41" s="32">
        <v>37</v>
      </c>
      <c r="AU41" s="32">
        <v>32</v>
      </c>
      <c r="AV41" s="32">
        <v>37</v>
      </c>
      <c r="AW41" s="32">
        <v>71</v>
      </c>
      <c r="AX41" s="32">
        <v>59</v>
      </c>
      <c r="AY41" s="32">
        <v>95</v>
      </c>
      <c r="AZ41" s="32">
        <v>45</v>
      </c>
      <c r="BA41" s="32">
        <v>39</v>
      </c>
      <c r="BB41" s="32">
        <v>29</v>
      </c>
      <c r="BC41" s="32">
        <v>40</v>
      </c>
      <c r="BD41" s="32">
        <v>24</v>
      </c>
      <c r="BE41" s="38">
        <f t="shared" si="11"/>
        <v>558</v>
      </c>
      <c r="BF41" s="36">
        <f t="shared" si="12"/>
        <v>629</v>
      </c>
      <c r="BG41" s="26"/>
      <c r="BH41" s="41">
        <v>28</v>
      </c>
      <c r="BI41" s="41">
        <v>21</v>
      </c>
      <c r="BJ41" s="41">
        <v>17</v>
      </c>
      <c r="BK41" s="41">
        <v>4</v>
      </c>
      <c r="BL41" s="41">
        <v>27</v>
      </c>
      <c r="BM41" s="41">
        <v>17</v>
      </c>
      <c r="BN41" s="41">
        <v>15</v>
      </c>
      <c r="BO41" s="41">
        <v>8</v>
      </c>
      <c r="BP41" s="41">
        <v>1</v>
      </c>
      <c r="BQ41" s="41">
        <v>16</v>
      </c>
      <c r="BR41" s="41">
        <v>9</v>
      </c>
      <c r="BS41" s="41">
        <v>7</v>
      </c>
      <c r="BT41" s="38">
        <f t="shared" si="13"/>
        <v>170</v>
      </c>
      <c r="BU41" s="56">
        <v>38</v>
      </c>
      <c r="BV41" s="56">
        <v>13</v>
      </c>
      <c r="BW41" s="56">
        <v>17</v>
      </c>
      <c r="BX41" s="56">
        <v>16</v>
      </c>
      <c r="BY41" s="56">
        <v>26</v>
      </c>
      <c r="BZ41" s="56">
        <v>27</v>
      </c>
      <c r="CA41" s="56">
        <v>17</v>
      </c>
      <c r="CB41" s="56">
        <v>20</v>
      </c>
      <c r="CC41" s="56">
        <v>13</v>
      </c>
      <c r="CD41" s="56">
        <v>31</v>
      </c>
      <c r="CE41" s="56">
        <v>29</v>
      </c>
      <c r="CF41" s="56">
        <v>56</v>
      </c>
      <c r="CG41" s="61">
        <f t="shared" si="14"/>
        <v>303</v>
      </c>
      <c r="CH41" s="57">
        <f t="shared" si="15"/>
        <v>473</v>
      </c>
      <c r="CI41" s="26"/>
      <c r="CJ41" s="32">
        <v>33</v>
      </c>
      <c r="CK41" s="32">
        <v>17</v>
      </c>
      <c r="CL41" s="32">
        <v>17</v>
      </c>
      <c r="CM41" s="32">
        <v>7</v>
      </c>
      <c r="CN41" s="32">
        <v>10</v>
      </c>
      <c r="CO41" s="32">
        <v>24</v>
      </c>
      <c r="CP41" s="32">
        <v>14</v>
      </c>
      <c r="CQ41" s="32">
        <v>0</v>
      </c>
      <c r="CR41" s="32">
        <v>8</v>
      </c>
      <c r="CS41" s="32">
        <v>8</v>
      </c>
      <c r="CT41" s="32">
        <v>10</v>
      </c>
      <c r="CU41" s="69">
        <v>2</v>
      </c>
      <c r="CV41" s="38">
        <f t="shared" si="16"/>
        <v>150</v>
      </c>
      <c r="CW41" s="45">
        <v>70</v>
      </c>
      <c r="CX41" s="45">
        <v>61</v>
      </c>
      <c r="CY41" s="45">
        <v>61</v>
      </c>
      <c r="CZ41" s="45">
        <v>64</v>
      </c>
      <c r="DA41" s="45">
        <v>90</v>
      </c>
      <c r="DB41" s="45">
        <v>97</v>
      </c>
      <c r="DC41" s="45">
        <v>108</v>
      </c>
      <c r="DD41" s="45">
        <v>108</v>
      </c>
      <c r="DE41" s="45">
        <v>78</v>
      </c>
      <c r="DF41" s="45">
        <v>77</v>
      </c>
      <c r="DG41" s="45">
        <v>57</v>
      </c>
      <c r="DH41" s="45">
        <v>65</v>
      </c>
      <c r="DI41" s="38">
        <f t="shared" si="0"/>
        <v>936</v>
      </c>
      <c r="DJ41" s="36">
        <f t="shared" si="17"/>
        <v>1086</v>
      </c>
      <c r="DK41" s="26"/>
      <c r="DL41" s="75">
        <v>5</v>
      </c>
      <c r="DM41" s="75">
        <v>8</v>
      </c>
      <c r="DN41" s="75">
        <v>0</v>
      </c>
      <c r="DO41" s="75">
        <v>4</v>
      </c>
      <c r="DP41" s="75">
        <v>2</v>
      </c>
      <c r="DQ41" s="75">
        <v>0</v>
      </c>
      <c r="DR41" s="75">
        <v>0</v>
      </c>
      <c r="DS41" s="75">
        <v>0</v>
      </c>
      <c r="DT41" s="75">
        <v>0</v>
      </c>
      <c r="DU41" s="75">
        <v>61</v>
      </c>
      <c r="DV41" s="75">
        <v>0</v>
      </c>
      <c r="DW41" s="83">
        <v>0</v>
      </c>
      <c r="DX41" s="38">
        <f t="shared" si="1"/>
        <v>80</v>
      </c>
      <c r="DY41" s="65">
        <v>49</v>
      </c>
      <c r="DZ41" s="65">
        <v>25</v>
      </c>
      <c r="EA41" s="65">
        <v>10</v>
      </c>
      <c r="EB41" s="65">
        <v>9</v>
      </c>
      <c r="EC41" s="65">
        <v>41</v>
      </c>
      <c r="ED41" s="65">
        <v>28</v>
      </c>
      <c r="EE41" s="65">
        <v>31</v>
      </c>
      <c r="EF41" s="65">
        <v>51</v>
      </c>
      <c r="EG41" s="65">
        <v>48</v>
      </c>
      <c r="EH41" s="65">
        <v>32</v>
      </c>
      <c r="EI41" s="65">
        <v>17</v>
      </c>
      <c r="EJ41" s="65">
        <v>21</v>
      </c>
      <c r="EK41" s="38">
        <f t="shared" si="18"/>
        <v>362</v>
      </c>
      <c r="EL41" s="36">
        <f t="shared" si="19"/>
        <v>442</v>
      </c>
      <c r="EM41" s="26"/>
      <c r="EN41" s="101">
        <v>38</v>
      </c>
      <c r="EO41" s="101">
        <v>11</v>
      </c>
      <c r="EP41" s="101">
        <v>23</v>
      </c>
      <c r="EQ41" s="101">
        <v>15</v>
      </c>
      <c r="ER41" s="101">
        <v>37</v>
      </c>
      <c r="ES41" s="101">
        <v>34</v>
      </c>
      <c r="ET41" s="101">
        <v>41</v>
      </c>
      <c r="EU41" s="101">
        <v>22</v>
      </c>
      <c r="EV41" s="101">
        <v>38</v>
      </c>
      <c r="EW41" s="101">
        <v>30</v>
      </c>
      <c r="EX41" s="101">
        <v>16</v>
      </c>
      <c r="EY41" s="101">
        <v>19</v>
      </c>
      <c r="EZ41" s="38">
        <f t="shared" si="2"/>
        <v>324</v>
      </c>
      <c r="FA41" s="26"/>
      <c r="FB41" s="54">
        <v>126</v>
      </c>
      <c r="FC41" s="54">
        <v>55</v>
      </c>
      <c r="FD41" s="54">
        <v>58</v>
      </c>
      <c r="FE41" s="54">
        <v>82</v>
      </c>
      <c r="FF41" s="54">
        <v>69</v>
      </c>
      <c r="FG41" s="54">
        <v>81</v>
      </c>
      <c r="FH41" s="54">
        <v>90</v>
      </c>
      <c r="FI41" s="54">
        <v>39</v>
      </c>
      <c r="FJ41" s="54">
        <v>31</v>
      </c>
      <c r="FK41" s="54">
        <v>62</v>
      </c>
      <c r="FL41" s="54">
        <v>50</v>
      </c>
      <c r="FM41" s="54">
        <v>73</v>
      </c>
      <c r="FN41" s="38">
        <f t="shared" si="20"/>
        <v>816</v>
      </c>
      <c r="FO41" s="26"/>
      <c r="FP41" s="32">
        <v>21</v>
      </c>
      <c r="FQ41" s="32">
        <v>15</v>
      </c>
      <c r="FR41" s="32">
        <v>20</v>
      </c>
      <c r="FS41" s="32">
        <v>26</v>
      </c>
      <c r="FT41" s="32">
        <v>8</v>
      </c>
      <c r="FU41" s="32">
        <v>15</v>
      </c>
      <c r="FV41" s="32">
        <v>11</v>
      </c>
      <c r="FW41" s="32">
        <v>8</v>
      </c>
      <c r="FX41" s="32">
        <v>4</v>
      </c>
      <c r="FY41" s="32">
        <v>8</v>
      </c>
      <c r="FZ41" s="32">
        <v>9</v>
      </c>
      <c r="GA41" s="32">
        <v>9</v>
      </c>
      <c r="GB41" s="38">
        <f t="shared" si="21"/>
        <v>154</v>
      </c>
      <c r="GC41" s="26"/>
      <c r="GD41" s="101">
        <v>68</v>
      </c>
      <c r="GE41" s="101">
        <v>47</v>
      </c>
      <c r="GF41" s="101">
        <v>44</v>
      </c>
      <c r="GG41" s="101">
        <v>53</v>
      </c>
      <c r="GH41" s="101">
        <v>74</v>
      </c>
      <c r="GI41" s="101">
        <v>80</v>
      </c>
      <c r="GJ41" s="101">
        <v>86</v>
      </c>
      <c r="GK41" s="101">
        <v>127</v>
      </c>
      <c r="GL41" s="101">
        <v>129</v>
      </c>
      <c r="GM41" s="101">
        <v>104</v>
      </c>
      <c r="GN41" s="101">
        <v>125</v>
      </c>
      <c r="GO41" s="101">
        <v>109</v>
      </c>
      <c r="GP41" s="38">
        <f t="shared" si="22"/>
        <v>1046</v>
      </c>
      <c r="GQ41" s="26"/>
      <c r="GR41" s="32">
        <v>6</v>
      </c>
      <c r="GS41" s="32">
        <v>3</v>
      </c>
      <c r="GT41" s="32">
        <v>5</v>
      </c>
      <c r="GU41" s="32">
        <v>2</v>
      </c>
      <c r="GV41" s="32">
        <v>11</v>
      </c>
      <c r="GW41" s="32">
        <v>7</v>
      </c>
      <c r="GX41" s="32">
        <v>6</v>
      </c>
      <c r="GY41" s="32">
        <v>5</v>
      </c>
      <c r="GZ41" s="32">
        <v>3</v>
      </c>
      <c r="HA41" s="32">
        <v>6</v>
      </c>
      <c r="HB41" s="32">
        <v>6</v>
      </c>
      <c r="HC41" s="32">
        <v>7</v>
      </c>
      <c r="HD41" s="38">
        <f t="shared" si="23"/>
        <v>67</v>
      </c>
      <c r="HE41" s="26"/>
      <c r="HF41" s="45">
        <v>150</v>
      </c>
      <c r="HG41" s="45">
        <v>128</v>
      </c>
      <c r="HH41" s="45">
        <v>111</v>
      </c>
      <c r="HI41" s="45">
        <v>101</v>
      </c>
      <c r="HJ41" s="45">
        <v>87</v>
      </c>
      <c r="HK41" s="45">
        <v>193</v>
      </c>
      <c r="HL41" s="45">
        <v>178</v>
      </c>
      <c r="HM41" s="45">
        <v>133</v>
      </c>
      <c r="HN41" s="45">
        <v>97</v>
      </c>
      <c r="HO41" s="45">
        <v>117</v>
      </c>
      <c r="HP41" s="45">
        <v>94</v>
      </c>
      <c r="HQ41" s="45">
        <v>50</v>
      </c>
      <c r="HR41" s="38">
        <f t="shared" si="24"/>
        <v>1439</v>
      </c>
      <c r="HS41" s="26"/>
      <c r="HT41" s="32">
        <v>8</v>
      </c>
      <c r="HU41" s="32">
        <v>4</v>
      </c>
      <c r="HV41" s="32">
        <v>9</v>
      </c>
      <c r="HW41" s="32">
        <v>8</v>
      </c>
      <c r="HX41" s="32">
        <v>3</v>
      </c>
      <c r="HY41" s="32">
        <v>8</v>
      </c>
      <c r="HZ41" s="32">
        <v>2</v>
      </c>
      <c r="IA41" s="32">
        <v>3</v>
      </c>
      <c r="IB41" s="32">
        <v>8</v>
      </c>
      <c r="IC41" s="32">
        <v>20</v>
      </c>
      <c r="ID41" s="32">
        <v>20</v>
      </c>
      <c r="IE41" s="32">
        <v>13</v>
      </c>
      <c r="IF41" s="38">
        <f t="shared" si="3"/>
        <v>106</v>
      </c>
      <c r="IG41" s="104">
        <v>101</v>
      </c>
      <c r="IH41" s="104">
        <v>35</v>
      </c>
      <c r="II41" s="104">
        <v>23</v>
      </c>
      <c r="IJ41" s="104">
        <v>25</v>
      </c>
      <c r="IK41" s="104">
        <v>30</v>
      </c>
      <c r="IL41" s="104">
        <v>34</v>
      </c>
      <c r="IM41" s="104">
        <v>37</v>
      </c>
      <c r="IN41" s="104">
        <v>44</v>
      </c>
      <c r="IO41" s="104">
        <v>59</v>
      </c>
      <c r="IP41" s="104">
        <v>25</v>
      </c>
      <c r="IQ41" s="104">
        <v>52</v>
      </c>
      <c r="IR41" s="104">
        <v>60</v>
      </c>
      <c r="IS41" s="38">
        <f t="shared" si="25"/>
        <v>525</v>
      </c>
      <c r="IT41" s="36">
        <f t="shared" si="26"/>
        <v>631</v>
      </c>
      <c r="IU41" s="26"/>
      <c r="IV41" s="32">
        <v>74</v>
      </c>
      <c r="IW41" s="32">
        <v>90</v>
      </c>
      <c r="IX41" s="32">
        <v>88</v>
      </c>
      <c r="IY41" s="32">
        <v>58</v>
      </c>
      <c r="IZ41" s="32">
        <v>35</v>
      </c>
      <c r="JA41" s="32">
        <v>48</v>
      </c>
      <c r="JB41" s="32">
        <v>43</v>
      </c>
      <c r="JC41" s="32">
        <v>121</v>
      </c>
      <c r="JD41" s="32">
        <v>101</v>
      </c>
      <c r="JE41" s="32">
        <v>79</v>
      </c>
      <c r="JF41" s="32">
        <v>81</v>
      </c>
      <c r="JG41" s="32">
        <v>101</v>
      </c>
      <c r="JH41" s="38">
        <f t="shared" si="27"/>
        <v>919</v>
      </c>
      <c r="JI41" s="97">
        <v>169</v>
      </c>
      <c r="JJ41" s="97">
        <v>165.60000000000002</v>
      </c>
      <c r="JK41" s="97">
        <v>135.20000000000002</v>
      </c>
      <c r="JL41" s="97">
        <v>198.4</v>
      </c>
      <c r="JM41" s="97">
        <v>196.8</v>
      </c>
      <c r="JN41" s="97">
        <v>201</v>
      </c>
      <c r="JO41" s="97">
        <v>204.20000000000002</v>
      </c>
      <c r="JP41" s="97">
        <v>207.4</v>
      </c>
      <c r="JQ41" s="97">
        <v>226.4</v>
      </c>
      <c r="JR41" s="97">
        <v>257.60000000000002</v>
      </c>
      <c r="JS41" s="97">
        <v>299.60000000000002</v>
      </c>
      <c r="JT41" s="97">
        <v>232.20000000000002</v>
      </c>
      <c r="JU41" s="112">
        <f t="shared" si="4"/>
        <v>2493.4</v>
      </c>
      <c r="JV41" s="36">
        <f t="shared" si="28"/>
        <v>3412.4</v>
      </c>
      <c r="JW41" s="26"/>
      <c r="JX41" s="93">
        <v>8</v>
      </c>
      <c r="JY41" s="93">
        <v>3</v>
      </c>
      <c r="JZ41" s="93">
        <v>1</v>
      </c>
      <c r="KA41" s="93">
        <v>4</v>
      </c>
      <c r="KB41" s="93">
        <v>8</v>
      </c>
      <c r="KC41" s="93">
        <v>3</v>
      </c>
      <c r="KD41" s="93">
        <v>1</v>
      </c>
      <c r="KE41" s="93">
        <v>2</v>
      </c>
      <c r="KF41" s="93">
        <v>2</v>
      </c>
      <c r="KG41" s="93">
        <v>1</v>
      </c>
      <c r="KH41" s="93">
        <v>2</v>
      </c>
      <c r="KI41" s="93">
        <v>3</v>
      </c>
      <c r="KJ41" s="38">
        <f t="shared" si="29"/>
        <v>38</v>
      </c>
      <c r="KK41" s="114">
        <v>28</v>
      </c>
      <c r="KL41" s="114">
        <v>19</v>
      </c>
      <c r="KM41" s="114">
        <v>18</v>
      </c>
      <c r="KN41" s="114">
        <v>10</v>
      </c>
      <c r="KO41" s="114">
        <v>55</v>
      </c>
      <c r="KP41" s="114">
        <v>69</v>
      </c>
      <c r="KQ41" s="114">
        <v>64</v>
      </c>
      <c r="KR41" s="114">
        <v>28</v>
      </c>
      <c r="KS41" s="114">
        <v>113</v>
      </c>
      <c r="KT41" s="114">
        <v>21</v>
      </c>
      <c r="KU41" s="114">
        <v>44</v>
      </c>
      <c r="KV41" s="114">
        <v>28</v>
      </c>
      <c r="KW41" s="38">
        <f t="shared" si="5"/>
        <v>497</v>
      </c>
      <c r="KX41" s="36">
        <f t="shared" si="30"/>
        <v>535</v>
      </c>
      <c r="KY41" s="26"/>
      <c r="KZ41" s="101">
        <v>33</v>
      </c>
      <c r="LA41" s="101">
        <v>40</v>
      </c>
      <c r="LB41" s="101">
        <v>33</v>
      </c>
      <c r="LC41" s="101">
        <v>63</v>
      </c>
      <c r="LD41" s="101">
        <v>30</v>
      </c>
      <c r="LE41" s="101">
        <v>18</v>
      </c>
      <c r="LF41" s="101">
        <v>28</v>
      </c>
      <c r="LG41" s="101">
        <v>31</v>
      </c>
      <c r="LH41" s="101">
        <v>19</v>
      </c>
      <c r="LI41" s="101">
        <v>13</v>
      </c>
      <c r="LJ41" s="101">
        <v>18</v>
      </c>
      <c r="LK41" s="101">
        <v>27</v>
      </c>
      <c r="LL41" s="38">
        <f t="shared" si="6"/>
        <v>353</v>
      </c>
      <c r="LM41" s="26"/>
      <c r="LN41" s="71">
        <v>47</v>
      </c>
      <c r="LO41" s="71">
        <v>45</v>
      </c>
      <c r="LP41" s="71">
        <v>48</v>
      </c>
      <c r="LQ41" s="71">
        <v>59</v>
      </c>
      <c r="LR41" s="71">
        <v>62</v>
      </c>
      <c r="LS41" s="71">
        <v>57</v>
      </c>
      <c r="LT41" s="71">
        <v>70</v>
      </c>
      <c r="LU41" s="45">
        <v>36</v>
      </c>
      <c r="LV41" s="45">
        <v>38</v>
      </c>
      <c r="LW41" s="45">
        <v>63</v>
      </c>
      <c r="LX41" s="45">
        <v>58</v>
      </c>
      <c r="LY41" s="45">
        <v>56</v>
      </c>
      <c r="LZ41" s="38">
        <f t="shared" si="31"/>
        <v>639</v>
      </c>
      <c r="MA41" s="26"/>
      <c r="MB41" s="45">
        <v>135</v>
      </c>
      <c r="MC41" s="45">
        <v>101</v>
      </c>
      <c r="MD41" s="45">
        <v>100</v>
      </c>
      <c r="ME41" s="45">
        <v>130</v>
      </c>
      <c r="MF41" s="45">
        <v>161</v>
      </c>
      <c r="MG41" s="45">
        <v>119</v>
      </c>
      <c r="MH41" s="45">
        <v>150</v>
      </c>
      <c r="MI41" s="45">
        <v>306</v>
      </c>
      <c r="MJ41" s="45">
        <v>147</v>
      </c>
      <c r="MK41" s="45">
        <v>202</v>
      </c>
      <c r="ML41" s="45">
        <v>252</v>
      </c>
      <c r="MM41" s="45">
        <v>146</v>
      </c>
      <c r="MN41" s="38">
        <f t="shared" si="32"/>
        <v>1949</v>
      </c>
      <c r="MO41" s="32">
        <v>218</v>
      </c>
      <c r="MP41" s="32">
        <v>106</v>
      </c>
      <c r="MQ41" s="32">
        <v>211</v>
      </c>
      <c r="MR41" s="32">
        <v>359</v>
      </c>
      <c r="MS41" s="32">
        <v>104</v>
      </c>
      <c r="MT41" s="32">
        <v>159</v>
      </c>
      <c r="MU41" s="32">
        <v>185</v>
      </c>
      <c r="MV41" s="32">
        <v>153</v>
      </c>
      <c r="MW41" s="32">
        <v>162</v>
      </c>
      <c r="MX41" s="32">
        <v>88</v>
      </c>
      <c r="MY41" s="32">
        <v>63</v>
      </c>
      <c r="MZ41" s="32">
        <v>135</v>
      </c>
      <c r="NA41" s="38">
        <f t="shared" si="33"/>
        <v>1943</v>
      </c>
      <c r="NB41" s="36">
        <f t="shared" si="34"/>
        <v>3892</v>
      </c>
      <c r="NC41" s="26"/>
      <c r="ND41" s="101">
        <v>58</v>
      </c>
      <c r="NE41" s="101">
        <v>9</v>
      </c>
      <c r="NF41" s="101">
        <v>19</v>
      </c>
      <c r="NG41" s="101">
        <v>17</v>
      </c>
      <c r="NH41" s="101">
        <v>6</v>
      </c>
      <c r="NI41" s="101">
        <v>38</v>
      </c>
      <c r="NJ41" s="101">
        <v>21</v>
      </c>
      <c r="NK41" s="101">
        <v>20</v>
      </c>
      <c r="NL41" s="101">
        <v>17</v>
      </c>
      <c r="NM41" s="101">
        <v>18</v>
      </c>
      <c r="NN41" s="101">
        <v>16</v>
      </c>
      <c r="NO41" s="101">
        <v>30</v>
      </c>
      <c r="NP41" s="38">
        <f t="shared" si="35"/>
        <v>269</v>
      </c>
      <c r="NQ41" s="36">
        <f t="shared" si="36"/>
        <v>1460</v>
      </c>
      <c r="NR41" s="36">
        <f t="shared" si="37"/>
        <v>11089</v>
      </c>
      <c r="NS41" s="36">
        <f t="shared" si="38"/>
        <v>13109.4</v>
      </c>
      <c r="NT41" s="36">
        <f t="shared" si="39"/>
        <v>25658.400000000001</v>
      </c>
      <c r="NU41" s="18"/>
      <c r="NV41" s="18"/>
      <c r="NW41" s="18"/>
      <c r="NX41" s="19"/>
      <c r="NY41" s="19"/>
      <c r="NZ41" s="19"/>
      <c r="OA41" s="19"/>
      <c r="OB41" s="19"/>
      <c r="OC41" s="19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8"/>
      <c r="OR41" s="18"/>
      <c r="OS41" s="18"/>
      <c r="OT41" s="18"/>
      <c r="OU41" s="18"/>
      <c r="OV41" s="18"/>
      <c r="OW41" s="18"/>
      <c r="OX41" s="19"/>
      <c r="OY41" s="19"/>
      <c r="OZ41" s="19"/>
      <c r="PA41" s="19"/>
      <c r="PB41" s="19"/>
      <c r="PC41" s="19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8"/>
      <c r="PR41" s="18"/>
      <c r="PS41" s="18"/>
      <c r="PT41" s="18"/>
      <c r="PU41" s="18"/>
      <c r="PV41" s="18"/>
      <c r="PW41" s="18"/>
      <c r="PX41" s="19"/>
      <c r="PY41" s="19"/>
      <c r="PZ41" s="19"/>
      <c r="QA41" s="19"/>
      <c r="QB41" s="19"/>
      <c r="QC41" s="19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</row>
    <row r="42" spans="1:458" s="1" customFormat="1" ht="50.1" customHeight="1" x14ac:dyDescent="0.25">
      <c r="A42" s="120"/>
      <c r="B42" s="6" t="s">
        <v>19</v>
      </c>
      <c r="C42" s="23"/>
      <c r="D42" s="41">
        <v>4</v>
      </c>
      <c r="E42" s="41">
        <v>2</v>
      </c>
      <c r="F42" s="41">
        <v>1</v>
      </c>
      <c r="G42" s="41">
        <v>2</v>
      </c>
      <c r="H42" s="41">
        <v>4</v>
      </c>
      <c r="I42" s="41">
        <v>1</v>
      </c>
      <c r="J42" s="41">
        <v>1</v>
      </c>
      <c r="K42" s="41">
        <v>2</v>
      </c>
      <c r="L42" s="41">
        <v>0</v>
      </c>
      <c r="M42" s="41">
        <v>0</v>
      </c>
      <c r="N42" s="41">
        <v>0</v>
      </c>
      <c r="O42" s="41">
        <v>0</v>
      </c>
      <c r="P42" s="38">
        <f t="shared" si="7"/>
        <v>17</v>
      </c>
      <c r="Q42" s="49">
        <v>181</v>
      </c>
      <c r="R42" s="49">
        <v>196</v>
      </c>
      <c r="S42" s="49">
        <v>361</v>
      </c>
      <c r="T42" s="49">
        <v>148</v>
      </c>
      <c r="U42" s="49">
        <v>406</v>
      </c>
      <c r="V42" s="49">
        <v>274</v>
      </c>
      <c r="W42" s="49">
        <v>239</v>
      </c>
      <c r="X42" s="49">
        <v>324</v>
      </c>
      <c r="Y42" s="49">
        <v>166</v>
      </c>
      <c r="Z42" s="49">
        <v>118</v>
      </c>
      <c r="AA42" s="49">
        <v>134</v>
      </c>
      <c r="AB42" s="49">
        <v>288</v>
      </c>
      <c r="AC42" s="38">
        <f t="shared" si="8"/>
        <v>2835</v>
      </c>
      <c r="AD42" s="36">
        <f t="shared" si="9"/>
        <v>2852</v>
      </c>
      <c r="AE42" s="26"/>
      <c r="AF42" s="32">
        <v>2</v>
      </c>
      <c r="AG42" s="32">
        <v>2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2</v>
      </c>
      <c r="AO42" s="32">
        <v>3</v>
      </c>
      <c r="AP42" s="32">
        <v>1</v>
      </c>
      <c r="AQ42" s="32">
        <v>0</v>
      </c>
      <c r="AR42" s="38">
        <f t="shared" si="10"/>
        <v>10</v>
      </c>
      <c r="AS42" s="32">
        <v>0</v>
      </c>
      <c r="AT42" s="32">
        <v>0</v>
      </c>
      <c r="AU42" s="32">
        <v>2</v>
      </c>
      <c r="AV42" s="32">
        <v>2</v>
      </c>
      <c r="AW42" s="32">
        <v>0</v>
      </c>
      <c r="AX42" s="32">
        <v>4</v>
      </c>
      <c r="AY42" s="32">
        <v>2</v>
      </c>
      <c r="AZ42" s="32">
        <v>6</v>
      </c>
      <c r="BA42" s="32">
        <v>0</v>
      </c>
      <c r="BB42" s="32">
        <v>3</v>
      </c>
      <c r="BC42" s="32">
        <v>3</v>
      </c>
      <c r="BD42" s="32">
        <v>4</v>
      </c>
      <c r="BE42" s="38">
        <f t="shared" si="11"/>
        <v>26</v>
      </c>
      <c r="BF42" s="36">
        <f t="shared" si="12"/>
        <v>36</v>
      </c>
      <c r="BG42" s="26"/>
      <c r="BH42" s="41">
        <v>12</v>
      </c>
      <c r="BI42" s="41">
        <v>5</v>
      </c>
      <c r="BJ42" s="41">
        <v>0</v>
      </c>
      <c r="BK42" s="41">
        <v>3</v>
      </c>
      <c r="BL42" s="41">
        <v>24</v>
      </c>
      <c r="BM42" s="41">
        <v>14</v>
      </c>
      <c r="BN42" s="41">
        <v>29</v>
      </c>
      <c r="BO42" s="41">
        <v>1</v>
      </c>
      <c r="BP42" s="41">
        <v>12</v>
      </c>
      <c r="BQ42" s="41">
        <v>6</v>
      </c>
      <c r="BR42" s="41">
        <v>6</v>
      </c>
      <c r="BS42" s="41">
        <v>5</v>
      </c>
      <c r="BT42" s="38">
        <f t="shared" si="13"/>
        <v>117</v>
      </c>
      <c r="BU42" s="56">
        <v>2</v>
      </c>
      <c r="BV42" s="56">
        <v>1</v>
      </c>
      <c r="BW42" s="56">
        <v>1</v>
      </c>
      <c r="BX42" s="56">
        <v>2</v>
      </c>
      <c r="BY42" s="56">
        <v>1</v>
      </c>
      <c r="BZ42" s="56">
        <v>1</v>
      </c>
      <c r="CA42" s="56">
        <v>6</v>
      </c>
      <c r="CB42" s="56">
        <v>3</v>
      </c>
      <c r="CC42" s="56">
        <v>2</v>
      </c>
      <c r="CD42" s="56">
        <v>1</v>
      </c>
      <c r="CE42" s="56">
        <v>4</v>
      </c>
      <c r="CF42" s="56">
        <v>2</v>
      </c>
      <c r="CG42" s="61">
        <f t="shared" si="14"/>
        <v>26</v>
      </c>
      <c r="CH42" s="57">
        <f t="shared" si="15"/>
        <v>143</v>
      </c>
      <c r="CI42" s="26"/>
      <c r="CJ42" s="32">
        <v>0</v>
      </c>
      <c r="CK42" s="32">
        <v>0</v>
      </c>
      <c r="CL42" s="32">
        <v>0</v>
      </c>
      <c r="CM42" s="32">
        <v>0</v>
      </c>
      <c r="CN42" s="32">
        <v>0</v>
      </c>
      <c r="CO42" s="32">
        <v>0</v>
      </c>
      <c r="CP42" s="32">
        <v>0</v>
      </c>
      <c r="CQ42" s="32">
        <v>0</v>
      </c>
      <c r="CR42" s="32">
        <v>0</v>
      </c>
      <c r="CS42" s="32">
        <v>8</v>
      </c>
      <c r="CT42" s="32">
        <v>1</v>
      </c>
      <c r="CU42" s="69">
        <v>0</v>
      </c>
      <c r="CV42" s="38">
        <f t="shared" si="16"/>
        <v>9</v>
      </c>
      <c r="CW42" s="45">
        <v>13</v>
      </c>
      <c r="CX42" s="45">
        <v>16</v>
      </c>
      <c r="CY42" s="45">
        <v>16</v>
      </c>
      <c r="CZ42" s="45">
        <v>19</v>
      </c>
      <c r="DA42" s="45">
        <v>9</v>
      </c>
      <c r="DB42" s="45">
        <v>18</v>
      </c>
      <c r="DC42" s="45">
        <v>14</v>
      </c>
      <c r="DD42" s="45">
        <v>14</v>
      </c>
      <c r="DE42" s="45">
        <v>19</v>
      </c>
      <c r="DF42" s="45">
        <v>12</v>
      </c>
      <c r="DG42" s="45">
        <v>3</v>
      </c>
      <c r="DH42" s="45">
        <v>9</v>
      </c>
      <c r="DI42" s="38">
        <f t="shared" si="0"/>
        <v>162</v>
      </c>
      <c r="DJ42" s="36">
        <f t="shared" si="17"/>
        <v>171</v>
      </c>
      <c r="DK42" s="26"/>
      <c r="DL42" s="75">
        <v>0</v>
      </c>
      <c r="DM42" s="75">
        <v>0</v>
      </c>
      <c r="DN42" s="75">
        <v>0</v>
      </c>
      <c r="DO42" s="75">
        <v>1</v>
      </c>
      <c r="DP42" s="75">
        <v>0</v>
      </c>
      <c r="DQ42" s="75">
        <v>0</v>
      </c>
      <c r="DR42" s="75">
        <v>1</v>
      </c>
      <c r="DS42" s="75">
        <v>0</v>
      </c>
      <c r="DT42" s="75">
        <v>0</v>
      </c>
      <c r="DU42" s="75">
        <v>0</v>
      </c>
      <c r="DV42" s="75">
        <v>0</v>
      </c>
      <c r="DW42" s="83">
        <v>0</v>
      </c>
      <c r="DX42" s="38">
        <f t="shared" si="1"/>
        <v>2</v>
      </c>
      <c r="DY42" s="65">
        <v>4</v>
      </c>
      <c r="DZ42" s="65">
        <v>0</v>
      </c>
      <c r="EA42" s="65">
        <v>2</v>
      </c>
      <c r="EB42" s="65">
        <v>1</v>
      </c>
      <c r="EC42" s="65">
        <v>8</v>
      </c>
      <c r="ED42" s="65">
        <v>3</v>
      </c>
      <c r="EE42" s="65">
        <v>2</v>
      </c>
      <c r="EF42" s="65">
        <v>3</v>
      </c>
      <c r="EG42" s="65">
        <v>13</v>
      </c>
      <c r="EH42" s="65">
        <v>2</v>
      </c>
      <c r="EI42" s="65">
        <v>0</v>
      </c>
      <c r="EJ42" s="65">
        <v>2</v>
      </c>
      <c r="EK42" s="38">
        <f t="shared" si="18"/>
        <v>40</v>
      </c>
      <c r="EL42" s="36">
        <f t="shared" si="19"/>
        <v>42</v>
      </c>
      <c r="EM42" s="26"/>
      <c r="EN42" s="101">
        <v>70</v>
      </c>
      <c r="EO42" s="101">
        <v>38</v>
      </c>
      <c r="EP42" s="101">
        <v>19</v>
      </c>
      <c r="EQ42" s="101">
        <v>2</v>
      </c>
      <c r="ER42" s="101">
        <v>14</v>
      </c>
      <c r="ES42" s="101">
        <v>12</v>
      </c>
      <c r="ET42" s="101">
        <v>16</v>
      </c>
      <c r="EU42" s="101">
        <v>17</v>
      </c>
      <c r="EV42" s="101">
        <v>18</v>
      </c>
      <c r="EW42" s="101">
        <v>32</v>
      </c>
      <c r="EX42" s="101">
        <v>22</v>
      </c>
      <c r="EY42" s="101">
        <v>19</v>
      </c>
      <c r="EZ42" s="38">
        <f t="shared" si="2"/>
        <v>279</v>
      </c>
      <c r="FA42" s="26"/>
      <c r="FB42" s="54">
        <v>3</v>
      </c>
      <c r="FC42" s="54">
        <v>0</v>
      </c>
      <c r="FD42" s="54">
        <v>0</v>
      </c>
      <c r="FE42" s="54">
        <v>0</v>
      </c>
      <c r="FF42" s="54">
        <v>0</v>
      </c>
      <c r="FG42" s="54">
        <v>0</v>
      </c>
      <c r="FH42" s="54">
        <v>1</v>
      </c>
      <c r="FI42" s="54">
        <v>0</v>
      </c>
      <c r="FJ42" s="54">
        <v>0</v>
      </c>
      <c r="FK42" s="54">
        <v>2</v>
      </c>
      <c r="FL42" s="54">
        <v>1</v>
      </c>
      <c r="FM42" s="54">
        <v>0</v>
      </c>
      <c r="FN42" s="38">
        <f t="shared" si="20"/>
        <v>7</v>
      </c>
      <c r="FO42" s="26"/>
      <c r="FP42" s="32">
        <v>0</v>
      </c>
      <c r="FQ42" s="32">
        <v>0</v>
      </c>
      <c r="FR42" s="32">
        <v>0</v>
      </c>
      <c r="FS42" s="32">
        <v>0</v>
      </c>
      <c r="FT42" s="32">
        <v>0</v>
      </c>
      <c r="FU42" s="32">
        <v>0</v>
      </c>
      <c r="FV42" s="32">
        <v>0</v>
      </c>
      <c r="FW42" s="32">
        <v>0</v>
      </c>
      <c r="FX42" s="32">
        <v>0</v>
      </c>
      <c r="FY42" s="32">
        <v>0</v>
      </c>
      <c r="FZ42" s="32">
        <v>0</v>
      </c>
      <c r="GA42" s="32">
        <v>0</v>
      </c>
      <c r="GB42" s="38">
        <f t="shared" si="21"/>
        <v>0</v>
      </c>
      <c r="GC42" s="26"/>
      <c r="GD42" s="101">
        <v>45</v>
      </c>
      <c r="GE42" s="101">
        <v>45</v>
      </c>
      <c r="GF42" s="101">
        <v>47</v>
      </c>
      <c r="GG42" s="101">
        <v>82</v>
      </c>
      <c r="GH42" s="101">
        <v>68</v>
      </c>
      <c r="GI42" s="101">
        <v>94</v>
      </c>
      <c r="GJ42" s="101">
        <v>115</v>
      </c>
      <c r="GK42" s="101">
        <v>115</v>
      </c>
      <c r="GL42" s="101">
        <v>74</v>
      </c>
      <c r="GM42" s="101">
        <v>122</v>
      </c>
      <c r="GN42" s="101">
        <v>66</v>
      </c>
      <c r="GO42" s="101">
        <v>152</v>
      </c>
      <c r="GP42" s="38">
        <f t="shared" si="22"/>
        <v>1025</v>
      </c>
      <c r="GQ42" s="26"/>
      <c r="GR42" s="32">
        <v>0</v>
      </c>
      <c r="GS42" s="32">
        <v>0</v>
      </c>
      <c r="GT42" s="32">
        <v>0</v>
      </c>
      <c r="GU42" s="32">
        <v>0</v>
      </c>
      <c r="GV42" s="32">
        <v>0</v>
      </c>
      <c r="GW42" s="32">
        <v>0</v>
      </c>
      <c r="GX42" s="32">
        <v>0</v>
      </c>
      <c r="GY42" s="32">
        <v>0</v>
      </c>
      <c r="GZ42" s="32">
        <v>0</v>
      </c>
      <c r="HA42" s="32">
        <v>0</v>
      </c>
      <c r="HB42" s="32">
        <v>0</v>
      </c>
      <c r="HC42" s="32">
        <v>0</v>
      </c>
      <c r="HD42" s="38">
        <f t="shared" si="23"/>
        <v>0</v>
      </c>
      <c r="HE42" s="26"/>
      <c r="HF42" s="45">
        <v>16</v>
      </c>
      <c r="HG42" s="45">
        <v>29</v>
      </c>
      <c r="HH42" s="45">
        <v>26</v>
      </c>
      <c r="HI42" s="45">
        <v>22</v>
      </c>
      <c r="HJ42" s="45">
        <v>26</v>
      </c>
      <c r="HK42" s="45">
        <v>18</v>
      </c>
      <c r="HL42" s="45">
        <v>35</v>
      </c>
      <c r="HM42" s="45">
        <v>21</v>
      </c>
      <c r="HN42" s="45">
        <v>20</v>
      </c>
      <c r="HO42" s="45">
        <v>20</v>
      </c>
      <c r="HP42" s="45">
        <v>29</v>
      </c>
      <c r="HQ42" s="45">
        <v>28</v>
      </c>
      <c r="HR42" s="38">
        <f t="shared" si="24"/>
        <v>290</v>
      </c>
      <c r="HS42" s="26"/>
      <c r="HT42" s="32">
        <v>0</v>
      </c>
      <c r="HU42" s="32">
        <v>1</v>
      </c>
      <c r="HV42" s="32">
        <v>0</v>
      </c>
      <c r="HW42" s="32">
        <v>3</v>
      </c>
      <c r="HX42" s="32">
        <v>1</v>
      </c>
      <c r="HY42" s="32">
        <v>1</v>
      </c>
      <c r="HZ42" s="32">
        <v>0</v>
      </c>
      <c r="IA42" s="32">
        <v>1</v>
      </c>
      <c r="IB42" s="32">
        <v>1</v>
      </c>
      <c r="IC42" s="32">
        <v>1</v>
      </c>
      <c r="ID42" s="32">
        <v>2</v>
      </c>
      <c r="IE42" s="32">
        <v>0</v>
      </c>
      <c r="IF42" s="38">
        <f t="shared" si="3"/>
        <v>11</v>
      </c>
      <c r="IG42" s="104">
        <v>26</v>
      </c>
      <c r="IH42" s="104">
        <v>1</v>
      </c>
      <c r="II42" s="104">
        <v>38</v>
      </c>
      <c r="IJ42" s="104">
        <v>34</v>
      </c>
      <c r="IK42" s="104">
        <v>24</v>
      </c>
      <c r="IL42" s="104">
        <v>11</v>
      </c>
      <c r="IM42" s="104">
        <v>16</v>
      </c>
      <c r="IN42" s="104">
        <v>26</v>
      </c>
      <c r="IO42" s="104">
        <v>19</v>
      </c>
      <c r="IP42" s="104">
        <v>49</v>
      </c>
      <c r="IQ42" s="104">
        <v>24</v>
      </c>
      <c r="IR42" s="104">
        <v>31</v>
      </c>
      <c r="IS42" s="38">
        <f t="shared" si="25"/>
        <v>299</v>
      </c>
      <c r="IT42" s="36">
        <f t="shared" si="26"/>
        <v>310</v>
      </c>
      <c r="IU42" s="26"/>
      <c r="IV42" s="32">
        <v>24</v>
      </c>
      <c r="IW42" s="32">
        <v>45</v>
      </c>
      <c r="IX42" s="32">
        <v>32</v>
      </c>
      <c r="IY42" s="32">
        <v>34</v>
      </c>
      <c r="IZ42" s="32">
        <v>8</v>
      </c>
      <c r="JA42" s="32">
        <v>13</v>
      </c>
      <c r="JB42" s="32">
        <v>29</v>
      </c>
      <c r="JC42" s="32">
        <v>19</v>
      </c>
      <c r="JD42" s="32">
        <v>26</v>
      </c>
      <c r="JE42" s="32">
        <v>34</v>
      </c>
      <c r="JF42" s="32">
        <v>19</v>
      </c>
      <c r="JG42" s="32">
        <v>26</v>
      </c>
      <c r="JH42" s="38">
        <f t="shared" si="27"/>
        <v>309</v>
      </c>
      <c r="JI42" s="97">
        <v>15.200000000000001</v>
      </c>
      <c r="JJ42" s="97">
        <v>26.400000000000002</v>
      </c>
      <c r="JK42" s="97">
        <v>17.400000000000002</v>
      </c>
      <c r="JL42" s="97">
        <v>38.400000000000006</v>
      </c>
      <c r="JM42" s="97">
        <v>33</v>
      </c>
      <c r="JN42" s="97">
        <v>11.600000000000001</v>
      </c>
      <c r="JO42" s="97">
        <v>25</v>
      </c>
      <c r="JP42" s="97">
        <v>26</v>
      </c>
      <c r="JQ42" s="97">
        <v>12.200000000000001</v>
      </c>
      <c r="JR42" s="97">
        <v>28.8</v>
      </c>
      <c r="JS42" s="97">
        <v>33.800000000000004</v>
      </c>
      <c r="JT42" s="97">
        <v>15.8</v>
      </c>
      <c r="JU42" s="112">
        <f t="shared" si="4"/>
        <v>283.60000000000002</v>
      </c>
      <c r="JV42" s="36">
        <f t="shared" si="28"/>
        <v>592.6</v>
      </c>
      <c r="JW42" s="26"/>
      <c r="JX42" s="93">
        <v>3</v>
      </c>
      <c r="JY42" s="93">
        <v>1</v>
      </c>
      <c r="JZ42" s="93">
        <v>2</v>
      </c>
      <c r="KA42" s="93">
        <v>5</v>
      </c>
      <c r="KB42" s="93">
        <v>3</v>
      </c>
      <c r="KC42" s="93">
        <v>5</v>
      </c>
      <c r="KD42" s="93">
        <v>4</v>
      </c>
      <c r="KE42" s="93">
        <v>1</v>
      </c>
      <c r="KF42" s="93">
        <v>3</v>
      </c>
      <c r="KG42" s="93">
        <v>5</v>
      </c>
      <c r="KH42" s="93">
        <v>13</v>
      </c>
      <c r="KI42" s="93">
        <v>1</v>
      </c>
      <c r="KJ42" s="38">
        <f t="shared" si="29"/>
        <v>46</v>
      </c>
      <c r="KK42" s="114">
        <v>3</v>
      </c>
      <c r="KL42" s="114">
        <v>2</v>
      </c>
      <c r="KM42" s="114">
        <v>4</v>
      </c>
      <c r="KN42" s="114">
        <v>5</v>
      </c>
      <c r="KO42" s="114">
        <v>12</v>
      </c>
      <c r="KP42" s="114">
        <v>7</v>
      </c>
      <c r="KQ42" s="114">
        <v>13</v>
      </c>
      <c r="KR42" s="114">
        <v>4</v>
      </c>
      <c r="KS42" s="114">
        <v>1</v>
      </c>
      <c r="KT42" s="114">
        <v>0</v>
      </c>
      <c r="KU42" s="114">
        <v>7</v>
      </c>
      <c r="KV42" s="114">
        <v>3</v>
      </c>
      <c r="KW42" s="38">
        <f t="shared" si="5"/>
        <v>61</v>
      </c>
      <c r="KX42" s="36">
        <f t="shared" si="30"/>
        <v>107</v>
      </c>
      <c r="KY42" s="26"/>
      <c r="KZ42" s="101">
        <v>15</v>
      </c>
      <c r="LA42" s="101">
        <v>31</v>
      </c>
      <c r="LB42" s="101">
        <v>12</v>
      </c>
      <c r="LC42" s="101">
        <v>43</v>
      </c>
      <c r="LD42" s="101">
        <v>5</v>
      </c>
      <c r="LE42" s="101">
        <v>10</v>
      </c>
      <c r="LF42" s="101">
        <v>14</v>
      </c>
      <c r="LG42" s="101">
        <v>2</v>
      </c>
      <c r="LH42" s="101">
        <v>1</v>
      </c>
      <c r="LI42" s="101">
        <v>0</v>
      </c>
      <c r="LJ42" s="101">
        <v>7</v>
      </c>
      <c r="LK42" s="101">
        <v>6</v>
      </c>
      <c r="LL42" s="38">
        <f t="shared" si="6"/>
        <v>146</v>
      </c>
      <c r="LM42" s="26"/>
      <c r="LN42" s="71">
        <v>5</v>
      </c>
      <c r="LO42" s="71">
        <v>1</v>
      </c>
      <c r="LP42" s="71">
        <v>2</v>
      </c>
      <c r="LQ42" s="71">
        <v>7</v>
      </c>
      <c r="LR42" s="71">
        <v>7</v>
      </c>
      <c r="LS42" s="71">
        <v>12</v>
      </c>
      <c r="LT42" s="71">
        <v>16</v>
      </c>
      <c r="LU42" s="45">
        <v>5</v>
      </c>
      <c r="LV42" s="45">
        <v>10</v>
      </c>
      <c r="LW42" s="45">
        <v>4</v>
      </c>
      <c r="LX42" s="45">
        <v>12</v>
      </c>
      <c r="LY42" s="45">
        <v>8</v>
      </c>
      <c r="LZ42" s="38">
        <f t="shared" si="31"/>
        <v>89</v>
      </c>
      <c r="MA42" s="26"/>
      <c r="MB42" s="45">
        <v>30</v>
      </c>
      <c r="MC42" s="45">
        <v>23</v>
      </c>
      <c r="MD42" s="45">
        <v>26</v>
      </c>
      <c r="ME42" s="45">
        <v>33</v>
      </c>
      <c r="MF42" s="45">
        <v>57</v>
      </c>
      <c r="MG42" s="45">
        <v>29</v>
      </c>
      <c r="MH42" s="45">
        <v>50</v>
      </c>
      <c r="MI42" s="45">
        <v>46</v>
      </c>
      <c r="MJ42" s="45">
        <v>41</v>
      </c>
      <c r="MK42" s="45">
        <v>31</v>
      </c>
      <c r="ML42" s="45">
        <v>17</v>
      </c>
      <c r="MM42" s="45">
        <v>54</v>
      </c>
      <c r="MN42" s="38">
        <f t="shared" si="32"/>
        <v>437</v>
      </c>
      <c r="MO42" s="32">
        <v>360</v>
      </c>
      <c r="MP42" s="32">
        <v>279</v>
      </c>
      <c r="MQ42" s="32">
        <v>344</v>
      </c>
      <c r="MR42" s="32">
        <v>260</v>
      </c>
      <c r="MS42" s="32">
        <v>327</v>
      </c>
      <c r="MT42" s="32">
        <v>165</v>
      </c>
      <c r="MU42" s="32">
        <v>149</v>
      </c>
      <c r="MV42" s="32">
        <v>69</v>
      </c>
      <c r="MW42" s="32">
        <v>89</v>
      </c>
      <c r="MX42" s="32">
        <v>65</v>
      </c>
      <c r="MY42" s="32">
        <v>13</v>
      </c>
      <c r="MZ42" s="32">
        <v>66</v>
      </c>
      <c r="NA42" s="38">
        <f t="shared" si="33"/>
        <v>2186</v>
      </c>
      <c r="NB42" s="36">
        <f t="shared" si="34"/>
        <v>2623</v>
      </c>
      <c r="NC42" s="26"/>
      <c r="ND42" s="101">
        <v>18</v>
      </c>
      <c r="NE42" s="101">
        <v>5</v>
      </c>
      <c r="NF42" s="101">
        <v>0</v>
      </c>
      <c r="NG42" s="101">
        <v>2</v>
      </c>
      <c r="NH42" s="101">
        <v>2</v>
      </c>
      <c r="NI42" s="101">
        <v>6</v>
      </c>
      <c r="NJ42" s="101">
        <v>8</v>
      </c>
      <c r="NK42" s="101">
        <v>1</v>
      </c>
      <c r="NL42" s="101">
        <v>5</v>
      </c>
      <c r="NM42" s="101">
        <v>0</v>
      </c>
      <c r="NN42" s="101">
        <v>4</v>
      </c>
      <c r="NO42" s="101">
        <v>3</v>
      </c>
      <c r="NP42" s="38">
        <f t="shared" si="35"/>
        <v>54</v>
      </c>
      <c r="NQ42" s="36">
        <f t="shared" si="36"/>
        <v>212</v>
      </c>
      <c r="NR42" s="36">
        <f t="shared" si="37"/>
        <v>3250</v>
      </c>
      <c r="NS42" s="36">
        <f t="shared" si="38"/>
        <v>5304.6</v>
      </c>
      <c r="NT42" s="36">
        <f t="shared" si="39"/>
        <v>8766.6</v>
      </c>
      <c r="NU42" s="18"/>
      <c r="NV42" s="18"/>
      <c r="NW42" s="18"/>
      <c r="NX42" s="19"/>
      <c r="NY42" s="19"/>
      <c r="NZ42" s="19"/>
      <c r="OA42" s="19"/>
      <c r="OB42" s="19"/>
      <c r="OC42" s="19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8"/>
      <c r="OR42" s="18"/>
      <c r="OS42" s="18"/>
      <c r="OT42" s="18"/>
      <c r="OU42" s="18"/>
      <c r="OV42" s="18"/>
      <c r="OW42" s="18"/>
      <c r="OX42" s="19"/>
      <c r="OY42" s="19"/>
      <c r="OZ42" s="19"/>
      <c r="PA42" s="19"/>
      <c r="PB42" s="19"/>
      <c r="PC42" s="19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8"/>
      <c r="PR42" s="18"/>
      <c r="PS42" s="18"/>
      <c r="PT42" s="18"/>
      <c r="PU42" s="18"/>
      <c r="PV42" s="18"/>
      <c r="PW42" s="18"/>
      <c r="PX42" s="19"/>
      <c r="PY42" s="19"/>
      <c r="PZ42" s="19"/>
      <c r="QA42" s="19"/>
      <c r="QB42" s="19"/>
      <c r="QC42" s="19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</row>
    <row r="43" spans="1:458" s="1" customFormat="1" ht="50.1" customHeight="1" x14ac:dyDescent="0.25">
      <c r="A43" s="120"/>
      <c r="B43" s="6" t="s">
        <v>20</v>
      </c>
      <c r="C43" s="23"/>
      <c r="D43" s="41">
        <f>SUM(D40:D42)</f>
        <v>1278</v>
      </c>
      <c r="E43" s="41">
        <f t="shared" ref="E43:O43" si="166">SUM(E40:E42)</f>
        <v>775</v>
      </c>
      <c r="F43" s="41">
        <f t="shared" si="166"/>
        <v>949</v>
      </c>
      <c r="G43" s="41">
        <f t="shared" si="166"/>
        <v>825</v>
      </c>
      <c r="H43" s="41">
        <f t="shared" si="166"/>
        <v>1071</v>
      </c>
      <c r="I43" s="41">
        <f t="shared" si="166"/>
        <v>1367</v>
      </c>
      <c r="J43" s="41">
        <f t="shared" si="166"/>
        <v>1582</v>
      </c>
      <c r="K43" s="41">
        <f t="shared" si="166"/>
        <v>1323</v>
      </c>
      <c r="L43" s="41">
        <f t="shared" si="166"/>
        <v>1287</v>
      </c>
      <c r="M43" s="41">
        <f t="shared" si="166"/>
        <v>1106</v>
      </c>
      <c r="N43" s="41">
        <f t="shared" si="166"/>
        <v>1112</v>
      </c>
      <c r="O43" s="41">
        <f t="shared" si="166"/>
        <v>1103</v>
      </c>
      <c r="P43" s="38">
        <f>SUM(D43:O43)</f>
        <v>13778</v>
      </c>
      <c r="Q43" s="49">
        <f>SUM(Q40:Q42)</f>
        <v>5407</v>
      </c>
      <c r="R43" s="49">
        <f>SUM(R40:R42)</f>
        <v>2398</v>
      </c>
      <c r="S43" s="49">
        <f>SUM(S40:S42)</f>
        <v>1889</v>
      </c>
      <c r="T43" s="49">
        <f t="shared" ref="T43:AA43" si="167">SUM(T40:T42)</f>
        <v>1536</v>
      </c>
      <c r="U43" s="49">
        <f t="shared" si="167"/>
        <v>4212</v>
      </c>
      <c r="V43" s="49">
        <f t="shared" si="167"/>
        <v>3626</v>
      </c>
      <c r="W43" s="49">
        <f t="shared" si="167"/>
        <v>3016</v>
      </c>
      <c r="X43" s="49">
        <f t="shared" si="167"/>
        <v>3167</v>
      </c>
      <c r="Y43" s="49">
        <f t="shared" si="167"/>
        <v>2414</v>
      </c>
      <c r="Z43" s="49">
        <f t="shared" si="167"/>
        <v>3122</v>
      </c>
      <c r="AA43" s="49">
        <f t="shared" si="167"/>
        <v>2711</v>
      </c>
      <c r="AB43" s="49">
        <f>SUM(AB40:AB42)</f>
        <v>3600</v>
      </c>
      <c r="AC43" s="38">
        <f>SUM(Q43:AB43)</f>
        <v>37098</v>
      </c>
      <c r="AD43" s="36">
        <f t="shared" si="9"/>
        <v>50876</v>
      </c>
      <c r="AE43" s="26"/>
      <c r="AF43" s="32">
        <f>SUM(AF40:AF42)</f>
        <v>189</v>
      </c>
      <c r="AG43" s="32">
        <f t="shared" ref="AG43:AQ43" si="168">SUM(AG40:AG42)</f>
        <v>79</v>
      </c>
      <c r="AH43" s="32">
        <f t="shared" si="168"/>
        <v>114</v>
      </c>
      <c r="AI43" s="32">
        <f t="shared" si="168"/>
        <v>98</v>
      </c>
      <c r="AJ43" s="32">
        <f t="shared" si="168"/>
        <v>161</v>
      </c>
      <c r="AK43" s="32">
        <f t="shared" si="168"/>
        <v>141</v>
      </c>
      <c r="AL43" s="32">
        <f t="shared" si="168"/>
        <v>148</v>
      </c>
      <c r="AM43" s="32">
        <f t="shared" si="168"/>
        <v>120</v>
      </c>
      <c r="AN43" s="32">
        <f t="shared" si="168"/>
        <v>90</v>
      </c>
      <c r="AO43" s="32">
        <f t="shared" si="168"/>
        <v>147</v>
      </c>
      <c r="AP43" s="32">
        <f t="shared" si="168"/>
        <v>216</v>
      </c>
      <c r="AQ43" s="32">
        <f t="shared" si="168"/>
        <v>90</v>
      </c>
      <c r="AR43" s="38">
        <f t="shared" si="10"/>
        <v>1593</v>
      </c>
      <c r="AS43" s="32">
        <f>SUM(AS40:AS42)</f>
        <v>220</v>
      </c>
      <c r="AT43" s="32">
        <f t="shared" ref="AT43:BD43" si="169">SUM(AT40:AT42)</f>
        <v>204</v>
      </c>
      <c r="AU43" s="32">
        <f t="shared" si="169"/>
        <v>297</v>
      </c>
      <c r="AV43" s="32">
        <f t="shared" si="169"/>
        <v>294</v>
      </c>
      <c r="AW43" s="32">
        <f t="shared" si="169"/>
        <v>302</v>
      </c>
      <c r="AX43" s="32">
        <f t="shared" si="169"/>
        <v>318</v>
      </c>
      <c r="AY43" s="32">
        <f t="shared" si="169"/>
        <v>328</v>
      </c>
      <c r="AZ43" s="32">
        <f t="shared" si="169"/>
        <v>241</v>
      </c>
      <c r="BA43" s="32">
        <f t="shared" si="169"/>
        <v>255</v>
      </c>
      <c r="BB43" s="32">
        <f t="shared" si="169"/>
        <v>291</v>
      </c>
      <c r="BC43" s="32">
        <f t="shared" si="169"/>
        <v>283</v>
      </c>
      <c r="BD43" s="32">
        <f t="shared" si="169"/>
        <v>260</v>
      </c>
      <c r="BE43" s="38">
        <f t="shared" si="11"/>
        <v>3293</v>
      </c>
      <c r="BF43" s="36">
        <f t="shared" si="12"/>
        <v>4886</v>
      </c>
      <c r="BG43" s="26"/>
      <c r="BH43" s="41">
        <f>SUM(BH40:BH42)</f>
        <v>262</v>
      </c>
      <c r="BI43" s="41">
        <f t="shared" ref="BI43:CF43" si="170">SUM(BI40:BI42)</f>
        <v>165</v>
      </c>
      <c r="BJ43" s="41">
        <f t="shared" si="170"/>
        <v>194</v>
      </c>
      <c r="BK43" s="41">
        <f t="shared" si="170"/>
        <v>129</v>
      </c>
      <c r="BL43" s="41">
        <f t="shared" si="170"/>
        <v>198</v>
      </c>
      <c r="BM43" s="41">
        <f t="shared" si="170"/>
        <v>314</v>
      </c>
      <c r="BN43" s="41">
        <f t="shared" si="170"/>
        <v>478</v>
      </c>
      <c r="BO43" s="41">
        <f t="shared" si="170"/>
        <v>317</v>
      </c>
      <c r="BP43" s="41">
        <f t="shared" si="170"/>
        <v>267</v>
      </c>
      <c r="BQ43" s="41">
        <f t="shared" si="170"/>
        <v>433</v>
      </c>
      <c r="BR43" s="41">
        <f t="shared" si="170"/>
        <v>329</v>
      </c>
      <c r="BS43" s="41">
        <f t="shared" si="170"/>
        <v>176</v>
      </c>
      <c r="BT43" s="38">
        <f t="shared" si="13"/>
        <v>3262</v>
      </c>
      <c r="BU43" s="58">
        <f t="shared" si="170"/>
        <v>401</v>
      </c>
      <c r="BV43" s="58">
        <f t="shared" si="170"/>
        <v>273</v>
      </c>
      <c r="BW43" s="58">
        <f t="shared" si="170"/>
        <v>312</v>
      </c>
      <c r="BX43" s="58">
        <f t="shared" si="170"/>
        <v>348</v>
      </c>
      <c r="BY43" s="58">
        <f t="shared" si="170"/>
        <v>367</v>
      </c>
      <c r="BZ43" s="58">
        <f t="shared" si="170"/>
        <v>471</v>
      </c>
      <c r="CA43" s="58">
        <f t="shared" si="170"/>
        <v>443</v>
      </c>
      <c r="CB43" s="58">
        <f t="shared" si="170"/>
        <v>478</v>
      </c>
      <c r="CC43" s="58">
        <f t="shared" si="170"/>
        <v>460</v>
      </c>
      <c r="CD43" s="58">
        <f t="shared" si="170"/>
        <v>541</v>
      </c>
      <c r="CE43" s="58">
        <f t="shared" si="170"/>
        <v>485</v>
      </c>
      <c r="CF43" s="58">
        <f t="shared" si="170"/>
        <v>516</v>
      </c>
      <c r="CG43" s="61">
        <f t="shared" si="14"/>
        <v>5095</v>
      </c>
      <c r="CH43" s="57">
        <f t="shared" si="15"/>
        <v>8357</v>
      </c>
      <c r="CI43" s="26"/>
      <c r="CJ43" s="32">
        <f t="shared" ref="CJ43:DH43" si="171">SUM(CJ40:CJ42)</f>
        <v>131</v>
      </c>
      <c r="CK43" s="32">
        <f t="shared" si="171"/>
        <v>49</v>
      </c>
      <c r="CL43" s="32">
        <f t="shared" si="171"/>
        <v>81</v>
      </c>
      <c r="CM43" s="32">
        <f t="shared" si="171"/>
        <v>156</v>
      </c>
      <c r="CN43" s="32">
        <f t="shared" si="171"/>
        <v>132</v>
      </c>
      <c r="CO43" s="32">
        <f t="shared" si="171"/>
        <v>183</v>
      </c>
      <c r="CP43" s="32">
        <f t="shared" si="171"/>
        <v>197</v>
      </c>
      <c r="CQ43" s="32">
        <f t="shared" si="171"/>
        <v>148</v>
      </c>
      <c r="CR43" s="32">
        <f t="shared" si="171"/>
        <v>176</v>
      </c>
      <c r="CS43" s="32">
        <f t="shared" si="171"/>
        <v>157</v>
      </c>
      <c r="CT43" s="32">
        <f t="shared" si="171"/>
        <v>146</v>
      </c>
      <c r="CU43" s="69">
        <f t="shared" si="171"/>
        <v>44</v>
      </c>
      <c r="CV43" s="38">
        <f t="shared" si="16"/>
        <v>1600</v>
      </c>
      <c r="CW43" s="32">
        <f t="shared" si="171"/>
        <v>745</v>
      </c>
      <c r="CX43" s="32">
        <f t="shared" si="171"/>
        <v>734</v>
      </c>
      <c r="CY43" s="32">
        <f t="shared" si="171"/>
        <v>710</v>
      </c>
      <c r="CZ43" s="32">
        <f t="shared" si="171"/>
        <v>640</v>
      </c>
      <c r="DA43" s="32">
        <f t="shared" si="171"/>
        <v>810</v>
      </c>
      <c r="DB43" s="32">
        <f t="shared" si="171"/>
        <v>804</v>
      </c>
      <c r="DC43" s="32">
        <f t="shared" si="171"/>
        <v>1058</v>
      </c>
      <c r="DD43" s="32">
        <f t="shared" si="171"/>
        <v>735</v>
      </c>
      <c r="DE43" s="32">
        <f t="shared" si="171"/>
        <v>771</v>
      </c>
      <c r="DF43" s="32">
        <f t="shared" si="171"/>
        <v>720</v>
      </c>
      <c r="DG43" s="32">
        <f t="shared" si="171"/>
        <v>712</v>
      </c>
      <c r="DH43" s="32">
        <f t="shared" si="171"/>
        <v>711</v>
      </c>
      <c r="DI43" s="38">
        <f t="shared" si="0"/>
        <v>9150</v>
      </c>
      <c r="DJ43" s="36">
        <f t="shared" si="17"/>
        <v>10750</v>
      </c>
      <c r="DK43" s="26"/>
      <c r="DL43" s="32">
        <f t="shared" ref="DL43:DW43" si="172">SUM(DL40:DL42)</f>
        <v>37</v>
      </c>
      <c r="DM43" s="32">
        <f t="shared" si="172"/>
        <v>23</v>
      </c>
      <c r="DN43" s="32">
        <f t="shared" si="172"/>
        <v>42</v>
      </c>
      <c r="DO43" s="32">
        <f t="shared" si="172"/>
        <v>52</v>
      </c>
      <c r="DP43" s="32">
        <f t="shared" si="172"/>
        <v>41</v>
      </c>
      <c r="DQ43" s="32">
        <f t="shared" si="172"/>
        <v>53</v>
      </c>
      <c r="DR43" s="32">
        <f t="shared" si="172"/>
        <v>50</v>
      </c>
      <c r="DS43" s="32">
        <f t="shared" si="172"/>
        <v>59</v>
      </c>
      <c r="DT43" s="32">
        <f t="shared" si="172"/>
        <v>47</v>
      </c>
      <c r="DU43" s="32">
        <f t="shared" si="172"/>
        <v>93</v>
      </c>
      <c r="DV43" s="32">
        <f t="shared" si="172"/>
        <v>54</v>
      </c>
      <c r="DW43" s="69">
        <f t="shared" si="172"/>
        <v>46</v>
      </c>
      <c r="DX43" s="38">
        <f t="shared" si="1"/>
        <v>597</v>
      </c>
      <c r="DY43" s="63">
        <f t="shared" ref="DY43:EJ43" si="173">SUM(DY40:DY42)</f>
        <v>722</v>
      </c>
      <c r="DZ43" s="63">
        <f t="shared" si="173"/>
        <v>460</v>
      </c>
      <c r="EA43" s="63">
        <f t="shared" si="173"/>
        <v>463</v>
      </c>
      <c r="EB43" s="63">
        <f t="shared" si="173"/>
        <v>538</v>
      </c>
      <c r="EC43" s="63">
        <f t="shared" si="173"/>
        <v>808</v>
      </c>
      <c r="ED43" s="63">
        <f t="shared" si="173"/>
        <v>614</v>
      </c>
      <c r="EE43" s="63">
        <f t="shared" si="173"/>
        <v>760</v>
      </c>
      <c r="EF43" s="63">
        <f t="shared" si="173"/>
        <v>702</v>
      </c>
      <c r="EG43" s="63">
        <f t="shared" si="173"/>
        <v>651</v>
      </c>
      <c r="EH43" s="63">
        <f t="shared" si="173"/>
        <v>566</v>
      </c>
      <c r="EI43" s="63">
        <f t="shared" si="173"/>
        <v>577</v>
      </c>
      <c r="EJ43" s="63">
        <f t="shared" si="173"/>
        <v>448</v>
      </c>
      <c r="EK43" s="38">
        <f t="shared" si="18"/>
        <v>7309</v>
      </c>
      <c r="EL43" s="36">
        <f t="shared" si="19"/>
        <v>7906</v>
      </c>
      <c r="EM43" s="26"/>
      <c r="EN43" s="101">
        <f t="shared" ref="EN43:EY43" si="174">SUM(EN40:EN42)</f>
        <v>1269</v>
      </c>
      <c r="EO43" s="101">
        <f t="shared" si="174"/>
        <v>694</v>
      </c>
      <c r="EP43" s="101">
        <f t="shared" si="174"/>
        <v>730</v>
      </c>
      <c r="EQ43" s="101">
        <f t="shared" si="174"/>
        <v>682</v>
      </c>
      <c r="ER43" s="101">
        <f t="shared" si="174"/>
        <v>788</v>
      </c>
      <c r="ES43" s="101">
        <f t="shared" si="174"/>
        <v>814</v>
      </c>
      <c r="ET43" s="101">
        <f t="shared" si="174"/>
        <v>1011</v>
      </c>
      <c r="EU43" s="101">
        <f t="shared" si="174"/>
        <v>876</v>
      </c>
      <c r="EV43" s="101">
        <f t="shared" si="174"/>
        <v>777</v>
      </c>
      <c r="EW43" s="101">
        <f t="shared" si="174"/>
        <v>799</v>
      </c>
      <c r="EX43" s="101">
        <f t="shared" si="174"/>
        <v>621</v>
      </c>
      <c r="EY43" s="101">
        <f t="shared" si="174"/>
        <v>545</v>
      </c>
      <c r="EZ43" s="38">
        <f t="shared" si="2"/>
        <v>9606</v>
      </c>
      <c r="FA43" s="26"/>
      <c r="FB43" s="54">
        <f>SUM(FB40:FB42)</f>
        <v>587</v>
      </c>
      <c r="FC43" s="54">
        <f t="shared" ref="FC43:FM43" si="175">SUM(FC40:FC42)</f>
        <v>350</v>
      </c>
      <c r="FD43" s="54">
        <f t="shared" si="175"/>
        <v>436</v>
      </c>
      <c r="FE43" s="54">
        <f t="shared" si="175"/>
        <v>430</v>
      </c>
      <c r="FF43" s="54">
        <f t="shared" si="175"/>
        <v>413</v>
      </c>
      <c r="FG43" s="54">
        <f t="shared" si="175"/>
        <v>533</v>
      </c>
      <c r="FH43" s="54">
        <f t="shared" si="175"/>
        <v>638</v>
      </c>
      <c r="FI43" s="54">
        <f t="shared" si="175"/>
        <v>557</v>
      </c>
      <c r="FJ43" s="54">
        <f t="shared" si="175"/>
        <v>560</v>
      </c>
      <c r="FK43" s="54">
        <f t="shared" si="175"/>
        <v>627</v>
      </c>
      <c r="FL43" s="54">
        <f t="shared" si="175"/>
        <v>521</v>
      </c>
      <c r="FM43" s="54">
        <f t="shared" si="175"/>
        <v>563</v>
      </c>
      <c r="FN43" s="38">
        <f t="shared" si="20"/>
        <v>6215</v>
      </c>
      <c r="FO43" s="26"/>
      <c r="FP43" s="32">
        <f t="shared" ref="FP43:GA43" si="176">SUM(FP40:FP42)</f>
        <v>500</v>
      </c>
      <c r="FQ43" s="32">
        <f t="shared" si="176"/>
        <v>266</v>
      </c>
      <c r="FR43" s="32">
        <f t="shared" si="176"/>
        <v>301</v>
      </c>
      <c r="FS43" s="32">
        <f t="shared" si="176"/>
        <v>290</v>
      </c>
      <c r="FT43" s="32">
        <f t="shared" si="176"/>
        <v>314</v>
      </c>
      <c r="FU43" s="32">
        <f t="shared" si="176"/>
        <v>379</v>
      </c>
      <c r="FV43" s="32">
        <f t="shared" si="176"/>
        <v>338</v>
      </c>
      <c r="FW43" s="32">
        <f t="shared" si="176"/>
        <v>364</v>
      </c>
      <c r="FX43" s="32">
        <f t="shared" si="176"/>
        <v>366</v>
      </c>
      <c r="FY43" s="32">
        <f t="shared" si="176"/>
        <v>352</v>
      </c>
      <c r="FZ43" s="32">
        <f t="shared" si="176"/>
        <v>236</v>
      </c>
      <c r="GA43" s="32">
        <f t="shared" si="176"/>
        <v>298</v>
      </c>
      <c r="GB43" s="38">
        <f t="shared" si="21"/>
        <v>4004</v>
      </c>
      <c r="GC43" s="26"/>
      <c r="GD43" s="101">
        <f t="shared" ref="GD43:GO43" si="177">SUM(GD40:GD42)</f>
        <v>403</v>
      </c>
      <c r="GE43" s="101">
        <f t="shared" si="177"/>
        <v>250</v>
      </c>
      <c r="GF43" s="101">
        <f t="shared" si="177"/>
        <v>196</v>
      </c>
      <c r="GG43" s="101">
        <f t="shared" si="177"/>
        <v>291</v>
      </c>
      <c r="GH43" s="101">
        <f t="shared" si="177"/>
        <v>319</v>
      </c>
      <c r="GI43" s="101">
        <f t="shared" si="177"/>
        <v>374</v>
      </c>
      <c r="GJ43" s="101">
        <f t="shared" si="177"/>
        <v>321</v>
      </c>
      <c r="GK43" s="101">
        <f t="shared" si="177"/>
        <v>396</v>
      </c>
      <c r="GL43" s="101">
        <f t="shared" si="177"/>
        <v>360</v>
      </c>
      <c r="GM43" s="101">
        <f t="shared" si="177"/>
        <v>469</v>
      </c>
      <c r="GN43" s="101">
        <f t="shared" si="177"/>
        <v>394</v>
      </c>
      <c r="GO43" s="101">
        <f t="shared" si="177"/>
        <v>444</v>
      </c>
      <c r="GP43" s="38">
        <f t="shared" si="22"/>
        <v>4217</v>
      </c>
      <c r="GQ43" s="26"/>
      <c r="GR43" s="32">
        <f t="shared" ref="GR43:HC43" si="178">SUM(GR40:GR42)</f>
        <v>23</v>
      </c>
      <c r="GS43" s="32">
        <f t="shared" si="178"/>
        <v>14</v>
      </c>
      <c r="GT43" s="32">
        <f t="shared" si="178"/>
        <v>19</v>
      </c>
      <c r="GU43" s="32">
        <f t="shared" si="178"/>
        <v>15</v>
      </c>
      <c r="GV43" s="32">
        <f t="shared" si="178"/>
        <v>20</v>
      </c>
      <c r="GW43" s="32">
        <f t="shared" si="178"/>
        <v>26</v>
      </c>
      <c r="GX43" s="32">
        <f t="shared" si="178"/>
        <v>19</v>
      </c>
      <c r="GY43" s="32">
        <f t="shared" si="178"/>
        <v>23</v>
      </c>
      <c r="GZ43" s="32">
        <f t="shared" si="178"/>
        <v>24</v>
      </c>
      <c r="HA43" s="32">
        <f t="shared" si="178"/>
        <v>21</v>
      </c>
      <c r="HB43" s="32">
        <f t="shared" si="178"/>
        <v>19</v>
      </c>
      <c r="HC43" s="32">
        <f t="shared" si="178"/>
        <v>18</v>
      </c>
      <c r="HD43" s="38">
        <f t="shared" si="23"/>
        <v>241</v>
      </c>
      <c r="HE43" s="26"/>
      <c r="HF43" s="45">
        <f>SUM(HF40:HF42)</f>
        <v>977</v>
      </c>
      <c r="HG43" s="45">
        <f t="shared" ref="HG43:HQ43" si="179">SUM(HG40:HG42)</f>
        <v>955</v>
      </c>
      <c r="HH43" s="45">
        <f t="shared" si="179"/>
        <v>794</v>
      </c>
      <c r="HI43" s="45">
        <f t="shared" si="179"/>
        <v>893</v>
      </c>
      <c r="HJ43" s="45">
        <f t="shared" si="179"/>
        <v>979</v>
      </c>
      <c r="HK43" s="45">
        <f t="shared" si="179"/>
        <v>1358</v>
      </c>
      <c r="HL43" s="45">
        <f t="shared" si="179"/>
        <v>1153</v>
      </c>
      <c r="HM43" s="45">
        <f t="shared" si="179"/>
        <v>1103</v>
      </c>
      <c r="HN43" s="45">
        <f t="shared" si="179"/>
        <v>983</v>
      </c>
      <c r="HO43" s="45">
        <f t="shared" si="179"/>
        <v>1101</v>
      </c>
      <c r="HP43" s="45">
        <f t="shared" si="179"/>
        <v>791</v>
      </c>
      <c r="HQ43" s="45">
        <f t="shared" si="179"/>
        <v>646</v>
      </c>
      <c r="HR43" s="38">
        <f t="shared" si="24"/>
        <v>11733</v>
      </c>
      <c r="HS43" s="26"/>
      <c r="HT43" s="32">
        <f t="shared" ref="HT43:IE43" si="180">SUM(HT40:HT42)</f>
        <v>243</v>
      </c>
      <c r="HU43" s="32">
        <f t="shared" si="180"/>
        <v>126</v>
      </c>
      <c r="HV43" s="32">
        <f t="shared" si="180"/>
        <v>118</v>
      </c>
      <c r="HW43" s="32">
        <f t="shared" si="180"/>
        <v>162</v>
      </c>
      <c r="HX43" s="32">
        <f t="shared" si="180"/>
        <v>151</v>
      </c>
      <c r="HY43" s="32">
        <f t="shared" si="180"/>
        <v>246</v>
      </c>
      <c r="HZ43" s="32">
        <f t="shared" si="180"/>
        <v>197</v>
      </c>
      <c r="IA43" s="32">
        <f t="shared" si="180"/>
        <v>146</v>
      </c>
      <c r="IB43" s="32">
        <f t="shared" si="180"/>
        <v>165</v>
      </c>
      <c r="IC43" s="32">
        <f t="shared" si="180"/>
        <v>213</v>
      </c>
      <c r="ID43" s="32">
        <f t="shared" si="180"/>
        <v>185</v>
      </c>
      <c r="IE43" s="32">
        <f t="shared" si="180"/>
        <v>164</v>
      </c>
      <c r="IF43" s="38">
        <f t="shared" si="3"/>
        <v>2116</v>
      </c>
      <c r="IG43" s="104">
        <f>SUM(IG40:IG42)</f>
        <v>414</v>
      </c>
      <c r="IH43" s="104">
        <f t="shared" ref="IH43:IR43" si="181">SUM(IH40:IH42)</f>
        <v>251</v>
      </c>
      <c r="II43" s="104">
        <f t="shared" si="181"/>
        <v>269</v>
      </c>
      <c r="IJ43" s="104">
        <f t="shared" si="181"/>
        <v>269</v>
      </c>
      <c r="IK43" s="104">
        <f t="shared" si="181"/>
        <v>299</v>
      </c>
      <c r="IL43" s="104">
        <f t="shared" si="181"/>
        <v>480</v>
      </c>
      <c r="IM43" s="104">
        <f t="shared" si="181"/>
        <v>487</v>
      </c>
      <c r="IN43" s="104">
        <f t="shared" si="181"/>
        <v>385</v>
      </c>
      <c r="IO43" s="104">
        <f t="shared" si="181"/>
        <v>432</v>
      </c>
      <c r="IP43" s="104">
        <f t="shared" si="181"/>
        <v>353</v>
      </c>
      <c r="IQ43" s="104">
        <f t="shared" si="181"/>
        <v>393</v>
      </c>
      <c r="IR43" s="104">
        <f t="shared" si="181"/>
        <v>295</v>
      </c>
      <c r="IS43" s="38">
        <f t="shared" si="25"/>
        <v>4327</v>
      </c>
      <c r="IT43" s="36">
        <f t="shared" si="26"/>
        <v>6443</v>
      </c>
      <c r="IU43" s="26"/>
      <c r="IV43" s="32">
        <f t="shared" ref="IV43:JG43" si="182">SUM(IV40:IV42)</f>
        <v>386</v>
      </c>
      <c r="IW43" s="32">
        <f t="shared" si="182"/>
        <v>303</v>
      </c>
      <c r="IX43" s="32">
        <f t="shared" si="182"/>
        <v>367</v>
      </c>
      <c r="IY43" s="32">
        <f t="shared" si="182"/>
        <v>310</v>
      </c>
      <c r="IZ43" s="32">
        <f t="shared" si="182"/>
        <v>296</v>
      </c>
      <c r="JA43" s="32">
        <f t="shared" si="182"/>
        <v>370</v>
      </c>
      <c r="JB43" s="32">
        <f t="shared" si="182"/>
        <v>321</v>
      </c>
      <c r="JC43" s="32">
        <f t="shared" si="182"/>
        <v>371</v>
      </c>
      <c r="JD43" s="32">
        <f t="shared" si="182"/>
        <v>472</v>
      </c>
      <c r="JE43" s="32">
        <f t="shared" si="182"/>
        <v>473</v>
      </c>
      <c r="JF43" s="32">
        <f t="shared" si="182"/>
        <v>423</v>
      </c>
      <c r="JG43" s="32">
        <f t="shared" si="182"/>
        <v>472</v>
      </c>
      <c r="JH43" s="38">
        <f t="shared" si="27"/>
        <v>4564</v>
      </c>
      <c r="JI43" s="32">
        <f t="shared" ref="JI43:JT43" si="183">SUM(JI40:JI42)</f>
        <v>849.2</v>
      </c>
      <c r="JJ43" s="32">
        <f t="shared" si="183"/>
        <v>602.4</v>
      </c>
      <c r="JK43" s="32">
        <f t="shared" si="183"/>
        <v>572.20000000000005</v>
      </c>
      <c r="JL43" s="32">
        <f t="shared" si="183"/>
        <v>542.4</v>
      </c>
      <c r="JM43" s="32">
        <f t="shared" si="183"/>
        <v>563.79999999999995</v>
      </c>
      <c r="JN43" s="32">
        <f t="shared" si="183"/>
        <v>653.4</v>
      </c>
      <c r="JO43" s="32">
        <f t="shared" si="183"/>
        <v>650.6</v>
      </c>
      <c r="JP43" s="32">
        <f t="shared" si="183"/>
        <v>581.20000000000005</v>
      </c>
      <c r="JQ43" s="32">
        <f t="shared" si="183"/>
        <v>670.6</v>
      </c>
      <c r="JR43" s="32">
        <f t="shared" si="183"/>
        <v>740.2</v>
      </c>
      <c r="JS43" s="32">
        <f t="shared" si="183"/>
        <v>720.6</v>
      </c>
      <c r="JT43" s="32">
        <f t="shared" si="183"/>
        <v>538.79999999999995</v>
      </c>
      <c r="JU43" s="112">
        <f t="shared" si="4"/>
        <v>7685.4000000000005</v>
      </c>
      <c r="JV43" s="36">
        <f t="shared" si="28"/>
        <v>12249.400000000001</v>
      </c>
      <c r="JW43" s="26"/>
      <c r="JX43" s="32">
        <f t="shared" ref="JX43:KI43" si="184">SUM(JX40:JX42)</f>
        <v>103</v>
      </c>
      <c r="JY43" s="32">
        <f t="shared" si="184"/>
        <v>73</v>
      </c>
      <c r="JZ43" s="32">
        <f t="shared" si="184"/>
        <v>94</v>
      </c>
      <c r="KA43" s="32">
        <f t="shared" si="184"/>
        <v>69</v>
      </c>
      <c r="KB43" s="32">
        <f t="shared" si="184"/>
        <v>52</v>
      </c>
      <c r="KC43" s="32">
        <f t="shared" si="184"/>
        <v>118</v>
      </c>
      <c r="KD43" s="32">
        <f t="shared" si="184"/>
        <v>99</v>
      </c>
      <c r="KE43" s="32">
        <f t="shared" si="184"/>
        <v>100</v>
      </c>
      <c r="KF43" s="32">
        <f t="shared" si="184"/>
        <v>76</v>
      </c>
      <c r="KG43" s="32">
        <f t="shared" si="184"/>
        <v>107</v>
      </c>
      <c r="KH43" s="32">
        <f t="shared" si="184"/>
        <v>104</v>
      </c>
      <c r="KI43" s="32">
        <f t="shared" si="184"/>
        <v>90</v>
      </c>
      <c r="KJ43" s="38">
        <f t="shared" si="29"/>
        <v>1085</v>
      </c>
      <c r="KK43" s="32">
        <f t="shared" ref="KK43:KV43" si="185">SUM(KK40:KK42)</f>
        <v>489</v>
      </c>
      <c r="KL43" s="32">
        <f t="shared" si="185"/>
        <v>390</v>
      </c>
      <c r="KM43" s="32">
        <f t="shared" si="185"/>
        <v>534</v>
      </c>
      <c r="KN43" s="32">
        <f t="shared" si="185"/>
        <v>404</v>
      </c>
      <c r="KO43" s="32">
        <f t="shared" si="185"/>
        <v>621</v>
      </c>
      <c r="KP43" s="32">
        <f t="shared" si="185"/>
        <v>615</v>
      </c>
      <c r="KQ43" s="32">
        <f t="shared" si="185"/>
        <v>667</v>
      </c>
      <c r="KR43" s="32">
        <f t="shared" si="185"/>
        <v>692</v>
      </c>
      <c r="KS43" s="32">
        <f t="shared" si="185"/>
        <v>728</v>
      </c>
      <c r="KT43" s="32">
        <f t="shared" si="185"/>
        <v>542</v>
      </c>
      <c r="KU43" s="32">
        <f t="shared" si="185"/>
        <v>686</v>
      </c>
      <c r="KV43" s="32">
        <f t="shared" si="185"/>
        <v>489</v>
      </c>
      <c r="KW43" s="38">
        <f t="shared" si="5"/>
        <v>6857</v>
      </c>
      <c r="KX43" s="36">
        <f t="shared" si="30"/>
        <v>7942</v>
      </c>
      <c r="KY43" s="26"/>
      <c r="KZ43" s="101">
        <f t="shared" ref="KZ43:LK43" si="186">SUM(KZ40:KZ42)</f>
        <v>478</v>
      </c>
      <c r="LA43" s="101">
        <f t="shared" si="186"/>
        <v>364</v>
      </c>
      <c r="LB43" s="101">
        <f t="shared" si="186"/>
        <v>412</v>
      </c>
      <c r="LC43" s="101">
        <f t="shared" si="186"/>
        <v>553</v>
      </c>
      <c r="LD43" s="101">
        <f t="shared" si="186"/>
        <v>397</v>
      </c>
      <c r="LE43" s="101">
        <f t="shared" si="186"/>
        <v>554</v>
      </c>
      <c r="LF43" s="101">
        <f t="shared" si="186"/>
        <v>483</v>
      </c>
      <c r="LG43" s="101">
        <f t="shared" si="186"/>
        <v>438</v>
      </c>
      <c r="LH43" s="101">
        <f t="shared" si="186"/>
        <v>433</v>
      </c>
      <c r="LI43" s="101">
        <f t="shared" si="186"/>
        <v>435</v>
      </c>
      <c r="LJ43" s="101">
        <f t="shared" si="186"/>
        <v>461</v>
      </c>
      <c r="LK43" s="101">
        <f t="shared" si="186"/>
        <v>437</v>
      </c>
      <c r="LL43" s="38">
        <f t="shared" si="6"/>
        <v>5445</v>
      </c>
      <c r="LM43" s="26"/>
      <c r="LN43" s="45">
        <f>SUM(LN40:LN42)</f>
        <v>633</v>
      </c>
      <c r="LO43" s="45">
        <f t="shared" ref="LO43:LY43" si="187">SUM(LO40:LO42)</f>
        <v>516</v>
      </c>
      <c r="LP43" s="45">
        <f t="shared" si="187"/>
        <v>632</v>
      </c>
      <c r="LQ43" s="45">
        <f t="shared" si="187"/>
        <v>493</v>
      </c>
      <c r="LR43" s="45">
        <f t="shared" si="187"/>
        <v>643</v>
      </c>
      <c r="LS43" s="45">
        <f t="shared" si="187"/>
        <v>690</v>
      </c>
      <c r="LT43" s="45">
        <f t="shared" si="187"/>
        <v>776</v>
      </c>
      <c r="LU43" s="45">
        <f t="shared" si="187"/>
        <v>710</v>
      </c>
      <c r="LV43" s="45">
        <f t="shared" si="187"/>
        <v>730</v>
      </c>
      <c r="LW43" s="45">
        <f t="shared" si="187"/>
        <v>713</v>
      </c>
      <c r="LX43" s="45">
        <f t="shared" si="187"/>
        <v>688</v>
      </c>
      <c r="LY43" s="45">
        <f t="shared" si="187"/>
        <v>683</v>
      </c>
      <c r="LZ43" s="38">
        <f t="shared" si="31"/>
        <v>7907</v>
      </c>
      <c r="MA43" s="26"/>
      <c r="MB43" s="45">
        <f>SUM(MB40:MB42)</f>
        <v>2313</v>
      </c>
      <c r="MC43" s="45">
        <f t="shared" ref="MC43:MM43" si="188">SUM(MC40:MC42)</f>
        <v>1788</v>
      </c>
      <c r="MD43" s="45">
        <f t="shared" si="188"/>
        <v>2324</v>
      </c>
      <c r="ME43" s="45">
        <f t="shared" si="188"/>
        <v>2333</v>
      </c>
      <c r="MF43" s="45">
        <f t="shared" si="188"/>
        <v>2428</v>
      </c>
      <c r="MG43" s="45">
        <f t="shared" si="188"/>
        <v>1817</v>
      </c>
      <c r="MH43" s="45">
        <f t="shared" si="188"/>
        <v>2469</v>
      </c>
      <c r="MI43" s="45">
        <f t="shared" si="188"/>
        <v>3112</v>
      </c>
      <c r="MJ43" s="45">
        <f t="shared" si="188"/>
        <v>2465</v>
      </c>
      <c r="MK43" s="45">
        <f t="shared" si="188"/>
        <v>2475</v>
      </c>
      <c r="ML43" s="45">
        <f t="shared" si="188"/>
        <v>2858</v>
      </c>
      <c r="MM43" s="45">
        <f t="shared" si="188"/>
        <v>2032</v>
      </c>
      <c r="MN43" s="38">
        <f t="shared" si="32"/>
        <v>28414</v>
      </c>
      <c r="MO43" s="32">
        <f t="shared" ref="MO43:MZ43" si="189">SUM(MO40:MO42)</f>
        <v>868</v>
      </c>
      <c r="MP43" s="32">
        <f t="shared" si="189"/>
        <v>647</v>
      </c>
      <c r="MQ43" s="32">
        <f t="shared" si="189"/>
        <v>851</v>
      </c>
      <c r="MR43" s="32">
        <f t="shared" si="189"/>
        <v>833</v>
      </c>
      <c r="MS43" s="32">
        <f t="shared" si="189"/>
        <v>669</v>
      </c>
      <c r="MT43" s="32">
        <f t="shared" si="189"/>
        <v>670</v>
      </c>
      <c r="MU43" s="32">
        <f t="shared" si="189"/>
        <v>553</v>
      </c>
      <c r="MV43" s="32">
        <f t="shared" si="189"/>
        <v>572</v>
      </c>
      <c r="MW43" s="32">
        <f t="shared" si="189"/>
        <v>665</v>
      </c>
      <c r="MX43" s="32">
        <f t="shared" si="189"/>
        <v>657</v>
      </c>
      <c r="MY43" s="32">
        <f t="shared" si="189"/>
        <v>417</v>
      </c>
      <c r="MZ43" s="32">
        <f t="shared" si="189"/>
        <v>646</v>
      </c>
      <c r="NA43" s="38">
        <f t="shared" si="33"/>
        <v>8048</v>
      </c>
      <c r="NB43" s="36">
        <f t="shared" si="34"/>
        <v>36462</v>
      </c>
      <c r="NC43" s="26"/>
      <c r="ND43" s="101">
        <f t="shared" ref="ND43:NO43" si="190">SUM(ND40:ND42)</f>
        <v>343</v>
      </c>
      <c r="NE43" s="101">
        <f t="shared" si="190"/>
        <v>127</v>
      </c>
      <c r="NF43" s="101">
        <f t="shared" si="190"/>
        <v>146</v>
      </c>
      <c r="NG43" s="101">
        <f t="shared" si="190"/>
        <v>113</v>
      </c>
      <c r="NH43" s="101">
        <f t="shared" si="190"/>
        <v>141</v>
      </c>
      <c r="NI43" s="101">
        <f t="shared" si="190"/>
        <v>238</v>
      </c>
      <c r="NJ43" s="101">
        <f t="shared" si="190"/>
        <v>177</v>
      </c>
      <c r="NK43" s="101">
        <f t="shared" si="190"/>
        <v>209</v>
      </c>
      <c r="NL43" s="101">
        <f t="shared" si="190"/>
        <v>179</v>
      </c>
      <c r="NM43" s="101">
        <f t="shared" si="190"/>
        <v>204</v>
      </c>
      <c r="NN43" s="101">
        <f t="shared" si="190"/>
        <v>153</v>
      </c>
      <c r="NO43" s="101">
        <f t="shared" si="190"/>
        <v>166</v>
      </c>
      <c r="NP43" s="38">
        <f t="shared" si="35"/>
        <v>2196</v>
      </c>
      <c r="NQ43" s="36">
        <f t="shared" si="36"/>
        <v>24272</v>
      </c>
      <c r="NR43" s="36">
        <f t="shared" si="37"/>
        <v>120332</v>
      </c>
      <c r="NS43" s="36">
        <f t="shared" si="38"/>
        <v>52831.4</v>
      </c>
      <c r="NT43" s="36">
        <f t="shared" si="39"/>
        <v>197435.4</v>
      </c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1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1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10"/>
    </row>
    <row r="44" spans="1:458" s="1" customFormat="1" ht="50.1" customHeight="1" x14ac:dyDescent="0.25">
      <c r="A44" s="120"/>
      <c r="B44" s="6" t="s">
        <v>21</v>
      </c>
      <c r="C44" s="23"/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38">
        <f t="shared" si="7"/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0</v>
      </c>
      <c r="AA44" s="49">
        <v>0</v>
      </c>
      <c r="AB44" s="49">
        <v>0</v>
      </c>
      <c r="AC44" s="38">
        <f t="shared" si="8"/>
        <v>0</v>
      </c>
      <c r="AD44" s="36">
        <f t="shared" si="9"/>
        <v>0</v>
      </c>
      <c r="AE44" s="26"/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8">
        <f t="shared" si="10"/>
        <v>0</v>
      </c>
      <c r="AS44" s="32">
        <v>0</v>
      </c>
      <c r="AT44" s="32">
        <v>0</v>
      </c>
      <c r="AU44" s="32">
        <v>0</v>
      </c>
      <c r="AV44" s="32">
        <v>0</v>
      </c>
      <c r="AW44" s="32">
        <v>0</v>
      </c>
      <c r="AX44" s="32">
        <v>2</v>
      </c>
      <c r="AY44" s="32">
        <v>0</v>
      </c>
      <c r="AZ44" s="32">
        <v>0</v>
      </c>
      <c r="BA44" s="32">
        <v>3</v>
      </c>
      <c r="BB44" s="32">
        <v>0</v>
      </c>
      <c r="BC44" s="32">
        <v>0</v>
      </c>
      <c r="BD44" s="32">
        <v>2</v>
      </c>
      <c r="BE44" s="38">
        <f t="shared" si="11"/>
        <v>7</v>
      </c>
      <c r="BF44" s="36">
        <f t="shared" si="12"/>
        <v>7</v>
      </c>
      <c r="BG44" s="26"/>
      <c r="BH44" s="41">
        <v>0</v>
      </c>
      <c r="BI44" s="41">
        <v>0</v>
      </c>
      <c r="BJ44" s="41">
        <v>0</v>
      </c>
      <c r="BK44" s="41">
        <v>0</v>
      </c>
      <c r="BL44" s="41">
        <v>0</v>
      </c>
      <c r="BM44" s="41">
        <v>0</v>
      </c>
      <c r="BN44" s="41">
        <v>0</v>
      </c>
      <c r="BO44" s="41">
        <v>0</v>
      </c>
      <c r="BP44" s="41">
        <v>0</v>
      </c>
      <c r="BQ44" s="41">
        <v>0</v>
      </c>
      <c r="BR44" s="41">
        <v>0</v>
      </c>
      <c r="BS44" s="41">
        <v>0</v>
      </c>
      <c r="BT44" s="38">
        <f t="shared" si="13"/>
        <v>0</v>
      </c>
      <c r="BU44" s="56">
        <v>0</v>
      </c>
      <c r="BV44" s="56">
        <v>3</v>
      </c>
      <c r="BW44" s="56">
        <v>1</v>
      </c>
      <c r="BX44" s="56">
        <v>2</v>
      </c>
      <c r="BY44" s="56">
        <v>3</v>
      </c>
      <c r="BZ44" s="56">
        <v>1</v>
      </c>
      <c r="CA44" s="56">
        <v>2</v>
      </c>
      <c r="CB44" s="56">
        <v>2</v>
      </c>
      <c r="CC44" s="56">
        <v>2</v>
      </c>
      <c r="CD44" s="56">
        <v>3</v>
      </c>
      <c r="CE44" s="56">
        <v>2</v>
      </c>
      <c r="CF44" s="56">
        <v>4</v>
      </c>
      <c r="CG44" s="61">
        <f t="shared" si="14"/>
        <v>25</v>
      </c>
      <c r="CH44" s="57">
        <f t="shared" si="15"/>
        <v>25</v>
      </c>
      <c r="CI44" s="26"/>
      <c r="CJ44" s="32">
        <v>0</v>
      </c>
      <c r="CK44" s="32">
        <v>0</v>
      </c>
      <c r="CL44" s="32">
        <v>0</v>
      </c>
      <c r="CM44" s="32">
        <v>0</v>
      </c>
      <c r="CN44" s="32">
        <v>0</v>
      </c>
      <c r="CO44" s="32">
        <v>0</v>
      </c>
      <c r="CP44" s="32">
        <v>0</v>
      </c>
      <c r="CQ44" s="32">
        <v>0</v>
      </c>
      <c r="CR44" s="32">
        <v>0</v>
      </c>
      <c r="CS44" s="32">
        <v>0</v>
      </c>
      <c r="CT44" s="32">
        <v>0</v>
      </c>
      <c r="CU44" s="69">
        <v>0</v>
      </c>
      <c r="CV44" s="38">
        <f t="shared" si="16"/>
        <v>0</v>
      </c>
      <c r="CW44" s="45">
        <v>1</v>
      </c>
      <c r="CX44" s="45">
        <v>5</v>
      </c>
      <c r="CY44" s="45">
        <v>4</v>
      </c>
      <c r="CZ44" s="45">
        <v>6</v>
      </c>
      <c r="DA44" s="45">
        <v>5</v>
      </c>
      <c r="DB44" s="45">
        <v>6</v>
      </c>
      <c r="DC44" s="45">
        <v>4</v>
      </c>
      <c r="DD44" s="45">
        <v>2</v>
      </c>
      <c r="DE44" s="45">
        <v>3</v>
      </c>
      <c r="DF44" s="45">
        <v>3</v>
      </c>
      <c r="DG44" s="45">
        <v>7</v>
      </c>
      <c r="DH44" s="45">
        <v>3</v>
      </c>
      <c r="DI44" s="38">
        <f t="shared" si="0"/>
        <v>49</v>
      </c>
      <c r="DJ44" s="36">
        <f t="shared" si="17"/>
        <v>49</v>
      </c>
      <c r="DK44" s="26"/>
      <c r="DL44" s="75">
        <v>0</v>
      </c>
      <c r="DM44" s="75">
        <v>0</v>
      </c>
      <c r="DN44" s="75">
        <v>0</v>
      </c>
      <c r="DO44" s="75">
        <v>0</v>
      </c>
      <c r="DP44" s="75">
        <v>0</v>
      </c>
      <c r="DQ44" s="75">
        <v>0</v>
      </c>
      <c r="DR44" s="75">
        <v>0</v>
      </c>
      <c r="DS44" s="75">
        <v>0</v>
      </c>
      <c r="DT44" s="75">
        <v>0</v>
      </c>
      <c r="DU44" s="75">
        <v>0</v>
      </c>
      <c r="DV44" s="75">
        <v>0</v>
      </c>
      <c r="DW44" s="83">
        <v>0</v>
      </c>
      <c r="DX44" s="38">
        <f t="shared" si="1"/>
        <v>0</v>
      </c>
      <c r="DY44" s="65">
        <v>2</v>
      </c>
      <c r="DZ44" s="65">
        <v>3</v>
      </c>
      <c r="EA44" s="65">
        <v>2</v>
      </c>
      <c r="EB44" s="65">
        <v>8</v>
      </c>
      <c r="EC44" s="65">
        <v>3</v>
      </c>
      <c r="ED44" s="65">
        <v>5</v>
      </c>
      <c r="EE44" s="65">
        <v>3</v>
      </c>
      <c r="EF44" s="65">
        <v>4</v>
      </c>
      <c r="EG44" s="65">
        <v>2</v>
      </c>
      <c r="EH44" s="65">
        <v>3</v>
      </c>
      <c r="EI44" s="65">
        <v>2</v>
      </c>
      <c r="EJ44" s="65">
        <v>3</v>
      </c>
      <c r="EK44" s="38">
        <f t="shared" si="18"/>
        <v>40</v>
      </c>
      <c r="EL44" s="36">
        <f t="shared" si="19"/>
        <v>40</v>
      </c>
      <c r="EM44" s="26"/>
      <c r="EN44" s="32">
        <v>0</v>
      </c>
      <c r="EO44" s="32">
        <v>0</v>
      </c>
      <c r="EP44" s="32">
        <v>0</v>
      </c>
      <c r="EQ44" s="32">
        <v>0</v>
      </c>
      <c r="ER44" s="32">
        <v>0</v>
      </c>
      <c r="ES44" s="32">
        <v>0</v>
      </c>
      <c r="ET44" s="32">
        <v>0</v>
      </c>
      <c r="EU44" s="32">
        <v>0</v>
      </c>
      <c r="EV44" s="32">
        <v>0</v>
      </c>
      <c r="EW44" s="32">
        <v>0</v>
      </c>
      <c r="EX44" s="32">
        <v>0</v>
      </c>
      <c r="EY44" s="32">
        <v>0</v>
      </c>
      <c r="EZ44" s="38">
        <f t="shared" si="2"/>
        <v>0</v>
      </c>
      <c r="FA44" s="26"/>
      <c r="FB44" s="54">
        <v>0</v>
      </c>
      <c r="FC44" s="54">
        <v>0</v>
      </c>
      <c r="FD44" s="54">
        <v>0</v>
      </c>
      <c r="FE44" s="54">
        <v>0</v>
      </c>
      <c r="FF44" s="54">
        <v>0</v>
      </c>
      <c r="FG44" s="54">
        <v>0</v>
      </c>
      <c r="FH44" s="54">
        <v>0</v>
      </c>
      <c r="FI44" s="54">
        <v>0</v>
      </c>
      <c r="FJ44" s="54">
        <v>0</v>
      </c>
      <c r="FK44" s="54">
        <v>0</v>
      </c>
      <c r="FL44" s="54">
        <v>0</v>
      </c>
      <c r="FM44" s="54">
        <v>0</v>
      </c>
      <c r="FN44" s="38">
        <f t="shared" si="20"/>
        <v>0</v>
      </c>
      <c r="FO44" s="26"/>
      <c r="FP44" s="32">
        <v>0</v>
      </c>
      <c r="FQ44" s="32">
        <v>0</v>
      </c>
      <c r="FR44" s="32">
        <v>0</v>
      </c>
      <c r="FS44" s="32">
        <v>0</v>
      </c>
      <c r="FT44" s="32">
        <v>0</v>
      </c>
      <c r="FU44" s="32">
        <v>0</v>
      </c>
      <c r="FV44" s="32">
        <v>0</v>
      </c>
      <c r="FW44" s="32">
        <v>0</v>
      </c>
      <c r="FX44" s="32">
        <v>0</v>
      </c>
      <c r="FY44" s="32">
        <v>0</v>
      </c>
      <c r="FZ44" s="32">
        <v>0</v>
      </c>
      <c r="GA44" s="32">
        <v>0</v>
      </c>
      <c r="GB44" s="38">
        <f t="shared" si="21"/>
        <v>0</v>
      </c>
      <c r="GC44" s="26"/>
      <c r="GD44" s="32">
        <v>0</v>
      </c>
      <c r="GE44" s="32">
        <v>0</v>
      </c>
      <c r="GF44" s="32">
        <v>0</v>
      </c>
      <c r="GG44" s="32">
        <v>0</v>
      </c>
      <c r="GH44" s="32">
        <v>0</v>
      </c>
      <c r="GI44" s="32">
        <v>0</v>
      </c>
      <c r="GJ44" s="32">
        <v>0</v>
      </c>
      <c r="GK44" s="32">
        <v>0</v>
      </c>
      <c r="GL44" s="32">
        <v>0</v>
      </c>
      <c r="GM44" s="32">
        <v>0</v>
      </c>
      <c r="GN44" s="32">
        <v>0</v>
      </c>
      <c r="GO44" s="32">
        <v>0</v>
      </c>
      <c r="GP44" s="38">
        <f t="shared" si="22"/>
        <v>0</v>
      </c>
      <c r="GQ44" s="26"/>
      <c r="GR44" s="32">
        <v>0</v>
      </c>
      <c r="GS44" s="32">
        <v>0</v>
      </c>
      <c r="GT44" s="32">
        <v>0</v>
      </c>
      <c r="GU44" s="32">
        <v>0</v>
      </c>
      <c r="GV44" s="32">
        <v>0</v>
      </c>
      <c r="GW44" s="32">
        <v>0</v>
      </c>
      <c r="GX44" s="32">
        <v>0</v>
      </c>
      <c r="GY44" s="32">
        <v>0</v>
      </c>
      <c r="GZ44" s="32">
        <v>0</v>
      </c>
      <c r="HA44" s="32">
        <v>0</v>
      </c>
      <c r="HB44" s="32">
        <v>0</v>
      </c>
      <c r="HC44" s="32">
        <v>0</v>
      </c>
      <c r="HD44" s="38">
        <f t="shared" si="23"/>
        <v>0</v>
      </c>
      <c r="HE44" s="26"/>
      <c r="HF44" s="45">
        <v>0</v>
      </c>
      <c r="HG44" s="45">
        <v>0</v>
      </c>
      <c r="HH44" s="45">
        <v>0</v>
      </c>
      <c r="HI44" s="45">
        <v>0</v>
      </c>
      <c r="HJ44" s="45">
        <v>0</v>
      </c>
      <c r="HK44" s="45">
        <v>0</v>
      </c>
      <c r="HL44" s="45">
        <v>0</v>
      </c>
      <c r="HM44" s="45">
        <v>0</v>
      </c>
      <c r="HN44" s="45">
        <v>0</v>
      </c>
      <c r="HO44" s="45">
        <v>0</v>
      </c>
      <c r="HP44" s="45">
        <v>0</v>
      </c>
      <c r="HQ44" s="45">
        <v>0</v>
      </c>
      <c r="HR44" s="38">
        <f t="shared" si="24"/>
        <v>0</v>
      </c>
      <c r="HS44" s="26"/>
      <c r="HT44" s="32">
        <v>0</v>
      </c>
      <c r="HU44" s="32">
        <v>0</v>
      </c>
      <c r="HV44" s="32">
        <v>0</v>
      </c>
      <c r="HW44" s="32">
        <v>0</v>
      </c>
      <c r="HX44" s="32">
        <v>0</v>
      </c>
      <c r="HY44" s="32">
        <v>0</v>
      </c>
      <c r="HZ44" s="32">
        <v>0</v>
      </c>
      <c r="IA44" s="32">
        <v>0</v>
      </c>
      <c r="IB44" s="32">
        <v>0</v>
      </c>
      <c r="IC44" s="32">
        <v>0</v>
      </c>
      <c r="ID44" s="32">
        <v>0</v>
      </c>
      <c r="IE44" s="32">
        <v>0</v>
      </c>
      <c r="IF44" s="38">
        <f t="shared" si="3"/>
        <v>0</v>
      </c>
      <c r="IG44" s="104">
        <v>0</v>
      </c>
      <c r="IH44" s="104">
        <v>0</v>
      </c>
      <c r="II44" s="104">
        <v>2</v>
      </c>
      <c r="IJ44" s="104">
        <v>0</v>
      </c>
      <c r="IK44" s="104">
        <v>5</v>
      </c>
      <c r="IL44" s="104">
        <v>4</v>
      </c>
      <c r="IM44" s="104">
        <v>1</v>
      </c>
      <c r="IN44" s="104">
        <v>1</v>
      </c>
      <c r="IO44" s="104">
        <v>3</v>
      </c>
      <c r="IP44" s="104">
        <v>3</v>
      </c>
      <c r="IQ44" s="104">
        <v>6</v>
      </c>
      <c r="IR44" s="104">
        <v>0</v>
      </c>
      <c r="IS44" s="38">
        <f t="shared" si="25"/>
        <v>25</v>
      </c>
      <c r="IT44" s="36">
        <f t="shared" si="26"/>
        <v>25</v>
      </c>
      <c r="IU44" s="26"/>
      <c r="IV44" s="32">
        <v>3</v>
      </c>
      <c r="IW44" s="32">
        <v>2</v>
      </c>
      <c r="IX44" s="32">
        <v>4</v>
      </c>
      <c r="IY44" s="32">
        <v>2</v>
      </c>
      <c r="IZ44" s="32">
        <v>3</v>
      </c>
      <c r="JA44" s="32">
        <v>4</v>
      </c>
      <c r="JB44" s="32">
        <v>5</v>
      </c>
      <c r="JC44" s="32">
        <v>8</v>
      </c>
      <c r="JD44" s="32">
        <v>5</v>
      </c>
      <c r="JE44" s="32">
        <v>2</v>
      </c>
      <c r="JF44" s="32">
        <v>6</v>
      </c>
      <c r="JG44" s="32">
        <v>9</v>
      </c>
      <c r="JH44" s="38">
        <f t="shared" si="27"/>
        <v>53</v>
      </c>
      <c r="JI44" s="32">
        <v>0</v>
      </c>
      <c r="JJ44" s="32">
        <v>3</v>
      </c>
      <c r="JK44" s="32">
        <v>3</v>
      </c>
      <c r="JL44" s="32">
        <v>1</v>
      </c>
      <c r="JM44" s="32">
        <v>2</v>
      </c>
      <c r="JN44" s="32">
        <v>3</v>
      </c>
      <c r="JO44" s="32">
        <v>4</v>
      </c>
      <c r="JP44" s="32">
        <v>0</v>
      </c>
      <c r="JQ44" s="32">
        <v>4</v>
      </c>
      <c r="JR44" s="32">
        <v>2</v>
      </c>
      <c r="JS44" s="32">
        <v>1</v>
      </c>
      <c r="JT44" s="32">
        <v>1</v>
      </c>
      <c r="JU44" s="112">
        <f t="shared" si="4"/>
        <v>24</v>
      </c>
      <c r="JV44" s="36">
        <f t="shared" si="28"/>
        <v>77</v>
      </c>
      <c r="JW44" s="26"/>
      <c r="JX44" s="32">
        <v>0</v>
      </c>
      <c r="JY44" s="32">
        <v>0</v>
      </c>
      <c r="JZ44" s="32">
        <v>0</v>
      </c>
      <c r="KA44" s="32">
        <v>0</v>
      </c>
      <c r="KB44" s="32">
        <v>0</v>
      </c>
      <c r="KC44" s="32">
        <v>0</v>
      </c>
      <c r="KD44" s="32">
        <v>0</v>
      </c>
      <c r="KE44" s="32">
        <v>0</v>
      </c>
      <c r="KF44" s="32">
        <v>0</v>
      </c>
      <c r="KG44" s="32">
        <v>0</v>
      </c>
      <c r="KH44" s="32">
        <v>0</v>
      </c>
      <c r="KI44" s="32">
        <v>0</v>
      </c>
      <c r="KJ44" s="38">
        <f t="shared" si="29"/>
        <v>0</v>
      </c>
      <c r="KK44" s="114">
        <v>8</v>
      </c>
      <c r="KL44" s="114">
        <v>5</v>
      </c>
      <c r="KM44" s="114">
        <v>18</v>
      </c>
      <c r="KN44" s="114">
        <v>9</v>
      </c>
      <c r="KO44" s="114">
        <v>14</v>
      </c>
      <c r="KP44" s="114">
        <v>6</v>
      </c>
      <c r="KQ44" s="114">
        <v>9</v>
      </c>
      <c r="KR44" s="114">
        <v>9</v>
      </c>
      <c r="KS44" s="114">
        <v>13</v>
      </c>
      <c r="KT44" s="114">
        <v>4</v>
      </c>
      <c r="KU44" s="114">
        <v>5</v>
      </c>
      <c r="KV44" s="114">
        <v>8</v>
      </c>
      <c r="KW44" s="38">
        <f t="shared" si="5"/>
        <v>108</v>
      </c>
      <c r="KX44" s="36">
        <f t="shared" si="30"/>
        <v>108</v>
      </c>
      <c r="KY44" s="26"/>
      <c r="KZ44" s="101">
        <v>3</v>
      </c>
      <c r="LA44" s="101">
        <v>5</v>
      </c>
      <c r="LB44" s="101">
        <v>4</v>
      </c>
      <c r="LC44" s="101">
        <v>5</v>
      </c>
      <c r="LD44" s="101">
        <v>6</v>
      </c>
      <c r="LE44" s="101">
        <v>8</v>
      </c>
      <c r="LF44" s="101">
        <v>4</v>
      </c>
      <c r="LG44" s="101">
        <v>7</v>
      </c>
      <c r="LH44" s="101">
        <v>5</v>
      </c>
      <c r="LI44" s="101">
        <v>3</v>
      </c>
      <c r="LJ44" s="101">
        <v>5</v>
      </c>
      <c r="LK44" s="101">
        <v>2</v>
      </c>
      <c r="LL44" s="38">
        <f t="shared" si="6"/>
        <v>57</v>
      </c>
      <c r="LM44" s="26"/>
      <c r="LN44" s="71">
        <v>10</v>
      </c>
      <c r="LO44" s="71">
        <v>9</v>
      </c>
      <c r="LP44" s="71">
        <v>6</v>
      </c>
      <c r="LQ44" s="71">
        <v>4</v>
      </c>
      <c r="LR44" s="71">
        <v>5</v>
      </c>
      <c r="LS44" s="71">
        <v>4</v>
      </c>
      <c r="LT44" s="71">
        <v>7</v>
      </c>
      <c r="LU44" s="45">
        <v>7</v>
      </c>
      <c r="LV44" s="45">
        <v>3</v>
      </c>
      <c r="LW44" s="45">
        <v>5</v>
      </c>
      <c r="LX44" s="45">
        <v>4</v>
      </c>
      <c r="LY44" s="45">
        <v>5</v>
      </c>
      <c r="LZ44" s="38">
        <f t="shared" si="31"/>
        <v>69</v>
      </c>
      <c r="MA44" s="26"/>
      <c r="MB44" s="45">
        <v>1</v>
      </c>
      <c r="MC44" s="45">
        <v>2</v>
      </c>
      <c r="MD44" s="45">
        <v>4</v>
      </c>
      <c r="ME44" s="45">
        <v>10</v>
      </c>
      <c r="MF44" s="45">
        <v>12</v>
      </c>
      <c r="MG44" s="45">
        <v>10</v>
      </c>
      <c r="MH44" s="45">
        <v>16</v>
      </c>
      <c r="MI44" s="45">
        <v>5</v>
      </c>
      <c r="MJ44" s="45">
        <v>5</v>
      </c>
      <c r="MK44" s="45">
        <v>3</v>
      </c>
      <c r="ML44" s="45">
        <v>13</v>
      </c>
      <c r="MM44" s="45">
        <v>9</v>
      </c>
      <c r="MN44" s="38">
        <f t="shared" si="32"/>
        <v>90</v>
      </c>
      <c r="MO44" s="32">
        <v>18</v>
      </c>
      <c r="MP44" s="32">
        <v>10</v>
      </c>
      <c r="MQ44" s="32">
        <v>20</v>
      </c>
      <c r="MR44" s="32">
        <v>14</v>
      </c>
      <c r="MS44" s="32">
        <v>33</v>
      </c>
      <c r="MT44" s="32">
        <v>47</v>
      </c>
      <c r="MU44" s="32">
        <v>0</v>
      </c>
      <c r="MV44" s="32">
        <v>7</v>
      </c>
      <c r="MW44" s="32">
        <v>35</v>
      </c>
      <c r="MX44" s="32">
        <v>10</v>
      </c>
      <c r="MY44" s="32">
        <v>5</v>
      </c>
      <c r="MZ44" s="32">
        <v>0</v>
      </c>
      <c r="NA44" s="38">
        <f t="shared" si="33"/>
        <v>199</v>
      </c>
      <c r="NB44" s="36">
        <f t="shared" si="34"/>
        <v>289</v>
      </c>
      <c r="NC44" s="26"/>
      <c r="ND44" s="32">
        <v>0</v>
      </c>
      <c r="NE44" s="32">
        <v>0</v>
      </c>
      <c r="NF44" s="32">
        <v>0</v>
      </c>
      <c r="NG44" s="32">
        <v>0</v>
      </c>
      <c r="NH44" s="32">
        <v>0</v>
      </c>
      <c r="NI44" s="32">
        <v>0</v>
      </c>
      <c r="NJ44" s="32">
        <v>0</v>
      </c>
      <c r="NK44" s="32">
        <v>0</v>
      </c>
      <c r="NL44" s="32">
        <v>0</v>
      </c>
      <c r="NM44" s="32">
        <v>0</v>
      </c>
      <c r="NN44" s="32">
        <v>0</v>
      </c>
      <c r="NO44" s="32">
        <v>0</v>
      </c>
      <c r="NP44" s="38">
        <f t="shared" si="35"/>
        <v>0</v>
      </c>
      <c r="NQ44" s="36">
        <f t="shared" si="36"/>
        <v>0</v>
      </c>
      <c r="NR44" s="36">
        <f t="shared" si="37"/>
        <v>523</v>
      </c>
      <c r="NS44" s="36">
        <f t="shared" si="38"/>
        <v>223</v>
      </c>
      <c r="NT44" s="36">
        <f t="shared" si="39"/>
        <v>746</v>
      </c>
      <c r="NU44" s="18"/>
      <c r="NV44" s="18"/>
      <c r="NW44" s="18"/>
      <c r="NX44" s="19"/>
      <c r="NY44" s="19"/>
      <c r="NZ44" s="19"/>
      <c r="OA44" s="19"/>
      <c r="OB44" s="19"/>
      <c r="OC44" s="19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8"/>
      <c r="OR44" s="18"/>
      <c r="OS44" s="18"/>
      <c r="OT44" s="18"/>
      <c r="OU44" s="18"/>
      <c r="OV44" s="18"/>
      <c r="OW44" s="18"/>
      <c r="OX44" s="19"/>
      <c r="OY44" s="19"/>
      <c r="OZ44" s="19"/>
      <c r="PA44" s="19"/>
      <c r="PB44" s="19"/>
      <c r="PC44" s="19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8"/>
      <c r="PR44" s="18"/>
      <c r="PS44" s="18"/>
      <c r="PT44" s="18"/>
      <c r="PU44" s="18"/>
      <c r="PV44" s="18"/>
      <c r="PW44" s="18"/>
      <c r="PX44" s="19"/>
      <c r="PY44" s="19"/>
      <c r="PZ44" s="19"/>
      <c r="QA44" s="19"/>
      <c r="QB44" s="19"/>
      <c r="QC44" s="19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</row>
    <row r="45" spans="1:458" s="1" customFormat="1" ht="50.1" customHeight="1" x14ac:dyDescent="0.25">
      <c r="A45" s="120"/>
      <c r="B45" s="6" t="s">
        <v>22</v>
      </c>
      <c r="C45" s="23"/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38">
        <f t="shared" si="7"/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0</v>
      </c>
      <c r="AA45" s="49">
        <v>0</v>
      </c>
      <c r="AB45" s="49">
        <v>0</v>
      </c>
      <c r="AC45" s="38">
        <f t="shared" si="8"/>
        <v>0</v>
      </c>
      <c r="AD45" s="36">
        <f t="shared" si="9"/>
        <v>0</v>
      </c>
      <c r="AE45" s="26"/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8">
        <f t="shared" si="10"/>
        <v>0</v>
      </c>
      <c r="AS45" s="32">
        <v>0</v>
      </c>
      <c r="AT45" s="32">
        <v>0</v>
      </c>
      <c r="AU45" s="32">
        <v>0</v>
      </c>
      <c r="AV45" s="32">
        <v>0</v>
      </c>
      <c r="AW45" s="32">
        <v>0</v>
      </c>
      <c r="AX45" s="32">
        <v>0</v>
      </c>
      <c r="AY45" s="32">
        <v>0</v>
      </c>
      <c r="AZ45" s="32">
        <v>0</v>
      </c>
      <c r="BA45" s="32">
        <v>0</v>
      </c>
      <c r="BB45" s="32">
        <v>0</v>
      </c>
      <c r="BC45" s="32">
        <v>0</v>
      </c>
      <c r="BD45" s="32">
        <v>0</v>
      </c>
      <c r="BE45" s="38">
        <f t="shared" si="11"/>
        <v>0</v>
      </c>
      <c r="BF45" s="36">
        <f t="shared" si="12"/>
        <v>0</v>
      </c>
      <c r="BG45" s="26"/>
      <c r="BH45" s="41">
        <v>0</v>
      </c>
      <c r="BI45" s="41">
        <v>0</v>
      </c>
      <c r="BJ45" s="41">
        <v>0</v>
      </c>
      <c r="BK45" s="41">
        <v>0</v>
      </c>
      <c r="BL45" s="41">
        <v>0</v>
      </c>
      <c r="BM45" s="41">
        <v>0</v>
      </c>
      <c r="BN45" s="41">
        <v>0</v>
      </c>
      <c r="BO45" s="41">
        <v>0</v>
      </c>
      <c r="BP45" s="41">
        <v>0</v>
      </c>
      <c r="BQ45" s="41">
        <v>0</v>
      </c>
      <c r="BR45" s="41">
        <v>0</v>
      </c>
      <c r="BS45" s="41">
        <v>0</v>
      </c>
      <c r="BT45" s="38">
        <f t="shared" si="13"/>
        <v>0</v>
      </c>
      <c r="BU45" s="56">
        <v>0</v>
      </c>
      <c r="BV45" s="56">
        <v>0</v>
      </c>
      <c r="BW45" s="56">
        <v>0</v>
      </c>
      <c r="BX45" s="56">
        <v>0</v>
      </c>
      <c r="BY45" s="56">
        <v>0</v>
      </c>
      <c r="BZ45" s="56">
        <v>0</v>
      </c>
      <c r="CA45" s="56">
        <v>0</v>
      </c>
      <c r="CB45" s="56">
        <v>0</v>
      </c>
      <c r="CC45" s="56">
        <v>0</v>
      </c>
      <c r="CD45" s="56">
        <v>0</v>
      </c>
      <c r="CE45" s="56">
        <v>0</v>
      </c>
      <c r="CF45" s="56">
        <v>0</v>
      </c>
      <c r="CG45" s="61">
        <f t="shared" si="14"/>
        <v>0</v>
      </c>
      <c r="CH45" s="57">
        <f t="shared" si="15"/>
        <v>0</v>
      </c>
      <c r="CI45" s="26"/>
      <c r="CJ45" s="32">
        <v>0</v>
      </c>
      <c r="CK45" s="32">
        <v>0</v>
      </c>
      <c r="CL45" s="32">
        <v>0</v>
      </c>
      <c r="CM45" s="32">
        <v>0</v>
      </c>
      <c r="CN45" s="32">
        <v>0</v>
      </c>
      <c r="CO45" s="32">
        <v>0</v>
      </c>
      <c r="CP45" s="32">
        <v>0</v>
      </c>
      <c r="CQ45" s="32">
        <v>0</v>
      </c>
      <c r="CR45" s="32">
        <v>0</v>
      </c>
      <c r="CS45" s="32">
        <v>0</v>
      </c>
      <c r="CT45" s="32">
        <v>0</v>
      </c>
      <c r="CU45" s="69">
        <v>0</v>
      </c>
      <c r="CV45" s="38">
        <f t="shared" si="16"/>
        <v>0</v>
      </c>
      <c r="CW45" s="45">
        <v>0</v>
      </c>
      <c r="CX45" s="45">
        <v>0</v>
      </c>
      <c r="CY45" s="45">
        <v>0</v>
      </c>
      <c r="CZ45" s="45">
        <v>0</v>
      </c>
      <c r="DA45" s="45">
        <v>0</v>
      </c>
      <c r="DB45" s="45">
        <v>0</v>
      </c>
      <c r="DC45" s="45">
        <v>0</v>
      </c>
      <c r="DD45" s="45">
        <v>0</v>
      </c>
      <c r="DE45" s="45">
        <v>0</v>
      </c>
      <c r="DF45" s="45">
        <v>0</v>
      </c>
      <c r="DG45" s="45">
        <v>0</v>
      </c>
      <c r="DH45" s="45">
        <v>0</v>
      </c>
      <c r="DI45" s="38">
        <f t="shared" si="0"/>
        <v>0</v>
      </c>
      <c r="DJ45" s="36">
        <f t="shared" si="17"/>
        <v>0</v>
      </c>
      <c r="DK45" s="26"/>
      <c r="DL45" s="75">
        <v>0</v>
      </c>
      <c r="DM45" s="75">
        <v>0</v>
      </c>
      <c r="DN45" s="75">
        <v>0</v>
      </c>
      <c r="DO45" s="75">
        <v>0</v>
      </c>
      <c r="DP45" s="75">
        <v>0</v>
      </c>
      <c r="DQ45" s="75">
        <v>0</v>
      </c>
      <c r="DR45" s="75">
        <v>0</v>
      </c>
      <c r="DS45" s="75">
        <v>0</v>
      </c>
      <c r="DT45" s="75">
        <v>0</v>
      </c>
      <c r="DU45" s="75">
        <v>0</v>
      </c>
      <c r="DV45" s="75">
        <v>0</v>
      </c>
      <c r="DW45" s="83">
        <v>0</v>
      </c>
      <c r="DX45" s="38">
        <f t="shared" si="1"/>
        <v>0</v>
      </c>
      <c r="DY45" s="63">
        <v>0</v>
      </c>
      <c r="DZ45" s="63">
        <v>0</v>
      </c>
      <c r="EA45" s="63">
        <v>0</v>
      </c>
      <c r="EB45" s="63">
        <v>0</v>
      </c>
      <c r="EC45" s="63">
        <v>0</v>
      </c>
      <c r="ED45" s="63">
        <v>0</v>
      </c>
      <c r="EE45" s="63">
        <v>0</v>
      </c>
      <c r="EF45" s="63">
        <v>0</v>
      </c>
      <c r="EG45" s="63">
        <v>0</v>
      </c>
      <c r="EH45" s="63">
        <v>0</v>
      </c>
      <c r="EI45" s="63">
        <v>0</v>
      </c>
      <c r="EJ45" s="63">
        <v>0</v>
      </c>
      <c r="EK45" s="38">
        <f t="shared" si="18"/>
        <v>0</v>
      </c>
      <c r="EL45" s="36">
        <f t="shared" si="19"/>
        <v>0</v>
      </c>
      <c r="EM45" s="26"/>
      <c r="EN45" s="32">
        <v>0</v>
      </c>
      <c r="EO45" s="32">
        <v>0</v>
      </c>
      <c r="EP45" s="32">
        <v>0</v>
      </c>
      <c r="EQ45" s="32">
        <v>0</v>
      </c>
      <c r="ER45" s="32">
        <v>0</v>
      </c>
      <c r="ES45" s="32">
        <v>0</v>
      </c>
      <c r="ET45" s="32">
        <v>0</v>
      </c>
      <c r="EU45" s="32">
        <v>0</v>
      </c>
      <c r="EV45" s="32">
        <v>0</v>
      </c>
      <c r="EW45" s="32">
        <v>0</v>
      </c>
      <c r="EX45" s="32">
        <v>0</v>
      </c>
      <c r="EY45" s="32">
        <v>0</v>
      </c>
      <c r="EZ45" s="38">
        <f t="shared" si="2"/>
        <v>0</v>
      </c>
      <c r="FA45" s="26"/>
      <c r="FB45" s="54">
        <v>0</v>
      </c>
      <c r="FC45" s="54">
        <v>0</v>
      </c>
      <c r="FD45" s="54">
        <v>0</v>
      </c>
      <c r="FE45" s="54">
        <v>0</v>
      </c>
      <c r="FF45" s="54">
        <v>0</v>
      </c>
      <c r="FG45" s="54">
        <v>0</v>
      </c>
      <c r="FH45" s="54">
        <v>0</v>
      </c>
      <c r="FI45" s="54">
        <v>0</v>
      </c>
      <c r="FJ45" s="54">
        <v>0</v>
      </c>
      <c r="FK45" s="54">
        <v>0</v>
      </c>
      <c r="FL45" s="54">
        <v>0</v>
      </c>
      <c r="FM45" s="54">
        <v>0</v>
      </c>
      <c r="FN45" s="38">
        <f t="shared" si="20"/>
        <v>0</v>
      </c>
      <c r="FO45" s="26"/>
      <c r="FP45" s="32">
        <v>0</v>
      </c>
      <c r="FQ45" s="32">
        <v>0</v>
      </c>
      <c r="FR45" s="32">
        <v>0</v>
      </c>
      <c r="FS45" s="32">
        <v>0</v>
      </c>
      <c r="FT45" s="32">
        <v>0</v>
      </c>
      <c r="FU45" s="32">
        <v>0</v>
      </c>
      <c r="FV45" s="32">
        <v>0</v>
      </c>
      <c r="FW45" s="32">
        <v>0</v>
      </c>
      <c r="FX45" s="32">
        <v>0</v>
      </c>
      <c r="FY45" s="32">
        <v>0</v>
      </c>
      <c r="FZ45" s="32">
        <v>0</v>
      </c>
      <c r="GA45" s="32">
        <v>0</v>
      </c>
      <c r="GB45" s="38">
        <f t="shared" si="21"/>
        <v>0</v>
      </c>
      <c r="GC45" s="26"/>
      <c r="GD45" s="32">
        <v>0</v>
      </c>
      <c r="GE45" s="32">
        <v>0</v>
      </c>
      <c r="GF45" s="32">
        <v>0</v>
      </c>
      <c r="GG45" s="32">
        <v>0</v>
      </c>
      <c r="GH45" s="32">
        <v>0</v>
      </c>
      <c r="GI45" s="32">
        <v>0</v>
      </c>
      <c r="GJ45" s="32">
        <v>0</v>
      </c>
      <c r="GK45" s="32">
        <v>0</v>
      </c>
      <c r="GL45" s="32">
        <v>0</v>
      </c>
      <c r="GM45" s="32">
        <v>0</v>
      </c>
      <c r="GN45" s="32">
        <v>0</v>
      </c>
      <c r="GO45" s="32">
        <v>0</v>
      </c>
      <c r="GP45" s="38">
        <f t="shared" si="22"/>
        <v>0</v>
      </c>
      <c r="GQ45" s="26"/>
      <c r="GR45" s="32">
        <v>0</v>
      </c>
      <c r="GS45" s="32">
        <v>0</v>
      </c>
      <c r="GT45" s="32">
        <v>0</v>
      </c>
      <c r="GU45" s="32">
        <v>0</v>
      </c>
      <c r="GV45" s="32">
        <v>0</v>
      </c>
      <c r="GW45" s="32">
        <v>0</v>
      </c>
      <c r="GX45" s="32">
        <v>0</v>
      </c>
      <c r="GY45" s="32">
        <v>0</v>
      </c>
      <c r="GZ45" s="32">
        <v>0</v>
      </c>
      <c r="HA45" s="32">
        <v>0</v>
      </c>
      <c r="HB45" s="32">
        <v>0</v>
      </c>
      <c r="HC45" s="32">
        <v>0</v>
      </c>
      <c r="HD45" s="38">
        <f t="shared" si="23"/>
        <v>0</v>
      </c>
      <c r="HE45" s="26"/>
      <c r="HF45" s="45">
        <v>0</v>
      </c>
      <c r="HG45" s="45">
        <v>0</v>
      </c>
      <c r="HH45" s="45">
        <v>0</v>
      </c>
      <c r="HI45" s="45">
        <v>0</v>
      </c>
      <c r="HJ45" s="45">
        <v>0</v>
      </c>
      <c r="HK45" s="45">
        <v>0</v>
      </c>
      <c r="HL45" s="45">
        <v>0</v>
      </c>
      <c r="HM45" s="45">
        <v>0</v>
      </c>
      <c r="HN45" s="45">
        <v>0</v>
      </c>
      <c r="HO45" s="45">
        <v>0</v>
      </c>
      <c r="HP45" s="45">
        <v>0</v>
      </c>
      <c r="HQ45" s="45">
        <v>0</v>
      </c>
      <c r="HR45" s="38">
        <f t="shared" si="24"/>
        <v>0</v>
      </c>
      <c r="HS45" s="26"/>
      <c r="HT45" s="32">
        <v>0</v>
      </c>
      <c r="HU45" s="32">
        <v>0</v>
      </c>
      <c r="HV45" s="32">
        <v>0</v>
      </c>
      <c r="HW45" s="32">
        <v>0</v>
      </c>
      <c r="HX45" s="32">
        <v>0</v>
      </c>
      <c r="HY45" s="32">
        <v>0</v>
      </c>
      <c r="HZ45" s="32">
        <v>0</v>
      </c>
      <c r="IA45" s="32">
        <v>0</v>
      </c>
      <c r="IB45" s="32">
        <v>0</v>
      </c>
      <c r="IC45" s="32">
        <v>0</v>
      </c>
      <c r="ID45" s="32">
        <v>0</v>
      </c>
      <c r="IE45" s="32">
        <v>0</v>
      </c>
      <c r="IF45" s="38">
        <f t="shared" si="3"/>
        <v>0</v>
      </c>
      <c r="IG45" s="104">
        <v>0</v>
      </c>
      <c r="IH45" s="104">
        <v>0</v>
      </c>
      <c r="II45" s="104">
        <v>0</v>
      </c>
      <c r="IJ45" s="104">
        <v>0</v>
      </c>
      <c r="IK45" s="104">
        <v>0</v>
      </c>
      <c r="IL45" s="104">
        <v>0</v>
      </c>
      <c r="IM45" s="104">
        <v>0</v>
      </c>
      <c r="IN45" s="104">
        <v>0</v>
      </c>
      <c r="IO45" s="104">
        <v>0</v>
      </c>
      <c r="IP45" s="104">
        <v>0</v>
      </c>
      <c r="IQ45" s="104">
        <v>0</v>
      </c>
      <c r="IR45" s="104">
        <v>0</v>
      </c>
      <c r="IS45" s="38">
        <f t="shared" si="25"/>
        <v>0</v>
      </c>
      <c r="IT45" s="36">
        <f t="shared" si="26"/>
        <v>0</v>
      </c>
      <c r="IU45" s="26"/>
      <c r="IV45" s="32">
        <v>0</v>
      </c>
      <c r="IW45" s="32">
        <v>0</v>
      </c>
      <c r="IX45" s="32">
        <v>0</v>
      </c>
      <c r="IY45" s="32">
        <v>0</v>
      </c>
      <c r="IZ45" s="32">
        <v>0</v>
      </c>
      <c r="JA45" s="32">
        <v>0</v>
      </c>
      <c r="JB45" s="32">
        <v>0</v>
      </c>
      <c r="JC45" s="32">
        <v>0</v>
      </c>
      <c r="JD45" s="32">
        <v>0</v>
      </c>
      <c r="JE45" s="32">
        <v>0</v>
      </c>
      <c r="JF45" s="32">
        <v>0</v>
      </c>
      <c r="JG45" s="32">
        <v>0</v>
      </c>
      <c r="JH45" s="38">
        <f t="shared" si="27"/>
        <v>0</v>
      </c>
      <c r="JI45" s="32">
        <v>0</v>
      </c>
      <c r="JJ45" s="32">
        <v>0</v>
      </c>
      <c r="JK45" s="32">
        <v>0</v>
      </c>
      <c r="JL45" s="32">
        <v>0</v>
      </c>
      <c r="JM45" s="32">
        <v>0</v>
      </c>
      <c r="JN45" s="32">
        <v>0</v>
      </c>
      <c r="JO45" s="32">
        <v>0</v>
      </c>
      <c r="JP45" s="32">
        <v>0</v>
      </c>
      <c r="JQ45" s="32">
        <v>0</v>
      </c>
      <c r="JR45" s="32">
        <v>0</v>
      </c>
      <c r="JS45" s="32">
        <v>0</v>
      </c>
      <c r="JT45" s="32">
        <v>0</v>
      </c>
      <c r="JU45" s="112">
        <f t="shared" si="4"/>
        <v>0</v>
      </c>
      <c r="JV45" s="36">
        <f t="shared" si="28"/>
        <v>0</v>
      </c>
      <c r="JW45" s="26"/>
      <c r="JX45" s="32">
        <v>0</v>
      </c>
      <c r="JY45" s="32">
        <v>0</v>
      </c>
      <c r="JZ45" s="32">
        <v>0</v>
      </c>
      <c r="KA45" s="32">
        <v>0</v>
      </c>
      <c r="KB45" s="32">
        <v>0</v>
      </c>
      <c r="KC45" s="32">
        <v>0</v>
      </c>
      <c r="KD45" s="32">
        <v>0</v>
      </c>
      <c r="KE45" s="32">
        <v>0</v>
      </c>
      <c r="KF45" s="32">
        <v>0</v>
      </c>
      <c r="KG45" s="32">
        <v>0</v>
      </c>
      <c r="KH45" s="32">
        <v>0</v>
      </c>
      <c r="KI45" s="32">
        <v>0</v>
      </c>
      <c r="KJ45" s="38">
        <f t="shared" si="29"/>
        <v>0</v>
      </c>
      <c r="KK45" s="32">
        <v>0</v>
      </c>
      <c r="KL45" s="32">
        <v>0</v>
      </c>
      <c r="KM45" s="32">
        <v>0</v>
      </c>
      <c r="KN45" s="32">
        <v>0</v>
      </c>
      <c r="KO45" s="32">
        <v>0</v>
      </c>
      <c r="KP45" s="32">
        <v>0</v>
      </c>
      <c r="KQ45" s="32">
        <v>0</v>
      </c>
      <c r="KR45" s="32">
        <v>0</v>
      </c>
      <c r="KS45" s="32">
        <v>0</v>
      </c>
      <c r="KT45" s="32">
        <v>0</v>
      </c>
      <c r="KU45" s="32">
        <v>0</v>
      </c>
      <c r="KV45" s="32">
        <v>0</v>
      </c>
      <c r="KW45" s="38">
        <f t="shared" si="5"/>
        <v>0</v>
      </c>
      <c r="KX45" s="36">
        <f t="shared" si="30"/>
        <v>0</v>
      </c>
      <c r="KY45" s="26"/>
      <c r="KZ45" s="32">
        <v>0</v>
      </c>
      <c r="LA45" s="32">
        <v>0</v>
      </c>
      <c r="LB45" s="32">
        <v>0</v>
      </c>
      <c r="LC45" s="32">
        <v>0</v>
      </c>
      <c r="LD45" s="32">
        <v>0</v>
      </c>
      <c r="LE45" s="32">
        <v>0</v>
      </c>
      <c r="LF45" s="32">
        <v>0</v>
      </c>
      <c r="LG45" s="32">
        <v>0</v>
      </c>
      <c r="LH45" s="32">
        <v>0</v>
      </c>
      <c r="LI45" s="32">
        <v>0</v>
      </c>
      <c r="LJ45" s="32">
        <v>0</v>
      </c>
      <c r="LK45" s="32">
        <v>0</v>
      </c>
      <c r="LL45" s="38">
        <f t="shared" si="6"/>
        <v>0</v>
      </c>
      <c r="LM45" s="26"/>
      <c r="LN45" s="71">
        <v>0</v>
      </c>
      <c r="LO45" s="71">
        <v>0</v>
      </c>
      <c r="LP45" s="71">
        <v>0</v>
      </c>
      <c r="LQ45" s="71">
        <v>0</v>
      </c>
      <c r="LR45" s="71">
        <v>0</v>
      </c>
      <c r="LS45" s="71">
        <v>0</v>
      </c>
      <c r="LT45" s="71">
        <v>0</v>
      </c>
      <c r="LU45" s="45">
        <v>0</v>
      </c>
      <c r="LV45" s="45">
        <v>0</v>
      </c>
      <c r="LW45" s="45">
        <v>0</v>
      </c>
      <c r="LX45" s="45">
        <v>0</v>
      </c>
      <c r="LY45" s="45">
        <v>0</v>
      </c>
      <c r="LZ45" s="38">
        <f t="shared" si="31"/>
        <v>0</v>
      </c>
      <c r="MA45" s="26"/>
      <c r="MB45" s="45">
        <v>0</v>
      </c>
      <c r="MC45" s="45">
        <v>0</v>
      </c>
      <c r="MD45" s="45">
        <v>0</v>
      </c>
      <c r="ME45" s="45">
        <v>0</v>
      </c>
      <c r="MF45" s="45">
        <v>0</v>
      </c>
      <c r="MG45" s="45">
        <v>0</v>
      </c>
      <c r="MH45" s="45">
        <v>0</v>
      </c>
      <c r="MI45" s="45">
        <v>0</v>
      </c>
      <c r="MJ45" s="45">
        <v>0</v>
      </c>
      <c r="MK45" s="45">
        <v>0</v>
      </c>
      <c r="ML45" s="45">
        <v>0</v>
      </c>
      <c r="MM45" s="45">
        <v>0</v>
      </c>
      <c r="MN45" s="38">
        <f t="shared" si="32"/>
        <v>0</v>
      </c>
      <c r="MO45" s="32">
        <v>0</v>
      </c>
      <c r="MP45" s="32">
        <v>0</v>
      </c>
      <c r="MQ45" s="32">
        <v>0</v>
      </c>
      <c r="MR45" s="32">
        <v>0</v>
      </c>
      <c r="MS45" s="32">
        <v>0</v>
      </c>
      <c r="MT45" s="32">
        <v>0</v>
      </c>
      <c r="MU45" s="32">
        <v>0</v>
      </c>
      <c r="MV45" s="32">
        <v>0</v>
      </c>
      <c r="MW45" s="32">
        <v>0</v>
      </c>
      <c r="MX45" s="32">
        <v>0</v>
      </c>
      <c r="MY45" s="32">
        <v>0</v>
      </c>
      <c r="MZ45" s="32">
        <v>0</v>
      </c>
      <c r="NA45" s="38">
        <f t="shared" si="33"/>
        <v>0</v>
      </c>
      <c r="NB45" s="36">
        <f t="shared" si="34"/>
        <v>0</v>
      </c>
      <c r="NC45" s="26"/>
      <c r="ND45" s="32">
        <v>0</v>
      </c>
      <c r="NE45" s="32">
        <v>0</v>
      </c>
      <c r="NF45" s="32">
        <v>0</v>
      </c>
      <c r="NG45" s="32">
        <v>0</v>
      </c>
      <c r="NH45" s="32">
        <v>0</v>
      </c>
      <c r="NI45" s="32">
        <v>0</v>
      </c>
      <c r="NJ45" s="32">
        <v>0</v>
      </c>
      <c r="NK45" s="32">
        <v>0</v>
      </c>
      <c r="NL45" s="32">
        <v>0</v>
      </c>
      <c r="NM45" s="32">
        <v>0</v>
      </c>
      <c r="NN45" s="32">
        <v>0</v>
      </c>
      <c r="NO45" s="32">
        <v>0</v>
      </c>
      <c r="NP45" s="38">
        <f t="shared" si="35"/>
        <v>0</v>
      </c>
      <c r="NQ45" s="36">
        <f t="shared" si="36"/>
        <v>0</v>
      </c>
      <c r="NR45" s="36">
        <f t="shared" si="37"/>
        <v>0</v>
      </c>
      <c r="NS45" s="36">
        <f t="shared" si="38"/>
        <v>0</v>
      </c>
      <c r="NT45" s="36">
        <f t="shared" si="39"/>
        <v>0</v>
      </c>
      <c r="NU45" s="18"/>
      <c r="NV45" s="18"/>
      <c r="NW45" s="18"/>
      <c r="NX45" s="19"/>
      <c r="NY45" s="19"/>
      <c r="NZ45" s="19"/>
      <c r="OA45" s="19"/>
      <c r="OB45" s="19"/>
      <c r="OC45" s="19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8"/>
      <c r="OR45" s="18"/>
      <c r="OS45" s="18"/>
      <c r="OT45" s="18"/>
      <c r="OU45" s="18"/>
      <c r="OV45" s="18"/>
      <c r="OW45" s="18"/>
      <c r="OX45" s="19"/>
      <c r="OY45" s="19"/>
      <c r="OZ45" s="19"/>
      <c r="PA45" s="19"/>
      <c r="PB45" s="19"/>
      <c r="PC45" s="19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8"/>
      <c r="PR45" s="18"/>
      <c r="PS45" s="18"/>
      <c r="PT45" s="18"/>
      <c r="PU45" s="18"/>
      <c r="PV45" s="18"/>
      <c r="PW45" s="18"/>
      <c r="PX45" s="19"/>
      <c r="PY45" s="19"/>
      <c r="PZ45" s="19"/>
      <c r="QA45" s="19"/>
      <c r="QB45" s="19"/>
      <c r="QC45" s="19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</row>
    <row r="46" spans="1:458" s="1" customFormat="1" ht="50.1" customHeight="1" x14ac:dyDescent="0.25">
      <c r="A46" s="120">
        <v>2023</v>
      </c>
      <c r="B46" s="6" t="s">
        <v>17</v>
      </c>
      <c r="C46" s="24"/>
      <c r="D46" s="41">
        <v>1030</v>
      </c>
      <c r="E46" s="41">
        <v>1370</v>
      </c>
      <c r="F46" s="41">
        <v>1685</v>
      </c>
      <c r="G46" s="41">
        <v>1096</v>
      </c>
      <c r="H46" s="41">
        <v>1899</v>
      </c>
      <c r="I46" s="41">
        <v>1652</v>
      </c>
      <c r="J46" s="41">
        <v>1397</v>
      </c>
      <c r="K46" s="41">
        <v>1345</v>
      </c>
      <c r="L46" s="41">
        <v>1305</v>
      </c>
      <c r="M46" s="41">
        <v>1211</v>
      </c>
      <c r="N46" s="41">
        <v>951</v>
      </c>
      <c r="O46" s="41">
        <v>711</v>
      </c>
      <c r="P46" s="38">
        <f t="shared" si="7"/>
        <v>15652</v>
      </c>
      <c r="Q46" s="49">
        <v>1648</v>
      </c>
      <c r="R46" s="49">
        <v>1042</v>
      </c>
      <c r="S46" s="49">
        <v>1230</v>
      </c>
      <c r="T46" s="49">
        <v>796</v>
      </c>
      <c r="U46" s="49">
        <v>1229</v>
      </c>
      <c r="V46" s="49">
        <v>1627</v>
      </c>
      <c r="W46" s="49">
        <v>1581</v>
      </c>
      <c r="X46" s="49">
        <v>2337</v>
      </c>
      <c r="Y46" s="49">
        <v>2324</v>
      </c>
      <c r="Z46" s="49">
        <v>2775</v>
      </c>
      <c r="AA46" s="49">
        <v>2117</v>
      </c>
      <c r="AB46" s="49">
        <v>2379</v>
      </c>
      <c r="AC46" s="38">
        <f t="shared" si="8"/>
        <v>21085</v>
      </c>
      <c r="AD46" s="36">
        <f t="shared" si="9"/>
        <v>36737</v>
      </c>
      <c r="AE46" s="26"/>
      <c r="AF46" s="32">
        <v>132</v>
      </c>
      <c r="AG46" s="32">
        <v>122</v>
      </c>
      <c r="AH46" s="32">
        <v>139</v>
      </c>
      <c r="AI46" s="32">
        <v>66</v>
      </c>
      <c r="AJ46" s="32">
        <v>119</v>
      </c>
      <c r="AK46" s="32">
        <v>85</v>
      </c>
      <c r="AL46" s="32">
        <v>75</v>
      </c>
      <c r="AM46" s="32">
        <v>94</v>
      </c>
      <c r="AN46" s="32">
        <v>102</v>
      </c>
      <c r="AO46" s="32">
        <v>138</v>
      </c>
      <c r="AP46" s="32">
        <v>112</v>
      </c>
      <c r="AQ46" s="32">
        <v>66</v>
      </c>
      <c r="AR46" s="38">
        <f t="shared" si="10"/>
        <v>1250</v>
      </c>
      <c r="AS46" s="32">
        <v>218</v>
      </c>
      <c r="AT46" s="32">
        <v>238</v>
      </c>
      <c r="AU46" s="32">
        <v>296</v>
      </c>
      <c r="AV46" s="32">
        <v>397</v>
      </c>
      <c r="AW46" s="32">
        <v>411</v>
      </c>
      <c r="AX46" s="32">
        <v>385</v>
      </c>
      <c r="AY46" s="32">
        <v>379</v>
      </c>
      <c r="AZ46" s="41">
        <v>358</v>
      </c>
      <c r="BA46" s="32">
        <v>378</v>
      </c>
      <c r="BB46" s="32">
        <v>376</v>
      </c>
      <c r="BC46" s="32">
        <v>345</v>
      </c>
      <c r="BD46" s="32">
        <v>250</v>
      </c>
      <c r="BE46" s="38">
        <f t="shared" si="11"/>
        <v>4031</v>
      </c>
      <c r="BF46" s="36">
        <f t="shared" si="12"/>
        <v>5281</v>
      </c>
      <c r="BG46" s="26"/>
      <c r="BH46" s="41">
        <v>243</v>
      </c>
      <c r="BI46" s="41">
        <v>298</v>
      </c>
      <c r="BJ46" s="41">
        <v>498</v>
      </c>
      <c r="BK46" s="41">
        <v>270</v>
      </c>
      <c r="BL46" s="41">
        <v>337</v>
      </c>
      <c r="BM46" s="41">
        <v>295</v>
      </c>
      <c r="BN46" s="41">
        <v>360</v>
      </c>
      <c r="BO46" s="41">
        <v>329</v>
      </c>
      <c r="BP46" s="41">
        <v>426</v>
      </c>
      <c r="BQ46" s="41">
        <v>357</v>
      </c>
      <c r="BR46" s="41">
        <v>390</v>
      </c>
      <c r="BS46" s="41">
        <v>374</v>
      </c>
      <c r="BT46" s="38">
        <f t="shared" si="13"/>
        <v>4177</v>
      </c>
      <c r="BU46" s="56">
        <v>447</v>
      </c>
      <c r="BV46" s="56">
        <v>558</v>
      </c>
      <c r="BW46" s="56">
        <v>555</v>
      </c>
      <c r="BX46" s="56">
        <v>308</v>
      </c>
      <c r="BY46" s="56">
        <v>463</v>
      </c>
      <c r="BZ46" s="56">
        <v>512</v>
      </c>
      <c r="CA46" s="56">
        <v>410</v>
      </c>
      <c r="CB46" s="56">
        <v>322</v>
      </c>
      <c r="CC46" s="56">
        <v>378</v>
      </c>
      <c r="CD46" s="56">
        <v>379</v>
      </c>
      <c r="CE46" s="56">
        <v>522</v>
      </c>
      <c r="CF46" s="56">
        <v>425</v>
      </c>
      <c r="CG46" s="61">
        <f t="shared" si="14"/>
        <v>5279</v>
      </c>
      <c r="CH46" s="57">
        <f t="shared" si="15"/>
        <v>9456</v>
      </c>
      <c r="CI46" s="26"/>
      <c r="CJ46" s="32">
        <v>105</v>
      </c>
      <c r="CK46" s="32">
        <v>135</v>
      </c>
      <c r="CL46" s="32">
        <v>138</v>
      </c>
      <c r="CM46" s="32">
        <v>154</v>
      </c>
      <c r="CN46" s="32">
        <v>115</v>
      </c>
      <c r="CO46" s="32">
        <v>112</v>
      </c>
      <c r="CP46" s="32">
        <v>155</v>
      </c>
      <c r="CQ46" s="32">
        <v>207</v>
      </c>
      <c r="CR46" s="32">
        <v>178</v>
      </c>
      <c r="CS46" s="32">
        <v>170</v>
      </c>
      <c r="CT46" s="32">
        <v>108</v>
      </c>
      <c r="CU46" s="69">
        <v>113</v>
      </c>
      <c r="CV46" s="38">
        <f t="shared" si="16"/>
        <v>1690</v>
      </c>
      <c r="CW46" s="45">
        <v>748</v>
      </c>
      <c r="CX46" s="45">
        <v>681</v>
      </c>
      <c r="CY46" s="45">
        <v>754</v>
      </c>
      <c r="CZ46" s="45">
        <v>475</v>
      </c>
      <c r="DA46" s="45">
        <v>348</v>
      </c>
      <c r="DB46" s="45">
        <v>612</v>
      </c>
      <c r="DC46" s="45">
        <v>486</v>
      </c>
      <c r="DD46" s="45">
        <v>490</v>
      </c>
      <c r="DE46" s="45">
        <v>539</v>
      </c>
      <c r="DF46" s="45">
        <v>594</v>
      </c>
      <c r="DG46" s="45">
        <v>341</v>
      </c>
      <c r="DH46" s="45">
        <v>511</v>
      </c>
      <c r="DI46" s="38">
        <f t="shared" si="0"/>
        <v>6579</v>
      </c>
      <c r="DJ46" s="36">
        <f t="shared" si="17"/>
        <v>8269</v>
      </c>
      <c r="DK46" s="26"/>
      <c r="DL46" s="75">
        <v>43</v>
      </c>
      <c r="DM46" s="75">
        <v>27</v>
      </c>
      <c r="DN46" s="75">
        <v>39</v>
      </c>
      <c r="DO46" s="75">
        <v>19</v>
      </c>
      <c r="DP46" s="75">
        <v>13</v>
      </c>
      <c r="DQ46" s="75">
        <v>39</v>
      </c>
      <c r="DR46" s="75">
        <v>27</v>
      </c>
      <c r="DS46" s="75">
        <v>25</v>
      </c>
      <c r="DT46" s="75">
        <v>40</v>
      </c>
      <c r="DU46" s="75">
        <v>31</v>
      </c>
      <c r="DV46" s="75">
        <v>35</v>
      </c>
      <c r="DW46" s="84">
        <v>34</v>
      </c>
      <c r="DX46" s="38">
        <f t="shared" si="1"/>
        <v>372</v>
      </c>
      <c r="DY46" s="65">
        <v>606</v>
      </c>
      <c r="DZ46" s="65">
        <v>674</v>
      </c>
      <c r="EA46" s="65">
        <v>618</v>
      </c>
      <c r="EB46" s="65">
        <v>238</v>
      </c>
      <c r="EC46" s="65">
        <v>569</v>
      </c>
      <c r="ED46" s="65">
        <v>504</v>
      </c>
      <c r="EE46" s="65">
        <v>686</v>
      </c>
      <c r="EF46" s="65">
        <v>564</v>
      </c>
      <c r="EG46" s="65">
        <v>649</v>
      </c>
      <c r="EH46" s="65">
        <v>625</v>
      </c>
      <c r="EI46" s="65">
        <v>565</v>
      </c>
      <c r="EJ46" s="65">
        <v>514</v>
      </c>
      <c r="EK46" s="38">
        <f t="shared" si="18"/>
        <v>6812</v>
      </c>
      <c r="EL46" s="36">
        <f t="shared" si="19"/>
        <v>7184</v>
      </c>
      <c r="EM46" s="26"/>
      <c r="EN46" s="101">
        <v>678</v>
      </c>
      <c r="EO46" s="101">
        <v>591</v>
      </c>
      <c r="EP46" s="101">
        <v>593</v>
      </c>
      <c r="EQ46" s="101">
        <v>503</v>
      </c>
      <c r="ER46" s="101">
        <v>651</v>
      </c>
      <c r="ES46" s="101">
        <v>683</v>
      </c>
      <c r="ET46" s="101">
        <v>582</v>
      </c>
      <c r="EU46" s="32">
        <v>529</v>
      </c>
      <c r="EV46" s="32">
        <v>502</v>
      </c>
      <c r="EW46" s="32">
        <v>605</v>
      </c>
      <c r="EX46" s="32">
        <v>412</v>
      </c>
      <c r="EY46" s="32">
        <v>362</v>
      </c>
      <c r="EZ46" s="38">
        <f t="shared" si="2"/>
        <v>6691</v>
      </c>
      <c r="FA46" s="26"/>
      <c r="FB46" s="54">
        <v>435</v>
      </c>
      <c r="FC46" s="54">
        <v>360</v>
      </c>
      <c r="FD46" s="54">
        <v>413</v>
      </c>
      <c r="FE46" s="54">
        <v>480</v>
      </c>
      <c r="FF46" s="54">
        <v>523</v>
      </c>
      <c r="FG46" s="54">
        <v>579</v>
      </c>
      <c r="FH46" s="54">
        <v>492</v>
      </c>
      <c r="FI46" s="54">
        <v>535</v>
      </c>
      <c r="FJ46" s="54">
        <v>425</v>
      </c>
      <c r="FK46" s="54">
        <v>406</v>
      </c>
      <c r="FL46" s="54">
        <v>1069</v>
      </c>
      <c r="FM46" s="54">
        <v>1065</v>
      </c>
      <c r="FN46" s="38">
        <f t="shared" si="20"/>
        <v>6782</v>
      </c>
      <c r="FO46" s="26"/>
      <c r="FP46" s="54">
        <v>340</v>
      </c>
      <c r="FQ46" s="32">
        <v>290</v>
      </c>
      <c r="FR46" s="32">
        <v>333</v>
      </c>
      <c r="FS46" s="32">
        <v>279</v>
      </c>
      <c r="FT46" s="32">
        <v>309</v>
      </c>
      <c r="FU46" s="32">
        <v>295</v>
      </c>
      <c r="FV46" s="32">
        <v>291</v>
      </c>
      <c r="FW46" s="32">
        <v>48</v>
      </c>
      <c r="FX46" s="32">
        <v>19</v>
      </c>
      <c r="FY46" s="32">
        <v>45</v>
      </c>
      <c r="FZ46" s="32">
        <v>45</v>
      </c>
      <c r="GA46" s="32">
        <v>38</v>
      </c>
      <c r="GB46" s="38">
        <f t="shared" si="21"/>
        <v>2332</v>
      </c>
      <c r="GC46" s="26"/>
      <c r="GD46" s="101">
        <v>200</v>
      </c>
      <c r="GE46" s="101">
        <v>121</v>
      </c>
      <c r="GF46" s="101">
        <v>141</v>
      </c>
      <c r="GG46" s="101">
        <v>137</v>
      </c>
      <c r="GH46" s="101">
        <v>155</v>
      </c>
      <c r="GI46" s="101">
        <v>126</v>
      </c>
      <c r="GJ46" s="101">
        <v>181</v>
      </c>
      <c r="GK46" s="101">
        <v>252</v>
      </c>
      <c r="GL46" s="101">
        <v>135</v>
      </c>
      <c r="GM46" s="101">
        <v>212</v>
      </c>
      <c r="GN46" s="101">
        <v>157</v>
      </c>
      <c r="GO46" s="101">
        <v>175</v>
      </c>
      <c r="GP46" s="38">
        <f t="shared" si="22"/>
        <v>1992</v>
      </c>
      <c r="GQ46" s="26"/>
      <c r="GR46" s="32">
        <v>235</v>
      </c>
      <c r="GS46" s="32">
        <v>172</v>
      </c>
      <c r="GT46" s="32">
        <v>249</v>
      </c>
      <c r="GU46" s="32">
        <v>280</v>
      </c>
      <c r="GV46" s="32">
        <v>370</v>
      </c>
      <c r="GW46" s="32">
        <v>480</v>
      </c>
      <c r="GX46" s="32">
        <v>368</v>
      </c>
      <c r="GY46" s="32">
        <v>63</v>
      </c>
      <c r="GZ46" s="32">
        <v>376</v>
      </c>
      <c r="HA46" s="32">
        <v>252</v>
      </c>
      <c r="HB46" s="32">
        <v>206</v>
      </c>
      <c r="HC46" s="32">
        <v>208</v>
      </c>
      <c r="HD46" s="38">
        <f t="shared" si="23"/>
        <v>3259</v>
      </c>
      <c r="HE46" s="26"/>
      <c r="HF46" s="45">
        <v>723</v>
      </c>
      <c r="HG46" s="45">
        <v>731</v>
      </c>
      <c r="HH46" s="45">
        <v>843</v>
      </c>
      <c r="HI46" s="45">
        <v>747</v>
      </c>
      <c r="HJ46" s="45">
        <v>667</v>
      </c>
      <c r="HK46" s="45">
        <v>722</v>
      </c>
      <c r="HL46" s="45">
        <v>684</v>
      </c>
      <c r="HM46" s="45">
        <v>720</v>
      </c>
      <c r="HN46" s="45">
        <v>761</v>
      </c>
      <c r="HO46" s="45">
        <v>715</v>
      </c>
      <c r="HP46" s="45">
        <v>550</v>
      </c>
      <c r="HQ46" s="45">
        <v>549</v>
      </c>
      <c r="HR46" s="38">
        <f t="shared" si="24"/>
        <v>8412</v>
      </c>
      <c r="HS46" s="26"/>
      <c r="HT46" s="32">
        <v>174</v>
      </c>
      <c r="HU46" s="32">
        <v>137</v>
      </c>
      <c r="HV46" s="32">
        <v>223</v>
      </c>
      <c r="HW46" s="32">
        <v>176</v>
      </c>
      <c r="HX46" s="32">
        <v>285</v>
      </c>
      <c r="HY46" s="32">
        <v>191</v>
      </c>
      <c r="HZ46" s="32">
        <v>168</v>
      </c>
      <c r="IA46" s="32">
        <v>173</v>
      </c>
      <c r="IB46" s="32">
        <v>170</v>
      </c>
      <c r="IC46" s="32">
        <v>184</v>
      </c>
      <c r="ID46" s="32">
        <v>105</v>
      </c>
      <c r="IE46" s="32">
        <v>100</v>
      </c>
      <c r="IF46" s="38">
        <f t="shared" si="3"/>
        <v>2086</v>
      </c>
      <c r="IG46" s="104">
        <v>432</v>
      </c>
      <c r="IH46" s="104">
        <v>501</v>
      </c>
      <c r="II46" s="104">
        <v>419</v>
      </c>
      <c r="IJ46" s="104">
        <v>367</v>
      </c>
      <c r="IK46" s="104">
        <v>251</v>
      </c>
      <c r="IL46" s="104">
        <v>387</v>
      </c>
      <c r="IM46" s="104">
        <v>423</v>
      </c>
      <c r="IN46" s="104">
        <v>367</v>
      </c>
      <c r="IO46" s="104">
        <v>329</v>
      </c>
      <c r="IP46" s="104">
        <v>395</v>
      </c>
      <c r="IQ46" s="104">
        <v>338</v>
      </c>
      <c r="IR46" s="104">
        <v>325</v>
      </c>
      <c r="IS46" s="38">
        <f t="shared" si="25"/>
        <v>4534</v>
      </c>
      <c r="IT46" s="36">
        <f t="shared" si="26"/>
        <v>6620</v>
      </c>
      <c r="IU46" s="26"/>
      <c r="IV46" s="32">
        <v>182</v>
      </c>
      <c r="IW46" s="32">
        <v>158</v>
      </c>
      <c r="IX46" s="32">
        <v>200</v>
      </c>
      <c r="IY46" s="32">
        <v>199</v>
      </c>
      <c r="IZ46" s="32">
        <v>223</v>
      </c>
      <c r="JA46" s="32">
        <v>257</v>
      </c>
      <c r="JB46" s="32">
        <v>256</v>
      </c>
      <c r="JC46" s="32">
        <v>248</v>
      </c>
      <c r="JD46" s="32">
        <v>198</v>
      </c>
      <c r="JE46" s="32">
        <v>223</v>
      </c>
      <c r="JF46" s="32">
        <v>194</v>
      </c>
      <c r="JG46" s="32">
        <v>197</v>
      </c>
      <c r="JH46" s="38">
        <f t="shared" si="27"/>
        <v>2535</v>
      </c>
      <c r="JI46" s="32">
        <v>384</v>
      </c>
      <c r="JJ46" s="32">
        <v>446</v>
      </c>
      <c r="JK46" s="32">
        <v>577</v>
      </c>
      <c r="JL46" s="32">
        <v>606</v>
      </c>
      <c r="JM46" s="32">
        <v>559</v>
      </c>
      <c r="JN46" s="32">
        <v>554</v>
      </c>
      <c r="JO46" s="32">
        <v>635</v>
      </c>
      <c r="JP46" s="32">
        <v>450</v>
      </c>
      <c r="JQ46" s="32">
        <v>528</v>
      </c>
      <c r="JR46" s="32">
        <v>473</v>
      </c>
      <c r="JS46" s="32">
        <v>395</v>
      </c>
      <c r="JT46" s="32">
        <v>275</v>
      </c>
      <c r="JU46" s="112">
        <f t="shared" si="4"/>
        <v>5882</v>
      </c>
      <c r="JV46" s="36">
        <f t="shared" si="28"/>
        <v>8417</v>
      </c>
      <c r="JW46" s="26"/>
      <c r="JX46" s="32">
        <v>71</v>
      </c>
      <c r="JY46" s="32">
        <v>103</v>
      </c>
      <c r="JZ46" s="32">
        <v>159</v>
      </c>
      <c r="KA46" s="32">
        <v>68</v>
      </c>
      <c r="KB46" s="32">
        <v>72</v>
      </c>
      <c r="KC46" s="32">
        <v>75</v>
      </c>
      <c r="KD46" s="32">
        <v>164</v>
      </c>
      <c r="KE46" s="32">
        <v>126</v>
      </c>
      <c r="KF46" s="32">
        <v>129</v>
      </c>
      <c r="KG46" s="32">
        <v>125</v>
      </c>
      <c r="KH46" s="32">
        <v>48</v>
      </c>
      <c r="KI46" s="32">
        <v>84</v>
      </c>
      <c r="KJ46" s="38">
        <f t="shared" si="29"/>
        <v>1224</v>
      </c>
      <c r="KK46" s="114">
        <v>787</v>
      </c>
      <c r="KL46" s="113">
        <v>682</v>
      </c>
      <c r="KM46" s="113">
        <v>644</v>
      </c>
      <c r="KN46" s="32">
        <v>558</v>
      </c>
      <c r="KO46" s="32">
        <v>670</v>
      </c>
      <c r="KP46" s="32">
        <v>750</v>
      </c>
      <c r="KQ46" s="32">
        <v>579</v>
      </c>
      <c r="KR46" s="32">
        <v>681</v>
      </c>
      <c r="KS46" s="32">
        <v>594</v>
      </c>
      <c r="KT46" s="32">
        <v>571</v>
      </c>
      <c r="KU46" s="32">
        <v>463</v>
      </c>
      <c r="KV46" s="32">
        <v>475</v>
      </c>
      <c r="KW46" s="38">
        <f t="shared" si="5"/>
        <v>7454</v>
      </c>
      <c r="KX46" s="36">
        <f t="shared" si="30"/>
        <v>8678</v>
      </c>
      <c r="KY46" s="26"/>
      <c r="KZ46" s="101">
        <v>474</v>
      </c>
      <c r="LA46" s="101">
        <v>449</v>
      </c>
      <c r="LB46" s="101">
        <v>519</v>
      </c>
      <c r="LC46" s="101">
        <v>475</v>
      </c>
      <c r="LD46" s="101">
        <v>520</v>
      </c>
      <c r="LE46" s="101">
        <v>528</v>
      </c>
      <c r="LF46" s="101">
        <v>562</v>
      </c>
      <c r="LG46" s="101">
        <v>640</v>
      </c>
      <c r="LH46" s="101">
        <v>567</v>
      </c>
      <c r="LI46" s="101">
        <v>419</v>
      </c>
      <c r="LJ46" s="101">
        <v>413</v>
      </c>
      <c r="LK46" s="101">
        <v>349</v>
      </c>
      <c r="LL46" s="38">
        <f t="shared" si="6"/>
        <v>5915</v>
      </c>
      <c r="LM46" s="26"/>
      <c r="LN46" s="45">
        <v>771</v>
      </c>
      <c r="LO46" s="45">
        <v>1632</v>
      </c>
      <c r="LP46" s="45">
        <v>1926</v>
      </c>
      <c r="LQ46" s="45">
        <v>1322</v>
      </c>
      <c r="LR46" s="45">
        <v>1483</v>
      </c>
      <c r="LS46" s="45">
        <v>1520</v>
      </c>
      <c r="LT46" s="45">
        <v>660</v>
      </c>
      <c r="LU46" s="45">
        <v>2248</v>
      </c>
      <c r="LV46" s="45">
        <v>1288</v>
      </c>
      <c r="LW46" s="45">
        <v>1291</v>
      </c>
      <c r="LX46" s="45">
        <v>968</v>
      </c>
      <c r="LY46" s="45">
        <v>927</v>
      </c>
      <c r="LZ46" s="38">
        <f t="shared" si="31"/>
        <v>16036</v>
      </c>
      <c r="MA46" s="26"/>
      <c r="MB46" s="45">
        <v>1979</v>
      </c>
      <c r="MC46" s="45">
        <v>1601</v>
      </c>
      <c r="MD46" s="45">
        <v>1948</v>
      </c>
      <c r="ME46" s="45">
        <v>1147</v>
      </c>
      <c r="MF46" s="45">
        <v>1695</v>
      </c>
      <c r="MG46" s="45">
        <v>1060</v>
      </c>
      <c r="MH46" s="45">
        <v>1496</v>
      </c>
      <c r="MI46" s="45">
        <v>2098</v>
      </c>
      <c r="MJ46" s="45">
        <v>1640</v>
      </c>
      <c r="MK46" s="45">
        <v>1798</v>
      </c>
      <c r="ML46" s="45">
        <v>1084</v>
      </c>
      <c r="MM46" s="45">
        <v>897</v>
      </c>
      <c r="MN46" s="38">
        <f t="shared" si="32"/>
        <v>18443</v>
      </c>
      <c r="MO46" s="32">
        <v>526</v>
      </c>
      <c r="MP46" s="32">
        <v>462</v>
      </c>
      <c r="MQ46" s="32">
        <v>766</v>
      </c>
      <c r="MR46" s="32">
        <v>625</v>
      </c>
      <c r="MS46" s="32">
        <v>468</v>
      </c>
      <c r="MT46" s="32">
        <v>814</v>
      </c>
      <c r="MU46" s="32">
        <v>784</v>
      </c>
      <c r="MV46" s="32">
        <v>1101</v>
      </c>
      <c r="MW46" s="32">
        <v>970</v>
      </c>
      <c r="MX46" s="32">
        <v>1234</v>
      </c>
      <c r="MY46" s="32">
        <v>851</v>
      </c>
      <c r="MZ46" s="32">
        <v>789</v>
      </c>
      <c r="NA46" s="38">
        <f t="shared" si="33"/>
        <v>9390</v>
      </c>
      <c r="NB46" s="36">
        <f t="shared" si="34"/>
        <v>27833</v>
      </c>
      <c r="NC46" s="26"/>
      <c r="ND46" s="98">
        <v>172</v>
      </c>
      <c r="NE46" s="101">
        <v>180</v>
      </c>
      <c r="NF46" s="101">
        <v>229</v>
      </c>
      <c r="NG46" s="101">
        <v>158</v>
      </c>
      <c r="NH46" s="101">
        <v>145</v>
      </c>
      <c r="NI46" s="101">
        <v>181</v>
      </c>
      <c r="NJ46" s="101">
        <v>192</v>
      </c>
      <c r="NK46" s="101">
        <v>190</v>
      </c>
      <c r="NL46" s="101">
        <v>510</v>
      </c>
      <c r="NM46" s="101">
        <v>459</v>
      </c>
      <c r="NN46" s="101">
        <v>199</v>
      </c>
      <c r="NO46" s="101">
        <v>148</v>
      </c>
      <c r="NP46" s="38">
        <f t="shared" si="35"/>
        <v>2763</v>
      </c>
      <c r="NQ46" s="36">
        <f t="shared" si="36"/>
        <v>29710</v>
      </c>
      <c r="NR46" s="36">
        <f t="shared" si="37"/>
        <v>106590</v>
      </c>
      <c r="NS46" s="36">
        <f t="shared" si="38"/>
        <v>36357</v>
      </c>
      <c r="NT46" s="36">
        <f t="shared" si="39"/>
        <v>172657</v>
      </c>
      <c r="NU46" s="10"/>
      <c r="NV46" s="10"/>
      <c r="NW46" s="10"/>
      <c r="NX46" s="10"/>
      <c r="NY46" s="10"/>
      <c r="NZ46" s="10"/>
      <c r="OA46" s="10"/>
      <c r="OB46" s="10"/>
      <c r="OC46" s="19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9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9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</row>
    <row r="47" spans="1:458" s="1" customFormat="1" ht="50.1" customHeight="1" x14ac:dyDescent="0.25">
      <c r="A47" s="120"/>
      <c r="B47" s="6" t="s">
        <v>18</v>
      </c>
      <c r="C47" s="24"/>
      <c r="D47" s="41">
        <v>136</v>
      </c>
      <c r="E47" s="41">
        <v>128</v>
      </c>
      <c r="F47" s="41">
        <v>109</v>
      </c>
      <c r="G47" s="41">
        <v>60</v>
      </c>
      <c r="H47" s="41">
        <v>95</v>
      </c>
      <c r="I47" s="41">
        <v>55</v>
      </c>
      <c r="J47" s="41">
        <v>51</v>
      </c>
      <c r="K47" s="41">
        <v>65</v>
      </c>
      <c r="L47" s="41">
        <v>80</v>
      </c>
      <c r="M47" s="41">
        <v>78</v>
      </c>
      <c r="N47" s="41">
        <v>122</v>
      </c>
      <c r="O47" s="41">
        <v>103</v>
      </c>
      <c r="P47" s="38">
        <f t="shared" si="7"/>
        <v>1082</v>
      </c>
      <c r="Q47" s="49">
        <v>530</v>
      </c>
      <c r="R47" s="49">
        <v>608</v>
      </c>
      <c r="S47" s="49">
        <v>615</v>
      </c>
      <c r="T47" s="49">
        <v>602</v>
      </c>
      <c r="U47" s="49">
        <v>670</v>
      </c>
      <c r="V47" s="49">
        <v>721</v>
      </c>
      <c r="W47" s="49">
        <v>611</v>
      </c>
      <c r="X47" s="49">
        <v>560</v>
      </c>
      <c r="Y47" s="49">
        <v>291</v>
      </c>
      <c r="Z47" s="49">
        <v>316</v>
      </c>
      <c r="AA47" s="49">
        <v>288</v>
      </c>
      <c r="AB47" s="49">
        <v>356</v>
      </c>
      <c r="AC47" s="38">
        <f t="shared" si="8"/>
        <v>6168</v>
      </c>
      <c r="AD47" s="36">
        <f t="shared" si="9"/>
        <v>7250</v>
      </c>
      <c r="AE47" s="26"/>
      <c r="AF47" s="32">
        <v>7</v>
      </c>
      <c r="AG47" s="32">
        <v>7</v>
      </c>
      <c r="AH47" s="32">
        <v>4</v>
      </c>
      <c r="AI47" s="32">
        <v>3</v>
      </c>
      <c r="AJ47" s="32">
        <v>1</v>
      </c>
      <c r="AK47" s="32">
        <v>1</v>
      </c>
      <c r="AL47" s="32">
        <v>2</v>
      </c>
      <c r="AM47" s="32">
        <v>92</v>
      </c>
      <c r="AN47" s="32">
        <v>102</v>
      </c>
      <c r="AO47" s="32">
        <v>136</v>
      </c>
      <c r="AP47" s="32">
        <v>110</v>
      </c>
      <c r="AQ47" s="32">
        <v>66</v>
      </c>
      <c r="AR47" s="38">
        <f t="shared" si="10"/>
        <v>531</v>
      </c>
      <c r="AS47" s="32">
        <v>49</v>
      </c>
      <c r="AT47" s="32">
        <v>20</v>
      </c>
      <c r="AU47" s="32">
        <v>12</v>
      </c>
      <c r="AV47" s="32">
        <v>21</v>
      </c>
      <c r="AW47" s="32">
        <v>28</v>
      </c>
      <c r="AX47" s="32">
        <v>45</v>
      </c>
      <c r="AY47" s="32">
        <v>46</v>
      </c>
      <c r="AZ47" s="41">
        <v>10</v>
      </c>
      <c r="BA47" s="32">
        <v>8</v>
      </c>
      <c r="BB47" s="32">
        <v>13</v>
      </c>
      <c r="BC47" s="32">
        <v>17</v>
      </c>
      <c r="BD47" s="32">
        <v>10</v>
      </c>
      <c r="BE47" s="38">
        <f t="shared" si="11"/>
        <v>279</v>
      </c>
      <c r="BF47" s="36">
        <f t="shared" si="12"/>
        <v>810</v>
      </c>
      <c r="BG47" s="26"/>
      <c r="BH47" s="41">
        <v>9</v>
      </c>
      <c r="BI47" s="41">
        <v>28</v>
      </c>
      <c r="BJ47" s="41">
        <v>14</v>
      </c>
      <c r="BK47" s="41">
        <v>24</v>
      </c>
      <c r="BL47" s="41">
        <v>21</v>
      </c>
      <c r="BM47" s="41">
        <v>16</v>
      </c>
      <c r="BN47" s="41">
        <v>16</v>
      </c>
      <c r="BO47" s="41">
        <v>15</v>
      </c>
      <c r="BP47" s="41">
        <v>17</v>
      </c>
      <c r="BQ47" s="41">
        <v>39</v>
      </c>
      <c r="BR47" s="41">
        <v>27</v>
      </c>
      <c r="BS47" s="41">
        <v>5</v>
      </c>
      <c r="BT47" s="38">
        <f t="shared" si="13"/>
        <v>231</v>
      </c>
      <c r="BU47" s="56">
        <v>24</v>
      </c>
      <c r="BV47" s="56">
        <v>31</v>
      </c>
      <c r="BW47" s="56">
        <v>55</v>
      </c>
      <c r="BX47" s="56">
        <v>13</v>
      </c>
      <c r="BY47" s="56">
        <v>49</v>
      </c>
      <c r="BZ47" s="56">
        <v>30</v>
      </c>
      <c r="CA47" s="56">
        <v>29</v>
      </c>
      <c r="CB47" s="56">
        <v>28</v>
      </c>
      <c r="CC47" s="56">
        <v>40</v>
      </c>
      <c r="CD47" s="56">
        <v>29</v>
      </c>
      <c r="CE47" s="56">
        <v>28</v>
      </c>
      <c r="CF47" s="56">
        <v>30</v>
      </c>
      <c r="CG47" s="61">
        <f t="shared" si="14"/>
        <v>386</v>
      </c>
      <c r="CH47" s="57">
        <f t="shared" si="15"/>
        <v>617</v>
      </c>
      <c r="CI47" s="26"/>
      <c r="CJ47" s="32">
        <v>18</v>
      </c>
      <c r="CK47" s="32">
        <v>10</v>
      </c>
      <c r="CL47" s="32">
        <v>0</v>
      </c>
      <c r="CM47" s="32">
        <v>13</v>
      </c>
      <c r="CN47" s="32">
        <v>9</v>
      </c>
      <c r="CO47" s="32">
        <v>9</v>
      </c>
      <c r="CP47" s="32">
        <v>11</v>
      </c>
      <c r="CQ47" s="32">
        <v>15</v>
      </c>
      <c r="CR47" s="32">
        <v>15</v>
      </c>
      <c r="CS47" s="32">
        <v>24</v>
      </c>
      <c r="CT47" s="32">
        <v>13</v>
      </c>
      <c r="CU47" s="69">
        <v>25</v>
      </c>
      <c r="CV47" s="38">
        <f t="shared" si="16"/>
        <v>162</v>
      </c>
      <c r="CW47" s="45">
        <v>79</v>
      </c>
      <c r="CX47" s="45">
        <v>79</v>
      </c>
      <c r="CY47" s="45">
        <v>50</v>
      </c>
      <c r="CZ47" s="45">
        <v>30</v>
      </c>
      <c r="DA47" s="45">
        <v>126</v>
      </c>
      <c r="DB47" s="45">
        <v>59</v>
      </c>
      <c r="DC47" s="45">
        <v>69</v>
      </c>
      <c r="DD47" s="45">
        <v>46</v>
      </c>
      <c r="DE47" s="45">
        <v>89</v>
      </c>
      <c r="DF47" s="45">
        <v>102</v>
      </c>
      <c r="DG47" s="45">
        <v>67</v>
      </c>
      <c r="DH47" s="45">
        <v>101</v>
      </c>
      <c r="DI47" s="38">
        <f t="shared" si="0"/>
        <v>897</v>
      </c>
      <c r="DJ47" s="36">
        <f t="shared" si="17"/>
        <v>1059</v>
      </c>
      <c r="DK47" s="26"/>
      <c r="DL47" s="75">
        <v>1</v>
      </c>
      <c r="DM47" s="75">
        <v>1</v>
      </c>
      <c r="DN47" s="75">
        <v>0</v>
      </c>
      <c r="DO47" s="75">
        <v>0</v>
      </c>
      <c r="DP47" s="75">
        <v>0</v>
      </c>
      <c r="DQ47" s="75">
        <v>0</v>
      </c>
      <c r="DR47" s="75">
        <v>0</v>
      </c>
      <c r="DS47" s="75">
        <v>0</v>
      </c>
      <c r="DT47" s="75">
        <v>1</v>
      </c>
      <c r="DU47" s="75">
        <v>2</v>
      </c>
      <c r="DV47" s="75">
        <v>4</v>
      </c>
      <c r="DW47" s="84">
        <v>3</v>
      </c>
      <c r="DX47" s="38">
        <f t="shared" si="1"/>
        <v>12</v>
      </c>
      <c r="DY47" s="65">
        <v>31</v>
      </c>
      <c r="DZ47" s="65">
        <v>16</v>
      </c>
      <c r="EA47" s="65">
        <v>26</v>
      </c>
      <c r="EB47" s="65">
        <v>11</v>
      </c>
      <c r="EC47" s="65">
        <v>41</v>
      </c>
      <c r="ED47" s="65">
        <v>21</v>
      </c>
      <c r="EE47" s="65">
        <v>40</v>
      </c>
      <c r="EF47" s="65">
        <v>11</v>
      </c>
      <c r="EG47" s="65">
        <v>16</v>
      </c>
      <c r="EH47" s="65">
        <v>46</v>
      </c>
      <c r="EI47" s="65">
        <v>31</v>
      </c>
      <c r="EJ47" s="65">
        <v>47</v>
      </c>
      <c r="EK47" s="38">
        <f t="shared" si="18"/>
        <v>337</v>
      </c>
      <c r="EL47" s="36">
        <f t="shared" si="19"/>
        <v>349</v>
      </c>
      <c r="EM47" s="26"/>
      <c r="EN47" s="101">
        <v>22</v>
      </c>
      <c r="EO47" s="101">
        <v>12</v>
      </c>
      <c r="EP47" s="101">
        <v>20</v>
      </c>
      <c r="EQ47" s="101">
        <v>19</v>
      </c>
      <c r="ER47" s="101">
        <v>2</v>
      </c>
      <c r="ES47" s="101">
        <v>13</v>
      </c>
      <c r="ET47" s="101">
        <v>11</v>
      </c>
      <c r="EU47" s="32">
        <v>7</v>
      </c>
      <c r="EV47" s="32">
        <v>13</v>
      </c>
      <c r="EW47" s="32">
        <v>13</v>
      </c>
      <c r="EX47" s="32">
        <v>10</v>
      </c>
      <c r="EY47" s="32">
        <v>5</v>
      </c>
      <c r="EZ47" s="38">
        <f t="shared" si="2"/>
        <v>147</v>
      </c>
      <c r="FA47" s="26"/>
      <c r="FB47" s="54">
        <v>56</v>
      </c>
      <c r="FC47" s="54">
        <v>27</v>
      </c>
      <c r="FD47" s="54">
        <v>31</v>
      </c>
      <c r="FE47" s="54">
        <v>41</v>
      </c>
      <c r="FF47" s="54">
        <v>39</v>
      </c>
      <c r="FG47" s="54">
        <v>57</v>
      </c>
      <c r="FH47" s="54">
        <v>66</v>
      </c>
      <c r="FI47" s="54">
        <v>57</v>
      </c>
      <c r="FJ47" s="54">
        <v>193</v>
      </c>
      <c r="FK47" s="54">
        <v>144</v>
      </c>
      <c r="FL47" s="54">
        <v>199</v>
      </c>
      <c r="FM47" s="54">
        <v>216</v>
      </c>
      <c r="FN47" s="38">
        <f t="shared" si="20"/>
        <v>1126</v>
      </c>
      <c r="FO47" s="26"/>
      <c r="FP47" s="54">
        <v>15</v>
      </c>
      <c r="FQ47" s="32">
        <v>3</v>
      </c>
      <c r="FR47" s="32">
        <v>0</v>
      </c>
      <c r="FS47" s="32">
        <v>0</v>
      </c>
      <c r="FT47" s="32">
        <v>1</v>
      </c>
      <c r="FU47" s="32">
        <v>10</v>
      </c>
      <c r="FV47" s="32">
        <v>11</v>
      </c>
      <c r="FW47" s="32">
        <v>6</v>
      </c>
      <c r="FX47" s="32">
        <v>7</v>
      </c>
      <c r="FY47" s="32">
        <v>4</v>
      </c>
      <c r="FZ47" s="32">
        <v>3</v>
      </c>
      <c r="GA47" s="32">
        <v>6</v>
      </c>
      <c r="GB47" s="38">
        <f t="shared" si="21"/>
        <v>66</v>
      </c>
      <c r="GC47" s="26"/>
      <c r="GD47" s="101">
        <v>140</v>
      </c>
      <c r="GE47" s="101">
        <v>81</v>
      </c>
      <c r="GF47" s="101">
        <v>146</v>
      </c>
      <c r="GG47" s="101">
        <v>125</v>
      </c>
      <c r="GH47" s="101">
        <v>145</v>
      </c>
      <c r="GI47" s="101">
        <v>113</v>
      </c>
      <c r="GJ47" s="101">
        <v>49</v>
      </c>
      <c r="GK47" s="101">
        <v>37</v>
      </c>
      <c r="GL47" s="101">
        <v>84</v>
      </c>
      <c r="GM47" s="101">
        <v>74</v>
      </c>
      <c r="GN47" s="101">
        <v>54</v>
      </c>
      <c r="GO47" s="101">
        <v>64</v>
      </c>
      <c r="GP47" s="38">
        <f t="shared" si="22"/>
        <v>1112</v>
      </c>
      <c r="GQ47" s="26"/>
      <c r="GR47" s="32">
        <v>36</v>
      </c>
      <c r="GS47" s="32">
        <v>9</v>
      </c>
      <c r="GT47" s="32">
        <v>11</v>
      </c>
      <c r="GU47" s="32">
        <v>23</v>
      </c>
      <c r="GV47" s="32">
        <v>37</v>
      </c>
      <c r="GW47" s="32">
        <v>28</v>
      </c>
      <c r="GX47" s="32">
        <v>39</v>
      </c>
      <c r="GY47" s="32">
        <v>3</v>
      </c>
      <c r="GZ47" s="32">
        <v>32</v>
      </c>
      <c r="HA47" s="32">
        <v>9</v>
      </c>
      <c r="HB47" s="32">
        <v>31</v>
      </c>
      <c r="HC47" s="32">
        <v>9</v>
      </c>
      <c r="HD47" s="38">
        <f t="shared" si="23"/>
        <v>267</v>
      </c>
      <c r="HE47" s="26"/>
      <c r="HF47" s="45">
        <v>54</v>
      </c>
      <c r="HG47" s="45">
        <v>44</v>
      </c>
      <c r="HH47" s="45">
        <v>76</v>
      </c>
      <c r="HI47" s="45">
        <v>62</v>
      </c>
      <c r="HJ47" s="45">
        <v>92</v>
      </c>
      <c r="HK47" s="45">
        <v>66</v>
      </c>
      <c r="HL47" s="45">
        <v>84</v>
      </c>
      <c r="HM47" s="45">
        <v>75</v>
      </c>
      <c r="HN47" s="45">
        <v>65</v>
      </c>
      <c r="HO47" s="45">
        <v>39</v>
      </c>
      <c r="HP47" s="45">
        <v>59</v>
      </c>
      <c r="HQ47" s="45">
        <v>50</v>
      </c>
      <c r="HR47" s="38">
        <f t="shared" si="24"/>
        <v>766</v>
      </c>
      <c r="HS47" s="26"/>
      <c r="HT47" s="32">
        <v>9</v>
      </c>
      <c r="HU47" s="32">
        <v>4</v>
      </c>
      <c r="HV47" s="32">
        <v>12</v>
      </c>
      <c r="HW47" s="32">
        <v>1</v>
      </c>
      <c r="HX47" s="32">
        <v>27</v>
      </c>
      <c r="HY47" s="32">
        <v>4</v>
      </c>
      <c r="HZ47" s="32">
        <v>20</v>
      </c>
      <c r="IA47" s="32">
        <v>4</v>
      </c>
      <c r="IB47" s="32">
        <v>4</v>
      </c>
      <c r="IC47" s="32">
        <v>13</v>
      </c>
      <c r="ID47" s="32">
        <v>7</v>
      </c>
      <c r="IE47" s="32">
        <v>9</v>
      </c>
      <c r="IF47" s="38">
        <f t="shared" si="3"/>
        <v>114</v>
      </c>
      <c r="IG47" s="104">
        <v>55</v>
      </c>
      <c r="IH47" s="104">
        <v>30</v>
      </c>
      <c r="II47" s="104">
        <v>24</v>
      </c>
      <c r="IJ47" s="104">
        <v>24</v>
      </c>
      <c r="IK47" s="104">
        <v>47</v>
      </c>
      <c r="IL47" s="104">
        <v>43</v>
      </c>
      <c r="IM47" s="104">
        <v>36</v>
      </c>
      <c r="IN47" s="104">
        <v>14</v>
      </c>
      <c r="IO47" s="104">
        <v>7</v>
      </c>
      <c r="IP47" s="104">
        <v>47</v>
      </c>
      <c r="IQ47" s="104">
        <v>31</v>
      </c>
      <c r="IR47" s="104">
        <v>16</v>
      </c>
      <c r="IS47" s="38">
        <f t="shared" si="25"/>
        <v>374</v>
      </c>
      <c r="IT47" s="36">
        <f t="shared" si="26"/>
        <v>488</v>
      </c>
      <c r="IU47" s="26"/>
      <c r="IV47" s="32">
        <v>31</v>
      </c>
      <c r="IW47" s="32">
        <v>11</v>
      </c>
      <c r="IX47" s="32">
        <v>18</v>
      </c>
      <c r="IY47" s="32">
        <v>11</v>
      </c>
      <c r="IZ47" s="32">
        <v>10</v>
      </c>
      <c r="JA47" s="32">
        <v>6</v>
      </c>
      <c r="JB47" s="32">
        <v>24</v>
      </c>
      <c r="JC47" s="32">
        <v>25</v>
      </c>
      <c r="JD47" s="32">
        <v>100</v>
      </c>
      <c r="JE47" s="32">
        <v>26</v>
      </c>
      <c r="JF47" s="32">
        <v>17</v>
      </c>
      <c r="JG47" s="32">
        <v>21</v>
      </c>
      <c r="JH47" s="38">
        <f t="shared" si="27"/>
        <v>300</v>
      </c>
      <c r="JI47" s="32">
        <v>254</v>
      </c>
      <c r="JJ47" s="32">
        <v>136</v>
      </c>
      <c r="JK47" s="32">
        <v>163</v>
      </c>
      <c r="JL47" s="32">
        <v>145</v>
      </c>
      <c r="JM47" s="32">
        <v>136</v>
      </c>
      <c r="JN47" s="32">
        <v>190</v>
      </c>
      <c r="JO47" s="32">
        <v>143</v>
      </c>
      <c r="JP47" s="32">
        <v>121</v>
      </c>
      <c r="JQ47" s="32">
        <v>140</v>
      </c>
      <c r="JR47" s="32">
        <v>135</v>
      </c>
      <c r="JS47" s="32">
        <v>91</v>
      </c>
      <c r="JT47" s="32">
        <v>73</v>
      </c>
      <c r="JU47" s="112">
        <f t="shared" si="4"/>
        <v>1727</v>
      </c>
      <c r="JV47" s="36">
        <f t="shared" si="28"/>
        <v>2027</v>
      </c>
      <c r="JW47" s="26"/>
      <c r="JX47" s="32">
        <v>2</v>
      </c>
      <c r="JY47" s="32">
        <v>2</v>
      </c>
      <c r="JZ47" s="32">
        <v>5</v>
      </c>
      <c r="KA47" s="32">
        <v>2</v>
      </c>
      <c r="KB47" s="32">
        <v>5</v>
      </c>
      <c r="KC47" s="32">
        <v>12</v>
      </c>
      <c r="KD47" s="32">
        <v>16</v>
      </c>
      <c r="KE47" s="32">
        <v>5</v>
      </c>
      <c r="KF47" s="32">
        <v>6</v>
      </c>
      <c r="KG47" s="32">
        <v>5</v>
      </c>
      <c r="KH47" s="32">
        <v>12</v>
      </c>
      <c r="KI47" s="32">
        <v>7</v>
      </c>
      <c r="KJ47" s="38">
        <f t="shared" si="29"/>
        <v>79</v>
      </c>
      <c r="KK47" s="114">
        <v>109</v>
      </c>
      <c r="KL47" s="113">
        <v>62</v>
      </c>
      <c r="KM47" s="113">
        <v>47</v>
      </c>
      <c r="KN47" s="32">
        <v>31</v>
      </c>
      <c r="KO47" s="32">
        <v>63</v>
      </c>
      <c r="KP47" s="32">
        <v>56</v>
      </c>
      <c r="KQ47" s="32">
        <v>56</v>
      </c>
      <c r="KR47" s="32">
        <v>87</v>
      </c>
      <c r="KS47" s="32">
        <v>32</v>
      </c>
      <c r="KT47" s="32">
        <v>19</v>
      </c>
      <c r="KU47" s="32">
        <v>35</v>
      </c>
      <c r="KV47" s="32">
        <v>40</v>
      </c>
      <c r="KW47" s="38">
        <f>SUM(KK47:KV47)</f>
        <v>637</v>
      </c>
      <c r="KX47" s="36">
        <f t="shared" si="30"/>
        <v>716</v>
      </c>
      <c r="KY47" s="26"/>
      <c r="KZ47" s="101">
        <v>33</v>
      </c>
      <c r="LA47" s="101">
        <v>33</v>
      </c>
      <c r="LB47" s="101">
        <v>24</v>
      </c>
      <c r="LC47" s="101">
        <v>37</v>
      </c>
      <c r="LD47" s="101">
        <v>48</v>
      </c>
      <c r="LE47" s="101">
        <v>44</v>
      </c>
      <c r="LF47" s="101">
        <v>42</v>
      </c>
      <c r="LG47" s="101">
        <v>48</v>
      </c>
      <c r="LH47" s="101">
        <v>38</v>
      </c>
      <c r="LI47" s="101">
        <v>64</v>
      </c>
      <c r="LJ47" s="101">
        <v>48</v>
      </c>
      <c r="LK47" s="101">
        <v>47</v>
      </c>
      <c r="LL47" s="38">
        <f t="shared" si="6"/>
        <v>506</v>
      </c>
      <c r="LM47" s="26"/>
      <c r="LN47" s="45">
        <v>78</v>
      </c>
      <c r="LO47" s="45">
        <v>226</v>
      </c>
      <c r="LP47" s="45">
        <v>217</v>
      </c>
      <c r="LQ47" s="45">
        <v>98</v>
      </c>
      <c r="LR47" s="45">
        <v>128</v>
      </c>
      <c r="LS47" s="45">
        <v>145</v>
      </c>
      <c r="LT47" s="45">
        <v>161</v>
      </c>
      <c r="LU47" s="45">
        <v>433</v>
      </c>
      <c r="LV47" s="45">
        <v>94</v>
      </c>
      <c r="LW47" s="45">
        <v>66</v>
      </c>
      <c r="LX47" s="45">
        <v>76</v>
      </c>
      <c r="LY47" s="45">
        <v>74</v>
      </c>
      <c r="LZ47" s="38">
        <f t="shared" si="31"/>
        <v>1796</v>
      </c>
      <c r="MA47" s="26"/>
      <c r="MB47" s="45">
        <v>122</v>
      </c>
      <c r="MC47" s="45">
        <v>192</v>
      </c>
      <c r="MD47" s="45">
        <v>81</v>
      </c>
      <c r="ME47" s="45">
        <v>69</v>
      </c>
      <c r="MF47" s="45">
        <v>169</v>
      </c>
      <c r="MG47" s="45">
        <v>107</v>
      </c>
      <c r="MH47" s="45">
        <v>114</v>
      </c>
      <c r="MI47" s="45">
        <v>31</v>
      </c>
      <c r="MJ47" s="45">
        <v>61</v>
      </c>
      <c r="MK47" s="45">
        <v>181</v>
      </c>
      <c r="ML47" s="45">
        <v>77</v>
      </c>
      <c r="MM47" s="45">
        <v>56</v>
      </c>
      <c r="MN47" s="38">
        <f t="shared" si="32"/>
        <v>1260</v>
      </c>
      <c r="MO47" s="32">
        <v>114</v>
      </c>
      <c r="MP47" s="32">
        <v>104</v>
      </c>
      <c r="MQ47" s="32">
        <v>125</v>
      </c>
      <c r="MR47" s="32">
        <v>82</v>
      </c>
      <c r="MS47" s="32">
        <v>168</v>
      </c>
      <c r="MT47" s="32">
        <v>159</v>
      </c>
      <c r="MU47" s="32">
        <v>171</v>
      </c>
      <c r="MV47" s="32">
        <v>169</v>
      </c>
      <c r="MW47" s="32">
        <v>226</v>
      </c>
      <c r="MX47" s="32">
        <v>107</v>
      </c>
      <c r="MY47" s="32">
        <v>110</v>
      </c>
      <c r="MZ47" s="32">
        <v>146</v>
      </c>
      <c r="NA47" s="38">
        <f t="shared" si="33"/>
        <v>1681</v>
      </c>
      <c r="NB47" s="36">
        <f t="shared" si="34"/>
        <v>2941</v>
      </c>
      <c r="NC47" s="26"/>
      <c r="ND47" s="98">
        <v>6</v>
      </c>
      <c r="NE47" s="101">
        <v>10</v>
      </c>
      <c r="NF47" s="101">
        <v>10</v>
      </c>
      <c r="NG47" s="101">
        <v>11</v>
      </c>
      <c r="NH47" s="101">
        <v>20</v>
      </c>
      <c r="NI47" s="101">
        <v>42</v>
      </c>
      <c r="NJ47" s="101">
        <v>37</v>
      </c>
      <c r="NK47" s="101">
        <v>31</v>
      </c>
      <c r="NL47" s="101">
        <v>76</v>
      </c>
      <c r="NM47" s="101">
        <v>57</v>
      </c>
      <c r="NN47" s="101">
        <v>14</v>
      </c>
      <c r="NO47" s="101">
        <v>18</v>
      </c>
      <c r="NP47" s="38">
        <f t="shared" si="35"/>
        <v>332</v>
      </c>
      <c r="NQ47" s="36">
        <f t="shared" si="36"/>
        <v>2478</v>
      </c>
      <c r="NR47" s="36">
        <f t="shared" si="37"/>
        <v>10321</v>
      </c>
      <c r="NS47" s="36">
        <f t="shared" si="38"/>
        <v>9576</v>
      </c>
      <c r="NT47" s="36">
        <f t="shared" si="39"/>
        <v>22375</v>
      </c>
      <c r="NU47" s="10"/>
      <c r="NV47" s="10"/>
      <c r="NW47" s="10"/>
      <c r="NX47" s="10"/>
      <c r="NY47" s="10"/>
      <c r="NZ47" s="10"/>
      <c r="OA47" s="10"/>
      <c r="OB47" s="10"/>
      <c r="OC47" s="19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9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9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</row>
    <row r="48" spans="1:458" s="1" customFormat="1" ht="50.1" customHeight="1" x14ac:dyDescent="0.25">
      <c r="A48" s="120"/>
      <c r="B48" s="6" t="s">
        <v>19</v>
      </c>
      <c r="C48" s="24"/>
      <c r="D48" s="41">
        <v>7</v>
      </c>
      <c r="E48" s="41">
        <v>0</v>
      </c>
      <c r="F48" s="41">
        <v>5</v>
      </c>
      <c r="G48" s="41">
        <v>3</v>
      </c>
      <c r="H48" s="41">
        <v>4</v>
      </c>
      <c r="I48" s="41">
        <v>10</v>
      </c>
      <c r="J48" s="41">
        <v>5</v>
      </c>
      <c r="K48" s="41">
        <v>17</v>
      </c>
      <c r="L48" s="41">
        <v>4</v>
      </c>
      <c r="M48" s="41">
        <v>12</v>
      </c>
      <c r="N48" s="41">
        <v>7</v>
      </c>
      <c r="O48" s="41">
        <v>3</v>
      </c>
      <c r="P48" s="38">
        <f t="shared" si="7"/>
        <v>77</v>
      </c>
      <c r="Q48" s="49">
        <v>146</v>
      </c>
      <c r="R48" s="49">
        <v>96</v>
      </c>
      <c r="S48" s="49">
        <v>81</v>
      </c>
      <c r="T48" s="49">
        <v>169</v>
      </c>
      <c r="U48" s="49">
        <v>187</v>
      </c>
      <c r="V48" s="49">
        <v>168</v>
      </c>
      <c r="W48" s="49">
        <v>210</v>
      </c>
      <c r="X48" s="49">
        <v>122</v>
      </c>
      <c r="Y48" s="49">
        <v>67</v>
      </c>
      <c r="Z48" s="49">
        <v>109</v>
      </c>
      <c r="AA48" s="49">
        <v>65</v>
      </c>
      <c r="AB48" s="49">
        <v>98</v>
      </c>
      <c r="AC48" s="38">
        <f t="shared" si="8"/>
        <v>1518</v>
      </c>
      <c r="AD48" s="36">
        <f t="shared" si="9"/>
        <v>1595</v>
      </c>
      <c r="AE48" s="26"/>
      <c r="AF48" s="32">
        <v>0</v>
      </c>
      <c r="AG48" s="32">
        <v>0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v>2</v>
      </c>
      <c r="AN48" s="32">
        <v>0</v>
      </c>
      <c r="AO48" s="32">
        <v>2</v>
      </c>
      <c r="AP48" s="32">
        <v>2</v>
      </c>
      <c r="AQ48" s="32">
        <v>0</v>
      </c>
      <c r="AR48" s="38">
        <f t="shared" si="10"/>
        <v>6</v>
      </c>
      <c r="AS48" s="32">
        <v>9</v>
      </c>
      <c r="AT48" s="32">
        <v>3</v>
      </c>
      <c r="AU48" s="32">
        <v>2</v>
      </c>
      <c r="AV48" s="32">
        <v>4</v>
      </c>
      <c r="AW48" s="32">
        <v>2</v>
      </c>
      <c r="AX48" s="32">
        <v>4</v>
      </c>
      <c r="AY48" s="32">
        <v>2</v>
      </c>
      <c r="AZ48" s="41">
        <v>2</v>
      </c>
      <c r="BA48" s="32">
        <v>3</v>
      </c>
      <c r="BB48" s="32">
        <v>4</v>
      </c>
      <c r="BC48" s="32">
        <v>1</v>
      </c>
      <c r="BD48" s="32">
        <v>2</v>
      </c>
      <c r="BE48" s="38">
        <f t="shared" si="11"/>
        <v>38</v>
      </c>
      <c r="BF48" s="36">
        <f t="shared" si="12"/>
        <v>44</v>
      </c>
      <c r="BG48" s="26"/>
      <c r="BH48" s="41">
        <v>13</v>
      </c>
      <c r="BI48" s="41">
        <v>19</v>
      </c>
      <c r="BJ48" s="41">
        <v>9</v>
      </c>
      <c r="BK48" s="41">
        <v>13</v>
      </c>
      <c r="BL48" s="41">
        <v>11</v>
      </c>
      <c r="BM48" s="41">
        <v>17</v>
      </c>
      <c r="BN48" s="41">
        <v>23</v>
      </c>
      <c r="BO48" s="41">
        <v>21</v>
      </c>
      <c r="BP48" s="41">
        <v>7</v>
      </c>
      <c r="BQ48" s="41">
        <v>21</v>
      </c>
      <c r="BR48" s="41">
        <v>33</v>
      </c>
      <c r="BS48" s="41">
        <v>5</v>
      </c>
      <c r="BT48" s="38">
        <f t="shared" si="13"/>
        <v>192</v>
      </c>
      <c r="BU48" s="56">
        <v>1</v>
      </c>
      <c r="BV48" s="56">
        <v>2</v>
      </c>
      <c r="BW48" s="56">
        <v>1</v>
      </c>
      <c r="BX48" s="56">
        <v>0</v>
      </c>
      <c r="BY48" s="56">
        <v>1</v>
      </c>
      <c r="BZ48" s="56">
        <v>0</v>
      </c>
      <c r="CA48" s="56">
        <v>1</v>
      </c>
      <c r="CB48" s="56">
        <v>4</v>
      </c>
      <c r="CC48" s="56">
        <v>3</v>
      </c>
      <c r="CD48" s="56">
        <v>3</v>
      </c>
      <c r="CE48" s="56">
        <v>9</v>
      </c>
      <c r="CF48" s="56">
        <v>5</v>
      </c>
      <c r="CG48" s="61">
        <f t="shared" si="14"/>
        <v>30</v>
      </c>
      <c r="CH48" s="57">
        <f t="shared" si="15"/>
        <v>222</v>
      </c>
      <c r="CI48" s="26"/>
      <c r="CJ48" s="32">
        <v>3</v>
      </c>
      <c r="CK48" s="32">
        <v>1</v>
      </c>
      <c r="CL48" s="32">
        <v>0</v>
      </c>
      <c r="CM48" s="32">
        <v>2</v>
      </c>
      <c r="CN48" s="32">
        <v>0</v>
      </c>
      <c r="CO48" s="32">
        <v>0</v>
      </c>
      <c r="CP48" s="32">
        <v>0</v>
      </c>
      <c r="CQ48" s="32">
        <v>0</v>
      </c>
      <c r="CR48" s="32">
        <v>0</v>
      </c>
      <c r="CS48" s="32">
        <v>2</v>
      </c>
      <c r="CT48" s="32">
        <v>1</v>
      </c>
      <c r="CU48" s="69">
        <v>0</v>
      </c>
      <c r="CV48" s="38">
        <f t="shared" si="16"/>
        <v>9</v>
      </c>
      <c r="CW48" s="45">
        <v>16</v>
      </c>
      <c r="CX48" s="45">
        <v>10</v>
      </c>
      <c r="CY48" s="45">
        <v>9</v>
      </c>
      <c r="CZ48" s="45">
        <v>4</v>
      </c>
      <c r="DA48" s="45">
        <v>19</v>
      </c>
      <c r="DB48" s="45">
        <v>15</v>
      </c>
      <c r="DC48" s="45">
        <v>9</v>
      </c>
      <c r="DD48" s="45">
        <v>7</v>
      </c>
      <c r="DE48" s="45">
        <v>32</v>
      </c>
      <c r="DF48" s="45">
        <v>10</v>
      </c>
      <c r="DG48" s="45">
        <v>9</v>
      </c>
      <c r="DH48" s="45">
        <v>35</v>
      </c>
      <c r="DI48" s="38">
        <f t="shared" si="0"/>
        <v>175</v>
      </c>
      <c r="DJ48" s="36">
        <f t="shared" si="17"/>
        <v>184</v>
      </c>
      <c r="DK48" s="26"/>
      <c r="DL48" s="75">
        <v>0</v>
      </c>
      <c r="DM48" s="75">
        <v>0</v>
      </c>
      <c r="DN48" s="75">
        <v>0</v>
      </c>
      <c r="DO48" s="75">
        <v>0</v>
      </c>
      <c r="DP48" s="75">
        <v>0</v>
      </c>
      <c r="DQ48" s="75">
        <v>0</v>
      </c>
      <c r="DR48" s="75">
        <v>0</v>
      </c>
      <c r="DS48" s="75">
        <v>0</v>
      </c>
      <c r="DT48" s="75">
        <v>0</v>
      </c>
      <c r="DU48" s="75">
        <v>0</v>
      </c>
      <c r="DV48" s="75">
        <v>2</v>
      </c>
      <c r="DW48" s="84">
        <v>1</v>
      </c>
      <c r="DX48" s="38">
        <f t="shared" si="1"/>
        <v>3</v>
      </c>
      <c r="DY48" s="65">
        <v>1</v>
      </c>
      <c r="DZ48" s="65">
        <v>0</v>
      </c>
      <c r="EA48" s="65">
        <v>3</v>
      </c>
      <c r="EB48" s="65">
        <v>1</v>
      </c>
      <c r="EC48" s="65">
        <v>3</v>
      </c>
      <c r="ED48" s="65">
        <v>0</v>
      </c>
      <c r="EE48" s="65">
        <v>5</v>
      </c>
      <c r="EF48" s="65">
        <v>5</v>
      </c>
      <c r="EG48" s="65">
        <v>7</v>
      </c>
      <c r="EH48" s="65">
        <v>5</v>
      </c>
      <c r="EI48" s="65">
        <v>7</v>
      </c>
      <c r="EJ48" s="65">
        <v>5</v>
      </c>
      <c r="EK48" s="38">
        <f t="shared" si="18"/>
        <v>42</v>
      </c>
      <c r="EL48" s="36">
        <f t="shared" si="19"/>
        <v>45</v>
      </c>
      <c r="EM48" s="26"/>
      <c r="EN48" s="101">
        <v>27</v>
      </c>
      <c r="EO48" s="101">
        <v>17</v>
      </c>
      <c r="EP48" s="101">
        <v>19</v>
      </c>
      <c r="EQ48" s="101">
        <v>13</v>
      </c>
      <c r="ER48" s="101">
        <v>19</v>
      </c>
      <c r="ES48" s="101">
        <v>13</v>
      </c>
      <c r="ET48" s="101">
        <v>5</v>
      </c>
      <c r="EU48" s="32">
        <v>14</v>
      </c>
      <c r="EV48" s="32">
        <v>6</v>
      </c>
      <c r="EW48" s="32">
        <v>9</v>
      </c>
      <c r="EX48" s="32">
        <v>7</v>
      </c>
      <c r="EY48" s="32">
        <v>1</v>
      </c>
      <c r="EZ48" s="38">
        <f t="shared" si="2"/>
        <v>150</v>
      </c>
      <c r="FA48" s="26"/>
      <c r="FB48" s="54">
        <v>1</v>
      </c>
      <c r="FC48" s="54">
        <v>1</v>
      </c>
      <c r="FD48" s="54">
        <v>0</v>
      </c>
      <c r="FE48" s="54">
        <v>2</v>
      </c>
      <c r="FF48" s="54">
        <v>1</v>
      </c>
      <c r="FG48" s="54">
        <v>2</v>
      </c>
      <c r="FH48" s="54">
        <v>0</v>
      </c>
      <c r="FI48" s="54">
        <v>1</v>
      </c>
      <c r="FJ48" s="54">
        <v>2</v>
      </c>
      <c r="FK48" s="54">
        <v>2</v>
      </c>
      <c r="FL48" s="54">
        <v>0</v>
      </c>
      <c r="FM48" s="54">
        <v>3</v>
      </c>
      <c r="FN48" s="38">
        <f t="shared" si="20"/>
        <v>15</v>
      </c>
      <c r="FO48" s="26"/>
      <c r="FP48" s="54">
        <v>0</v>
      </c>
      <c r="FQ48" s="32">
        <v>0</v>
      </c>
      <c r="FR48" s="32">
        <v>0</v>
      </c>
      <c r="FS48" s="32">
        <v>0</v>
      </c>
      <c r="FT48" s="32">
        <v>0</v>
      </c>
      <c r="FU48" s="32">
        <v>1</v>
      </c>
      <c r="FV48" s="32">
        <v>3</v>
      </c>
      <c r="FW48" s="32">
        <v>1</v>
      </c>
      <c r="FX48" s="32">
        <v>0</v>
      </c>
      <c r="FY48" s="32">
        <v>0</v>
      </c>
      <c r="FZ48" s="32">
        <v>1</v>
      </c>
      <c r="GA48" s="32">
        <v>0</v>
      </c>
      <c r="GB48" s="38">
        <f t="shared" si="21"/>
        <v>6</v>
      </c>
      <c r="GC48" s="26"/>
      <c r="GD48" s="101">
        <v>142</v>
      </c>
      <c r="GE48" s="101">
        <v>87</v>
      </c>
      <c r="GF48" s="101">
        <v>166</v>
      </c>
      <c r="GG48" s="101">
        <v>129</v>
      </c>
      <c r="GH48" s="101">
        <v>157</v>
      </c>
      <c r="GI48" s="101">
        <v>173</v>
      </c>
      <c r="GJ48" s="101">
        <v>50</v>
      </c>
      <c r="GK48" s="101">
        <v>43</v>
      </c>
      <c r="GL48" s="101">
        <v>97</v>
      </c>
      <c r="GM48" s="101">
        <v>66</v>
      </c>
      <c r="GN48" s="101">
        <v>56</v>
      </c>
      <c r="GO48" s="101">
        <v>61</v>
      </c>
      <c r="GP48" s="38">
        <f t="shared" si="22"/>
        <v>1227</v>
      </c>
      <c r="GQ48" s="26"/>
      <c r="GR48" s="32">
        <v>6</v>
      </c>
      <c r="GS48" s="32">
        <v>0</v>
      </c>
      <c r="GT48" s="32">
        <v>0</v>
      </c>
      <c r="GU48" s="32">
        <v>0</v>
      </c>
      <c r="GV48" s="32">
        <v>1</v>
      </c>
      <c r="GW48" s="32">
        <v>0</v>
      </c>
      <c r="GX48" s="32">
        <v>0</v>
      </c>
      <c r="GY48" s="32">
        <v>0</v>
      </c>
      <c r="GZ48" s="32">
        <v>0</v>
      </c>
      <c r="HA48" s="32">
        <v>0</v>
      </c>
      <c r="HB48" s="32">
        <v>0</v>
      </c>
      <c r="HC48" s="32">
        <v>0</v>
      </c>
      <c r="HD48" s="38">
        <f t="shared" si="23"/>
        <v>7</v>
      </c>
      <c r="HE48" s="26"/>
      <c r="HF48" s="45">
        <v>16</v>
      </c>
      <c r="HG48" s="45">
        <v>15</v>
      </c>
      <c r="HH48" s="45">
        <v>10</v>
      </c>
      <c r="HI48" s="45">
        <v>5</v>
      </c>
      <c r="HJ48" s="45">
        <v>29</v>
      </c>
      <c r="HK48" s="45">
        <v>9</v>
      </c>
      <c r="HL48" s="45">
        <v>47</v>
      </c>
      <c r="HM48" s="45">
        <v>15</v>
      </c>
      <c r="HN48" s="45">
        <v>26</v>
      </c>
      <c r="HO48" s="45">
        <v>18</v>
      </c>
      <c r="HP48" s="45">
        <v>13</v>
      </c>
      <c r="HQ48" s="45">
        <v>14</v>
      </c>
      <c r="HR48" s="38">
        <f t="shared" si="24"/>
        <v>217</v>
      </c>
      <c r="HS48" s="26"/>
      <c r="HT48" s="32">
        <v>0</v>
      </c>
      <c r="HU48" s="32">
        <v>0</v>
      </c>
      <c r="HV48" s="32">
        <v>2</v>
      </c>
      <c r="HW48" s="32">
        <v>2</v>
      </c>
      <c r="HX48" s="32">
        <v>0</v>
      </c>
      <c r="HY48" s="32">
        <v>0</v>
      </c>
      <c r="HZ48" s="32">
        <v>0</v>
      </c>
      <c r="IA48" s="32">
        <v>1</v>
      </c>
      <c r="IB48" s="32">
        <v>1</v>
      </c>
      <c r="IC48" s="32">
        <v>2</v>
      </c>
      <c r="ID48" s="32">
        <v>4</v>
      </c>
      <c r="IE48" s="32">
        <v>5</v>
      </c>
      <c r="IF48" s="38">
        <f t="shared" si="3"/>
        <v>17</v>
      </c>
      <c r="IG48" s="104">
        <v>6</v>
      </c>
      <c r="IH48" s="104">
        <v>7</v>
      </c>
      <c r="II48" s="104">
        <v>5</v>
      </c>
      <c r="IJ48" s="104">
        <v>10</v>
      </c>
      <c r="IK48" s="104">
        <v>9</v>
      </c>
      <c r="IL48" s="104">
        <v>7</v>
      </c>
      <c r="IM48" s="104">
        <v>9</v>
      </c>
      <c r="IN48" s="104">
        <v>3</v>
      </c>
      <c r="IO48" s="104">
        <v>3</v>
      </c>
      <c r="IP48" s="104">
        <v>3</v>
      </c>
      <c r="IQ48" s="104">
        <v>9</v>
      </c>
      <c r="IR48" s="104">
        <v>5</v>
      </c>
      <c r="IS48" s="38">
        <f t="shared" si="25"/>
        <v>76</v>
      </c>
      <c r="IT48" s="36">
        <f t="shared" si="26"/>
        <v>93</v>
      </c>
      <c r="IU48" s="26"/>
      <c r="IV48" s="32">
        <v>9</v>
      </c>
      <c r="IW48" s="32">
        <v>12</v>
      </c>
      <c r="IX48" s="32">
        <v>18</v>
      </c>
      <c r="IY48" s="32">
        <v>6</v>
      </c>
      <c r="IZ48" s="32">
        <v>1</v>
      </c>
      <c r="JA48" s="32">
        <v>1</v>
      </c>
      <c r="JB48" s="32">
        <v>11</v>
      </c>
      <c r="JC48" s="32">
        <v>7</v>
      </c>
      <c r="JD48" s="32">
        <v>5</v>
      </c>
      <c r="JE48" s="32">
        <v>1</v>
      </c>
      <c r="JF48" s="32">
        <v>5</v>
      </c>
      <c r="JG48" s="32">
        <v>0</v>
      </c>
      <c r="JH48" s="38">
        <f t="shared" si="27"/>
        <v>76</v>
      </c>
      <c r="JI48" s="32">
        <v>34</v>
      </c>
      <c r="JJ48" s="32">
        <v>8</v>
      </c>
      <c r="JK48" s="32">
        <v>5</v>
      </c>
      <c r="JL48" s="32">
        <v>4</v>
      </c>
      <c r="JM48" s="32">
        <v>5</v>
      </c>
      <c r="JN48" s="32">
        <v>21</v>
      </c>
      <c r="JO48" s="32">
        <v>17</v>
      </c>
      <c r="JP48" s="32">
        <v>40</v>
      </c>
      <c r="JQ48" s="32">
        <v>51</v>
      </c>
      <c r="JR48" s="32">
        <v>46</v>
      </c>
      <c r="JS48" s="32">
        <v>35</v>
      </c>
      <c r="JT48" s="32">
        <v>30</v>
      </c>
      <c r="JU48" s="112">
        <f t="shared" si="4"/>
        <v>296</v>
      </c>
      <c r="JV48" s="36">
        <f t="shared" si="28"/>
        <v>372</v>
      </c>
      <c r="JW48" s="26"/>
      <c r="JX48" s="32">
        <v>3</v>
      </c>
      <c r="JY48" s="32">
        <v>1</v>
      </c>
      <c r="JZ48" s="32">
        <v>17</v>
      </c>
      <c r="KA48" s="32">
        <v>5</v>
      </c>
      <c r="KB48" s="32">
        <v>16</v>
      </c>
      <c r="KC48" s="32">
        <v>11</v>
      </c>
      <c r="KD48" s="32">
        <v>18</v>
      </c>
      <c r="KE48" s="32">
        <v>7</v>
      </c>
      <c r="KF48" s="32">
        <v>18</v>
      </c>
      <c r="KG48" s="32">
        <v>2</v>
      </c>
      <c r="KH48" s="32">
        <v>11</v>
      </c>
      <c r="KI48" s="32">
        <v>1</v>
      </c>
      <c r="KJ48" s="38">
        <f t="shared" si="29"/>
        <v>110</v>
      </c>
      <c r="KK48" s="114">
        <v>13</v>
      </c>
      <c r="KL48" s="113">
        <v>17</v>
      </c>
      <c r="KM48" s="113">
        <v>3</v>
      </c>
      <c r="KN48" s="32">
        <f>SUM(KN46:KN47)</f>
        <v>589</v>
      </c>
      <c r="KO48" s="32">
        <v>19</v>
      </c>
      <c r="KP48" s="32">
        <v>30</v>
      </c>
      <c r="KQ48" s="32">
        <v>12</v>
      </c>
      <c r="KR48" s="32">
        <v>23</v>
      </c>
      <c r="KS48" s="32">
        <v>4</v>
      </c>
      <c r="KT48" s="32">
        <v>9</v>
      </c>
      <c r="KU48" s="32">
        <v>11</v>
      </c>
      <c r="KV48" s="32">
        <v>6</v>
      </c>
      <c r="KW48" s="38">
        <f t="shared" si="5"/>
        <v>736</v>
      </c>
      <c r="KX48" s="36">
        <f t="shared" si="30"/>
        <v>846</v>
      </c>
      <c r="KY48" s="26"/>
      <c r="KZ48" s="101">
        <v>2</v>
      </c>
      <c r="LA48" s="101">
        <v>5</v>
      </c>
      <c r="LB48" s="101">
        <v>2</v>
      </c>
      <c r="LC48" s="101">
        <v>14</v>
      </c>
      <c r="LD48" s="101">
        <v>7</v>
      </c>
      <c r="LE48" s="101">
        <v>8</v>
      </c>
      <c r="LF48" s="101">
        <v>5</v>
      </c>
      <c r="LG48" s="101">
        <v>12</v>
      </c>
      <c r="LH48" s="101">
        <v>8</v>
      </c>
      <c r="LI48" s="101">
        <v>13</v>
      </c>
      <c r="LJ48" s="101">
        <v>1</v>
      </c>
      <c r="LK48" s="101">
        <v>9</v>
      </c>
      <c r="LL48" s="38">
        <f t="shared" si="6"/>
        <v>86</v>
      </c>
      <c r="LM48" s="26"/>
      <c r="LN48" s="45">
        <v>10</v>
      </c>
      <c r="LO48" s="45">
        <v>9</v>
      </c>
      <c r="LP48" s="45">
        <v>7</v>
      </c>
      <c r="LQ48" s="45">
        <v>1</v>
      </c>
      <c r="LR48" s="45">
        <v>4</v>
      </c>
      <c r="LS48" s="45">
        <v>6</v>
      </c>
      <c r="LT48" s="45">
        <v>6</v>
      </c>
      <c r="LU48" s="45">
        <v>11</v>
      </c>
      <c r="LV48" s="45">
        <v>8</v>
      </c>
      <c r="LW48" s="45">
        <v>13</v>
      </c>
      <c r="LX48" s="45">
        <v>9</v>
      </c>
      <c r="LY48" s="45">
        <v>6</v>
      </c>
      <c r="LZ48" s="38">
        <f t="shared" si="31"/>
        <v>90</v>
      </c>
      <c r="MA48" s="26"/>
      <c r="MB48" s="45">
        <v>0</v>
      </c>
      <c r="MC48" s="45">
        <v>28</v>
      </c>
      <c r="MD48" s="45">
        <v>12</v>
      </c>
      <c r="ME48" s="45">
        <v>13</v>
      </c>
      <c r="MF48" s="45">
        <v>56</v>
      </c>
      <c r="MG48" s="45">
        <v>54</v>
      </c>
      <c r="MH48" s="45">
        <v>82</v>
      </c>
      <c r="MI48" s="45">
        <v>3</v>
      </c>
      <c r="MJ48" s="45">
        <v>24</v>
      </c>
      <c r="MK48" s="45">
        <v>17</v>
      </c>
      <c r="ML48" s="45">
        <v>25</v>
      </c>
      <c r="MM48" s="45">
        <v>5</v>
      </c>
      <c r="MN48" s="38">
        <f t="shared" si="32"/>
        <v>319</v>
      </c>
      <c r="MO48" s="32">
        <v>27</v>
      </c>
      <c r="MP48" s="32">
        <v>46</v>
      </c>
      <c r="MQ48" s="32">
        <v>56</v>
      </c>
      <c r="MR48" s="32">
        <v>29</v>
      </c>
      <c r="MS48" s="32">
        <v>17</v>
      </c>
      <c r="MT48" s="32">
        <v>25</v>
      </c>
      <c r="MU48" s="32">
        <v>70</v>
      </c>
      <c r="MV48" s="32">
        <v>89</v>
      </c>
      <c r="MW48" s="32">
        <v>25</v>
      </c>
      <c r="MX48" s="32">
        <v>28</v>
      </c>
      <c r="MY48" s="32">
        <v>30</v>
      </c>
      <c r="MZ48" s="32">
        <v>2</v>
      </c>
      <c r="NA48" s="38">
        <f t="shared" si="33"/>
        <v>444</v>
      </c>
      <c r="NB48" s="36">
        <f t="shared" si="34"/>
        <v>763</v>
      </c>
      <c r="NC48" s="26"/>
      <c r="ND48" s="98">
        <v>3</v>
      </c>
      <c r="NE48" s="101">
        <v>1</v>
      </c>
      <c r="NF48" s="101">
        <v>2</v>
      </c>
      <c r="NG48" s="101">
        <v>0</v>
      </c>
      <c r="NH48" s="101">
        <v>0</v>
      </c>
      <c r="NI48" s="101">
        <v>6</v>
      </c>
      <c r="NJ48" s="101">
        <v>3</v>
      </c>
      <c r="NK48" s="101">
        <v>6</v>
      </c>
      <c r="NL48" s="101">
        <v>3</v>
      </c>
      <c r="NM48" s="101">
        <v>9</v>
      </c>
      <c r="NN48" s="101">
        <v>4</v>
      </c>
      <c r="NO48" s="101">
        <v>1</v>
      </c>
      <c r="NP48" s="38">
        <f t="shared" si="35"/>
        <v>38</v>
      </c>
      <c r="NQ48" s="36">
        <f>SUM(P48+AR48+BT48+CV48+DX48+HD48+IF48+KJ48)</f>
        <v>421</v>
      </c>
      <c r="NR48" s="36">
        <f t="shared" si="37"/>
        <v>3321</v>
      </c>
      <c r="NS48" s="36">
        <f t="shared" si="38"/>
        <v>2258</v>
      </c>
      <c r="NT48" s="36">
        <f t="shared" si="39"/>
        <v>6000</v>
      </c>
      <c r="NU48" s="10"/>
      <c r="NV48" s="10"/>
      <c r="NW48" s="10"/>
      <c r="NX48" s="10"/>
      <c r="NY48" s="10"/>
      <c r="NZ48" s="10"/>
      <c r="OA48" s="10"/>
      <c r="OB48" s="10"/>
      <c r="OC48" s="19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9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9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</row>
    <row r="49" spans="1:458" s="1" customFormat="1" ht="50.1" customHeight="1" x14ac:dyDescent="0.25">
      <c r="A49" s="120"/>
      <c r="B49" s="6" t="s">
        <v>20</v>
      </c>
      <c r="C49" s="23"/>
      <c r="D49" s="41">
        <f>SUM(D46:D48)</f>
        <v>1173</v>
      </c>
      <c r="E49" s="41">
        <f t="shared" ref="E49:O49" si="191">SUM(E46:E48)</f>
        <v>1498</v>
      </c>
      <c r="F49" s="41">
        <f t="shared" si="191"/>
        <v>1799</v>
      </c>
      <c r="G49" s="41">
        <f t="shared" si="191"/>
        <v>1159</v>
      </c>
      <c r="H49" s="41">
        <f t="shared" si="191"/>
        <v>1998</v>
      </c>
      <c r="I49" s="41">
        <f t="shared" si="191"/>
        <v>1717</v>
      </c>
      <c r="J49" s="41">
        <f t="shared" si="191"/>
        <v>1453</v>
      </c>
      <c r="K49" s="41">
        <f t="shared" si="191"/>
        <v>1427</v>
      </c>
      <c r="L49" s="41">
        <f t="shared" si="191"/>
        <v>1389</v>
      </c>
      <c r="M49" s="41">
        <f t="shared" si="191"/>
        <v>1301</v>
      </c>
      <c r="N49" s="41">
        <f t="shared" si="191"/>
        <v>1080</v>
      </c>
      <c r="O49" s="41">
        <f t="shared" si="191"/>
        <v>817</v>
      </c>
      <c r="P49" s="38">
        <f t="shared" si="7"/>
        <v>16811</v>
      </c>
      <c r="Q49" s="49">
        <f>SUM(Q46:Q48)</f>
        <v>2324</v>
      </c>
      <c r="R49" s="49">
        <f t="shared" ref="R49:AB49" si="192">SUM(R46:R48)</f>
        <v>1746</v>
      </c>
      <c r="S49" s="49">
        <f t="shared" si="192"/>
        <v>1926</v>
      </c>
      <c r="T49" s="49">
        <f t="shared" si="192"/>
        <v>1567</v>
      </c>
      <c r="U49" s="49">
        <f t="shared" si="192"/>
        <v>2086</v>
      </c>
      <c r="V49" s="49">
        <f t="shared" si="192"/>
        <v>2516</v>
      </c>
      <c r="W49" s="49">
        <f t="shared" si="192"/>
        <v>2402</v>
      </c>
      <c r="X49" s="49">
        <f t="shared" si="192"/>
        <v>3019</v>
      </c>
      <c r="Y49" s="49">
        <f t="shared" si="192"/>
        <v>2682</v>
      </c>
      <c r="Z49" s="49">
        <f t="shared" si="192"/>
        <v>3200</v>
      </c>
      <c r="AA49" s="49">
        <f t="shared" si="192"/>
        <v>2470</v>
      </c>
      <c r="AB49" s="49">
        <f t="shared" si="192"/>
        <v>2833</v>
      </c>
      <c r="AC49" s="38">
        <f t="shared" si="8"/>
        <v>28771</v>
      </c>
      <c r="AD49" s="36">
        <f t="shared" si="9"/>
        <v>45582</v>
      </c>
      <c r="AE49" s="26"/>
      <c r="AF49" s="32">
        <f>SUM(AF46:AF48)</f>
        <v>139</v>
      </c>
      <c r="AG49" s="32">
        <f t="shared" ref="AG49:AQ49" si="193">SUM(AG46:AG48)</f>
        <v>129</v>
      </c>
      <c r="AH49" s="32">
        <f t="shared" si="193"/>
        <v>143</v>
      </c>
      <c r="AI49" s="32">
        <f t="shared" si="193"/>
        <v>69</v>
      </c>
      <c r="AJ49" s="32">
        <f t="shared" si="193"/>
        <v>120</v>
      </c>
      <c r="AK49" s="32">
        <f t="shared" si="193"/>
        <v>86</v>
      </c>
      <c r="AL49" s="32">
        <f t="shared" si="193"/>
        <v>77</v>
      </c>
      <c r="AM49" s="32">
        <f t="shared" si="193"/>
        <v>188</v>
      </c>
      <c r="AN49" s="32">
        <f t="shared" si="193"/>
        <v>204</v>
      </c>
      <c r="AO49" s="32">
        <f t="shared" si="193"/>
        <v>276</v>
      </c>
      <c r="AP49" s="32">
        <f t="shared" si="193"/>
        <v>224</v>
      </c>
      <c r="AQ49" s="32">
        <f t="shared" si="193"/>
        <v>132</v>
      </c>
      <c r="AR49" s="38">
        <f t="shared" si="10"/>
        <v>1787</v>
      </c>
      <c r="AS49" s="32">
        <f>SUM(AS46:AS48)</f>
        <v>276</v>
      </c>
      <c r="AT49" s="32">
        <f t="shared" ref="AT49:BD49" si="194">SUM(AT46:AT48)</f>
        <v>261</v>
      </c>
      <c r="AU49" s="32">
        <f t="shared" si="194"/>
        <v>310</v>
      </c>
      <c r="AV49" s="32">
        <f t="shared" si="194"/>
        <v>422</v>
      </c>
      <c r="AW49" s="32">
        <f t="shared" si="194"/>
        <v>441</v>
      </c>
      <c r="AX49" s="32">
        <f t="shared" si="194"/>
        <v>434</v>
      </c>
      <c r="AY49" s="32">
        <f t="shared" si="194"/>
        <v>427</v>
      </c>
      <c r="AZ49" s="32">
        <f t="shared" si="194"/>
        <v>370</v>
      </c>
      <c r="BA49" s="32">
        <f t="shared" si="194"/>
        <v>389</v>
      </c>
      <c r="BB49" s="32">
        <f t="shared" si="194"/>
        <v>393</v>
      </c>
      <c r="BC49" s="32">
        <f t="shared" si="194"/>
        <v>363</v>
      </c>
      <c r="BD49" s="32">
        <f t="shared" si="194"/>
        <v>262</v>
      </c>
      <c r="BE49" s="38">
        <f t="shared" si="11"/>
        <v>4348</v>
      </c>
      <c r="BF49" s="36">
        <f t="shared" si="12"/>
        <v>6135</v>
      </c>
      <c r="BG49" s="26"/>
      <c r="BH49" s="41">
        <f>SUM(BH46:BH48)</f>
        <v>265</v>
      </c>
      <c r="BI49" s="41">
        <f t="shared" ref="BI49:CF49" si="195">SUM(BI46:BI48)</f>
        <v>345</v>
      </c>
      <c r="BJ49" s="41">
        <f t="shared" si="195"/>
        <v>521</v>
      </c>
      <c r="BK49" s="41">
        <f t="shared" si="195"/>
        <v>307</v>
      </c>
      <c r="BL49" s="41">
        <f t="shared" si="195"/>
        <v>369</v>
      </c>
      <c r="BM49" s="41">
        <f t="shared" si="195"/>
        <v>328</v>
      </c>
      <c r="BN49" s="41">
        <f t="shared" si="195"/>
        <v>399</v>
      </c>
      <c r="BO49" s="41">
        <f t="shared" si="195"/>
        <v>365</v>
      </c>
      <c r="BP49" s="41">
        <f t="shared" si="195"/>
        <v>450</v>
      </c>
      <c r="BQ49" s="41">
        <f t="shared" si="195"/>
        <v>417</v>
      </c>
      <c r="BR49" s="41">
        <f t="shared" si="195"/>
        <v>450</v>
      </c>
      <c r="BS49" s="41">
        <f t="shared" si="195"/>
        <v>384</v>
      </c>
      <c r="BT49" s="38">
        <f t="shared" si="13"/>
        <v>4600</v>
      </c>
      <c r="BU49" s="58">
        <f t="shared" si="195"/>
        <v>472</v>
      </c>
      <c r="BV49" s="58">
        <f t="shared" si="195"/>
        <v>591</v>
      </c>
      <c r="BW49" s="58">
        <f t="shared" si="195"/>
        <v>611</v>
      </c>
      <c r="BX49" s="58">
        <f t="shared" si="195"/>
        <v>321</v>
      </c>
      <c r="BY49" s="58">
        <f t="shared" si="195"/>
        <v>513</v>
      </c>
      <c r="BZ49" s="58">
        <f t="shared" si="195"/>
        <v>542</v>
      </c>
      <c r="CA49" s="58">
        <f t="shared" si="195"/>
        <v>440</v>
      </c>
      <c r="CB49" s="58">
        <f t="shared" si="195"/>
        <v>354</v>
      </c>
      <c r="CC49" s="58">
        <f t="shared" si="195"/>
        <v>421</v>
      </c>
      <c r="CD49" s="58">
        <f t="shared" si="195"/>
        <v>411</v>
      </c>
      <c r="CE49" s="58">
        <f t="shared" si="195"/>
        <v>559</v>
      </c>
      <c r="CF49" s="58">
        <f t="shared" si="195"/>
        <v>460</v>
      </c>
      <c r="CG49" s="61">
        <f t="shared" si="14"/>
        <v>5695</v>
      </c>
      <c r="CH49" s="57">
        <f t="shared" si="15"/>
        <v>10295</v>
      </c>
      <c r="CI49" s="26"/>
      <c r="CJ49" s="32">
        <f>SUM(CJ46:CJ48)</f>
        <v>126</v>
      </c>
      <c r="CK49" s="32">
        <f t="shared" ref="CK49:CU49" si="196">SUM(CK46:CK48)</f>
        <v>146</v>
      </c>
      <c r="CL49" s="32">
        <f t="shared" si="196"/>
        <v>138</v>
      </c>
      <c r="CM49" s="32">
        <f t="shared" si="196"/>
        <v>169</v>
      </c>
      <c r="CN49" s="32">
        <f t="shared" si="196"/>
        <v>124</v>
      </c>
      <c r="CO49" s="32">
        <f t="shared" si="196"/>
        <v>121</v>
      </c>
      <c r="CP49" s="32">
        <f t="shared" si="196"/>
        <v>166</v>
      </c>
      <c r="CQ49" s="32">
        <f t="shared" si="196"/>
        <v>222</v>
      </c>
      <c r="CR49" s="32">
        <f t="shared" si="196"/>
        <v>193</v>
      </c>
      <c r="CS49" s="32">
        <f t="shared" si="196"/>
        <v>196</v>
      </c>
      <c r="CT49" s="32">
        <f t="shared" si="196"/>
        <v>122</v>
      </c>
      <c r="CU49" s="69">
        <f t="shared" si="196"/>
        <v>138</v>
      </c>
      <c r="CV49" s="38">
        <f t="shared" si="16"/>
        <v>1861</v>
      </c>
      <c r="CW49" s="32">
        <f t="shared" ref="CW49" si="197">SUM(CW46:CW48)</f>
        <v>843</v>
      </c>
      <c r="CX49" s="32">
        <f t="shared" ref="CX49" si="198">SUM(CX46:CX48)</f>
        <v>770</v>
      </c>
      <c r="CY49" s="32">
        <f t="shared" ref="CY49" si="199">SUM(CY46:CY48)</f>
        <v>813</v>
      </c>
      <c r="CZ49" s="32">
        <f t="shared" ref="CZ49" si="200">SUM(CZ46:CZ48)</f>
        <v>509</v>
      </c>
      <c r="DA49" s="32">
        <f t="shared" ref="DA49" si="201">SUM(DA46:DA48)</f>
        <v>493</v>
      </c>
      <c r="DB49" s="32">
        <f t="shared" ref="DB49" si="202">SUM(DB46:DB48)</f>
        <v>686</v>
      </c>
      <c r="DC49" s="32">
        <f t="shared" ref="DC49" si="203">SUM(DC46:DC48)</f>
        <v>564</v>
      </c>
      <c r="DD49" s="32">
        <f t="shared" ref="DD49" si="204">SUM(DD46:DD48)</f>
        <v>543</v>
      </c>
      <c r="DE49" s="32">
        <f t="shared" ref="DE49" si="205">SUM(DE46:DE48)</f>
        <v>660</v>
      </c>
      <c r="DF49" s="32">
        <f t="shared" ref="DF49" si="206">SUM(DF46:DF48)</f>
        <v>706</v>
      </c>
      <c r="DG49" s="32">
        <f t="shared" ref="DG49" si="207">SUM(DG46:DG48)</f>
        <v>417</v>
      </c>
      <c r="DH49" s="32">
        <f t="shared" ref="DH49" si="208">SUM(DH46:DH48)</f>
        <v>647</v>
      </c>
      <c r="DI49" s="38">
        <f t="shared" si="0"/>
        <v>7651</v>
      </c>
      <c r="DJ49" s="36">
        <f t="shared" si="17"/>
        <v>9512</v>
      </c>
      <c r="DK49" s="26"/>
      <c r="DL49" s="32">
        <f>SUM(DL46:DL48)</f>
        <v>44</v>
      </c>
      <c r="DM49" s="32">
        <f t="shared" ref="DM49:DW49" si="209">SUM(DM46:DM48)</f>
        <v>28</v>
      </c>
      <c r="DN49" s="32">
        <f t="shared" si="209"/>
        <v>39</v>
      </c>
      <c r="DO49" s="32">
        <f t="shared" si="209"/>
        <v>19</v>
      </c>
      <c r="DP49" s="32">
        <f t="shared" si="209"/>
        <v>13</v>
      </c>
      <c r="DQ49" s="32">
        <f t="shared" si="209"/>
        <v>39</v>
      </c>
      <c r="DR49" s="32">
        <f t="shared" si="209"/>
        <v>27</v>
      </c>
      <c r="DS49" s="32">
        <f t="shared" si="209"/>
        <v>25</v>
      </c>
      <c r="DT49" s="32">
        <f t="shared" si="209"/>
        <v>41</v>
      </c>
      <c r="DU49" s="32">
        <f t="shared" si="209"/>
        <v>33</v>
      </c>
      <c r="DV49" s="32">
        <f t="shared" si="209"/>
        <v>41</v>
      </c>
      <c r="DW49" s="69">
        <f t="shared" si="209"/>
        <v>38</v>
      </c>
      <c r="DX49" s="38">
        <f t="shared" si="1"/>
        <v>387</v>
      </c>
      <c r="DY49" s="63">
        <f>SUM(DY46:DY48)</f>
        <v>638</v>
      </c>
      <c r="DZ49" s="63">
        <f t="shared" ref="DZ49:EJ49" si="210">SUM(DZ46:DZ48)</f>
        <v>690</v>
      </c>
      <c r="EA49" s="63">
        <f t="shared" si="210"/>
        <v>647</v>
      </c>
      <c r="EB49" s="63">
        <f t="shared" si="210"/>
        <v>250</v>
      </c>
      <c r="EC49" s="63">
        <f t="shared" si="210"/>
        <v>613</v>
      </c>
      <c r="ED49" s="63">
        <f t="shared" si="210"/>
        <v>525</v>
      </c>
      <c r="EE49" s="63">
        <f t="shared" si="210"/>
        <v>731</v>
      </c>
      <c r="EF49" s="63">
        <f t="shared" si="210"/>
        <v>580</v>
      </c>
      <c r="EG49" s="63">
        <f t="shared" si="210"/>
        <v>672</v>
      </c>
      <c r="EH49" s="63">
        <f t="shared" si="210"/>
        <v>676</v>
      </c>
      <c r="EI49" s="63">
        <f t="shared" si="210"/>
        <v>603</v>
      </c>
      <c r="EJ49" s="63">
        <f t="shared" si="210"/>
        <v>566</v>
      </c>
      <c r="EK49" s="38">
        <f t="shared" si="18"/>
        <v>7191</v>
      </c>
      <c r="EL49" s="36">
        <f t="shared" si="19"/>
        <v>7578</v>
      </c>
      <c r="EM49" s="26"/>
      <c r="EN49" s="101">
        <f>SUM(EN46:EN48)</f>
        <v>727</v>
      </c>
      <c r="EO49" s="101">
        <f t="shared" ref="EO49:EY49" si="211">SUM(EO46:EO48)</f>
        <v>620</v>
      </c>
      <c r="EP49" s="101">
        <f t="shared" si="211"/>
        <v>632</v>
      </c>
      <c r="EQ49" s="101">
        <f t="shared" si="211"/>
        <v>535</v>
      </c>
      <c r="ER49" s="101">
        <f t="shared" si="211"/>
        <v>672</v>
      </c>
      <c r="ES49" s="101">
        <f t="shared" si="211"/>
        <v>709</v>
      </c>
      <c r="ET49" s="101">
        <f t="shared" si="211"/>
        <v>598</v>
      </c>
      <c r="EU49" s="101">
        <f t="shared" si="211"/>
        <v>550</v>
      </c>
      <c r="EV49" s="101">
        <f t="shared" si="211"/>
        <v>521</v>
      </c>
      <c r="EW49" s="101">
        <f t="shared" si="211"/>
        <v>627</v>
      </c>
      <c r="EX49" s="101">
        <f t="shared" si="211"/>
        <v>429</v>
      </c>
      <c r="EY49" s="101">
        <f t="shared" si="211"/>
        <v>368</v>
      </c>
      <c r="EZ49" s="38">
        <f t="shared" si="2"/>
        <v>6988</v>
      </c>
      <c r="FA49" s="26"/>
      <c r="FB49" s="54">
        <f>SUM(FB46:FB48)</f>
        <v>492</v>
      </c>
      <c r="FC49" s="54">
        <f t="shared" ref="FC49:FM49" si="212">SUM(FC46:FC48)</f>
        <v>388</v>
      </c>
      <c r="FD49" s="54">
        <f t="shared" si="212"/>
        <v>444</v>
      </c>
      <c r="FE49" s="54">
        <f t="shared" si="212"/>
        <v>523</v>
      </c>
      <c r="FF49" s="54">
        <f t="shared" si="212"/>
        <v>563</v>
      </c>
      <c r="FG49" s="54">
        <f t="shared" si="212"/>
        <v>638</v>
      </c>
      <c r="FH49" s="54">
        <f t="shared" si="212"/>
        <v>558</v>
      </c>
      <c r="FI49" s="54">
        <f t="shared" si="212"/>
        <v>593</v>
      </c>
      <c r="FJ49" s="54">
        <f t="shared" si="212"/>
        <v>620</v>
      </c>
      <c r="FK49" s="54">
        <f t="shared" si="212"/>
        <v>552</v>
      </c>
      <c r="FL49" s="54">
        <f t="shared" si="212"/>
        <v>1268</v>
      </c>
      <c r="FM49" s="54">
        <f t="shared" si="212"/>
        <v>1284</v>
      </c>
      <c r="FN49" s="38">
        <f t="shared" si="20"/>
        <v>7923</v>
      </c>
      <c r="FO49" s="26"/>
      <c r="FP49" s="32">
        <f>SUM(FP46:FP48)</f>
        <v>355</v>
      </c>
      <c r="FQ49" s="32">
        <f t="shared" ref="FQ49:GA49" si="213">SUM(FQ46:FQ48)</f>
        <v>293</v>
      </c>
      <c r="FR49" s="32">
        <f t="shared" si="213"/>
        <v>333</v>
      </c>
      <c r="FS49" s="32">
        <f t="shared" si="213"/>
        <v>279</v>
      </c>
      <c r="FT49" s="32">
        <f t="shared" si="213"/>
        <v>310</v>
      </c>
      <c r="FU49" s="32">
        <f t="shared" si="213"/>
        <v>306</v>
      </c>
      <c r="FV49" s="32">
        <f t="shared" si="213"/>
        <v>305</v>
      </c>
      <c r="FW49" s="32">
        <f t="shared" si="213"/>
        <v>55</v>
      </c>
      <c r="FX49" s="32">
        <f t="shared" si="213"/>
        <v>26</v>
      </c>
      <c r="FY49" s="32">
        <f t="shared" si="213"/>
        <v>49</v>
      </c>
      <c r="FZ49" s="32">
        <f t="shared" si="213"/>
        <v>49</v>
      </c>
      <c r="GA49" s="32">
        <f t="shared" si="213"/>
        <v>44</v>
      </c>
      <c r="GB49" s="38">
        <f t="shared" si="21"/>
        <v>2404</v>
      </c>
      <c r="GC49" s="26"/>
      <c r="GD49" s="101">
        <f>SUM(GD46:GD48)</f>
        <v>482</v>
      </c>
      <c r="GE49" s="101">
        <f t="shared" ref="GE49:GO49" si="214">SUM(GE46:GE48)</f>
        <v>289</v>
      </c>
      <c r="GF49" s="101">
        <f t="shared" si="214"/>
        <v>453</v>
      </c>
      <c r="GG49" s="101">
        <f t="shared" si="214"/>
        <v>391</v>
      </c>
      <c r="GH49" s="101">
        <f t="shared" si="214"/>
        <v>457</v>
      </c>
      <c r="GI49" s="101">
        <f t="shared" si="214"/>
        <v>412</v>
      </c>
      <c r="GJ49" s="101">
        <f t="shared" si="214"/>
        <v>280</v>
      </c>
      <c r="GK49" s="101">
        <f t="shared" si="214"/>
        <v>332</v>
      </c>
      <c r="GL49" s="101">
        <f t="shared" si="214"/>
        <v>316</v>
      </c>
      <c r="GM49" s="101">
        <f t="shared" si="214"/>
        <v>352</v>
      </c>
      <c r="GN49" s="101">
        <f t="shared" si="214"/>
        <v>267</v>
      </c>
      <c r="GO49" s="101">
        <f t="shared" si="214"/>
        <v>300</v>
      </c>
      <c r="GP49" s="38">
        <f t="shared" si="22"/>
        <v>4331</v>
      </c>
      <c r="GQ49" s="26"/>
      <c r="GR49" s="32">
        <f>SUM(GR46:GR48)</f>
        <v>277</v>
      </c>
      <c r="GS49" s="32">
        <f t="shared" ref="GS49:HC49" si="215">SUM(GS46:GS48)</f>
        <v>181</v>
      </c>
      <c r="GT49" s="32">
        <f t="shared" si="215"/>
        <v>260</v>
      </c>
      <c r="GU49" s="32">
        <f t="shared" si="215"/>
        <v>303</v>
      </c>
      <c r="GV49" s="32">
        <f t="shared" si="215"/>
        <v>408</v>
      </c>
      <c r="GW49" s="32">
        <f t="shared" si="215"/>
        <v>508</v>
      </c>
      <c r="GX49" s="32">
        <f t="shared" si="215"/>
        <v>407</v>
      </c>
      <c r="GY49" s="32">
        <f t="shared" si="215"/>
        <v>66</v>
      </c>
      <c r="GZ49" s="32">
        <f t="shared" si="215"/>
        <v>408</v>
      </c>
      <c r="HA49" s="32">
        <f t="shared" si="215"/>
        <v>261</v>
      </c>
      <c r="HB49" s="32">
        <f t="shared" si="215"/>
        <v>237</v>
      </c>
      <c r="HC49" s="32">
        <f t="shared" si="215"/>
        <v>217</v>
      </c>
      <c r="HD49" s="38">
        <f t="shared" si="23"/>
        <v>3533</v>
      </c>
      <c r="HE49" s="26"/>
      <c r="HF49" s="45">
        <f>SUM(HF46:HF48)</f>
        <v>793</v>
      </c>
      <c r="HG49" s="45">
        <f t="shared" ref="HG49:HQ49" si="216">SUM(HG46:HG48)</f>
        <v>790</v>
      </c>
      <c r="HH49" s="45">
        <f t="shared" si="216"/>
        <v>929</v>
      </c>
      <c r="HI49" s="45">
        <f t="shared" si="216"/>
        <v>814</v>
      </c>
      <c r="HJ49" s="45">
        <f t="shared" si="216"/>
        <v>788</v>
      </c>
      <c r="HK49" s="45">
        <f t="shared" si="216"/>
        <v>797</v>
      </c>
      <c r="HL49" s="45">
        <f t="shared" si="216"/>
        <v>815</v>
      </c>
      <c r="HM49" s="45">
        <f t="shared" si="216"/>
        <v>810</v>
      </c>
      <c r="HN49" s="45">
        <f t="shared" si="216"/>
        <v>852</v>
      </c>
      <c r="HO49" s="45">
        <f t="shared" si="216"/>
        <v>772</v>
      </c>
      <c r="HP49" s="45">
        <f t="shared" si="216"/>
        <v>622</v>
      </c>
      <c r="HQ49" s="45">
        <f t="shared" si="216"/>
        <v>613</v>
      </c>
      <c r="HR49" s="38">
        <f t="shared" si="24"/>
        <v>9395</v>
      </c>
      <c r="HS49" s="26"/>
      <c r="HT49" s="32">
        <f>SUM(HT46:HT48)</f>
        <v>183</v>
      </c>
      <c r="HU49" s="32">
        <f t="shared" ref="HU49:IE49" si="217">SUM(HU46:HU48)</f>
        <v>141</v>
      </c>
      <c r="HV49" s="32">
        <f t="shared" si="217"/>
        <v>237</v>
      </c>
      <c r="HW49" s="32">
        <f t="shared" si="217"/>
        <v>179</v>
      </c>
      <c r="HX49" s="32">
        <f t="shared" si="217"/>
        <v>312</v>
      </c>
      <c r="HY49" s="32">
        <f t="shared" si="217"/>
        <v>195</v>
      </c>
      <c r="HZ49" s="32">
        <f t="shared" si="217"/>
        <v>188</v>
      </c>
      <c r="IA49" s="32">
        <f t="shared" si="217"/>
        <v>178</v>
      </c>
      <c r="IB49" s="32">
        <f t="shared" si="217"/>
        <v>175</v>
      </c>
      <c r="IC49" s="32">
        <f t="shared" si="217"/>
        <v>199</v>
      </c>
      <c r="ID49" s="32">
        <f t="shared" si="217"/>
        <v>116</v>
      </c>
      <c r="IE49" s="32">
        <f t="shared" si="217"/>
        <v>114</v>
      </c>
      <c r="IF49" s="38">
        <f t="shared" si="3"/>
        <v>2217</v>
      </c>
      <c r="IG49" s="104">
        <f>SUM(IG46:IG48)</f>
        <v>493</v>
      </c>
      <c r="IH49" s="104">
        <f t="shared" ref="IH49:IR49" si="218">SUM(IH46:IH48)</f>
        <v>538</v>
      </c>
      <c r="II49" s="104">
        <f t="shared" si="218"/>
        <v>448</v>
      </c>
      <c r="IJ49" s="104">
        <f t="shared" si="218"/>
        <v>401</v>
      </c>
      <c r="IK49" s="104">
        <f t="shared" si="218"/>
        <v>307</v>
      </c>
      <c r="IL49" s="104">
        <f t="shared" si="218"/>
        <v>437</v>
      </c>
      <c r="IM49" s="104">
        <f t="shared" si="218"/>
        <v>468</v>
      </c>
      <c r="IN49" s="104">
        <f t="shared" si="218"/>
        <v>384</v>
      </c>
      <c r="IO49" s="104">
        <f t="shared" si="218"/>
        <v>339</v>
      </c>
      <c r="IP49" s="104">
        <f t="shared" si="218"/>
        <v>445</v>
      </c>
      <c r="IQ49" s="104">
        <f t="shared" si="218"/>
        <v>378</v>
      </c>
      <c r="IR49" s="104">
        <f t="shared" si="218"/>
        <v>346</v>
      </c>
      <c r="IS49" s="38">
        <f t="shared" si="25"/>
        <v>4984</v>
      </c>
      <c r="IT49" s="36">
        <f t="shared" si="26"/>
        <v>7201</v>
      </c>
      <c r="IU49" s="26"/>
      <c r="IV49" s="32">
        <f>SUM(IV46:IV48)</f>
        <v>222</v>
      </c>
      <c r="IW49" s="32">
        <f t="shared" ref="IW49:JG49" si="219">SUM(IW46:IW48)</f>
        <v>181</v>
      </c>
      <c r="IX49" s="32">
        <f t="shared" si="219"/>
        <v>236</v>
      </c>
      <c r="IY49" s="32">
        <f t="shared" si="219"/>
        <v>216</v>
      </c>
      <c r="IZ49" s="32">
        <f t="shared" si="219"/>
        <v>234</v>
      </c>
      <c r="JA49" s="32">
        <f t="shared" si="219"/>
        <v>264</v>
      </c>
      <c r="JB49" s="32">
        <f t="shared" si="219"/>
        <v>291</v>
      </c>
      <c r="JC49" s="32">
        <f t="shared" si="219"/>
        <v>280</v>
      </c>
      <c r="JD49" s="32">
        <f t="shared" si="219"/>
        <v>303</v>
      </c>
      <c r="JE49" s="32">
        <f t="shared" si="219"/>
        <v>250</v>
      </c>
      <c r="JF49" s="32">
        <f t="shared" si="219"/>
        <v>216</v>
      </c>
      <c r="JG49" s="32">
        <f t="shared" si="219"/>
        <v>218</v>
      </c>
      <c r="JH49" s="38">
        <f t="shared" si="27"/>
        <v>2911</v>
      </c>
      <c r="JI49" s="32">
        <f>SUM(JI46:JI48)</f>
        <v>672</v>
      </c>
      <c r="JJ49" s="32">
        <f t="shared" ref="JJ49:JT49" si="220">SUM(JJ46:JJ48)</f>
        <v>590</v>
      </c>
      <c r="JK49" s="32">
        <f t="shared" si="220"/>
        <v>745</v>
      </c>
      <c r="JL49" s="32">
        <f t="shared" si="220"/>
        <v>755</v>
      </c>
      <c r="JM49" s="32">
        <f t="shared" si="220"/>
        <v>700</v>
      </c>
      <c r="JN49" s="32">
        <f t="shared" si="220"/>
        <v>765</v>
      </c>
      <c r="JO49" s="32">
        <f t="shared" si="220"/>
        <v>795</v>
      </c>
      <c r="JP49" s="32">
        <f t="shared" si="220"/>
        <v>611</v>
      </c>
      <c r="JQ49" s="32">
        <f t="shared" si="220"/>
        <v>719</v>
      </c>
      <c r="JR49" s="32">
        <f t="shared" si="220"/>
        <v>654</v>
      </c>
      <c r="JS49" s="32">
        <f t="shared" si="220"/>
        <v>521</v>
      </c>
      <c r="JT49" s="32">
        <f t="shared" si="220"/>
        <v>378</v>
      </c>
      <c r="JU49" s="112">
        <f t="shared" si="4"/>
        <v>7905</v>
      </c>
      <c r="JV49" s="36">
        <f t="shared" si="28"/>
        <v>10816</v>
      </c>
      <c r="JW49" s="26"/>
      <c r="JX49" s="32">
        <f>SUM(JX46:JX48)</f>
        <v>76</v>
      </c>
      <c r="JY49" s="32">
        <f t="shared" ref="JY49:KI49" si="221">SUM(JY46:JY48)</f>
        <v>106</v>
      </c>
      <c r="JZ49" s="32">
        <f t="shared" si="221"/>
        <v>181</v>
      </c>
      <c r="KA49" s="32">
        <f t="shared" si="221"/>
        <v>75</v>
      </c>
      <c r="KB49" s="32">
        <f t="shared" si="221"/>
        <v>93</v>
      </c>
      <c r="KC49" s="32">
        <f t="shared" si="221"/>
        <v>98</v>
      </c>
      <c r="KD49" s="32">
        <f t="shared" si="221"/>
        <v>198</v>
      </c>
      <c r="KE49" s="32">
        <f t="shared" si="221"/>
        <v>138</v>
      </c>
      <c r="KF49" s="32">
        <f t="shared" si="221"/>
        <v>153</v>
      </c>
      <c r="KG49" s="32">
        <f t="shared" si="221"/>
        <v>132</v>
      </c>
      <c r="KH49" s="32">
        <f t="shared" si="221"/>
        <v>71</v>
      </c>
      <c r="KI49" s="32">
        <f t="shared" si="221"/>
        <v>92</v>
      </c>
      <c r="KJ49" s="38">
        <f t="shared" si="29"/>
        <v>1413</v>
      </c>
      <c r="KK49" s="32">
        <f>SUM(KK46:KK48)</f>
        <v>909</v>
      </c>
      <c r="KL49" s="32">
        <f t="shared" ref="KL49:KV49" si="222">SUM(KL46:KL48)</f>
        <v>761</v>
      </c>
      <c r="KM49" s="32">
        <f t="shared" si="222"/>
        <v>694</v>
      </c>
      <c r="KN49" s="32">
        <f t="shared" si="222"/>
        <v>1178</v>
      </c>
      <c r="KO49" s="32">
        <f t="shared" si="222"/>
        <v>752</v>
      </c>
      <c r="KP49" s="32">
        <f t="shared" si="222"/>
        <v>836</v>
      </c>
      <c r="KQ49" s="32">
        <f t="shared" si="222"/>
        <v>647</v>
      </c>
      <c r="KR49" s="32">
        <f t="shared" si="222"/>
        <v>791</v>
      </c>
      <c r="KS49" s="32">
        <f t="shared" si="222"/>
        <v>630</v>
      </c>
      <c r="KT49" s="32">
        <f t="shared" si="222"/>
        <v>599</v>
      </c>
      <c r="KU49" s="32">
        <f t="shared" si="222"/>
        <v>509</v>
      </c>
      <c r="KV49" s="32">
        <f t="shared" si="222"/>
        <v>521</v>
      </c>
      <c r="KW49" s="38">
        <f t="shared" si="5"/>
        <v>8827</v>
      </c>
      <c r="KX49" s="36">
        <f t="shared" si="30"/>
        <v>10240</v>
      </c>
      <c r="KY49" s="26"/>
      <c r="KZ49" s="101">
        <f>SUM(KZ46:KZ48)</f>
        <v>509</v>
      </c>
      <c r="LA49" s="101">
        <f t="shared" ref="LA49:LK49" si="223">SUM(LA46:LA48)</f>
        <v>487</v>
      </c>
      <c r="LB49" s="101">
        <f t="shared" si="223"/>
        <v>545</v>
      </c>
      <c r="LC49" s="101">
        <f t="shared" si="223"/>
        <v>526</v>
      </c>
      <c r="LD49" s="101">
        <f t="shared" si="223"/>
        <v>575</v>
      </c>
      <c r="LE49" s="101">
        <f t="shared" si="223"/>
        <v>580</v>
      </c>
      <c r="LF49" s="101">
        <f t="shared" si="223"/>
        <v>609</v>
      </c>
      <c r="LG49" s="101">
        <f t="shared" si="223"/>
        <v>700</v>
      </c>
      <c r="LH49" s="101">
        <f t="shared" si="223"/>
        <v>613</v>
      </c>
      <c r="LI49" s="101">
        <f t="shared" si="223"/>
        <v>496</v>
      </c>
      <c r="LJ49" s="101">
        <f t="shared" si="223"/>
        <v>462</v>
      </c>
      <c r="LK49" s="101">
        <f t="shared" si="223"/>
        <v>405</v>
      </c>
      <c r="LL49" s="38">
        <f t="shared" si="6"/>
        <v>6507</v>
      </c>
      <c r="LM49" s="26"/>
      <c r="LN49" s="45">
        <f>SUM(LN46:LN48)</f>
        <v>859</v>
      </c>
      <c r="LO49" s="45">
        <f t="shared" ref="LO49:LY49" si="224">SUM(LO46:LO48)</f>
        <v>1867</v>
      </c>
      <c r="LP49" s="45">
        <f t="shared" si="224"/>
        <v>2150</v>
      </c>
      <c r="LQ49" s="45">
        <f t="shared" si="224"/>
        <v>1421</v>
      </c>
      <c r="LR49" s="45">
        <f t="shared" si="224"/>
        <v>1615</v>
      </c>
      <c r="LS49" s="45">
        <f t="shared" si="224"/>
        <v>1671</v>
      </c>
      <c r="LT49" s="45">
        <f t="shared" si="224"/>
        <v>827</v>
      </c>
      <c r="LU49" s="45">
        <f t="shared" si="224"/>
        <v>2692</v>
      </c>
      <c r="LV49" s="45">
        <f t="shared" si="224"/>
        <v>1390</v>
      </c>
      <c r="LW49" s="45">
        <f t="shared" si="224"/>
        <v>1370</v>
      </c>
      <c r="LX49" s="45">
        <f t="shared" si="224"/>
        <v>1053</v>
      </c>
      <c r="LY49" s="45">
        <f t="shared" si="224"/>
        <v>1007</v>
      </c>
      <c r="LZ49" s="38">
        <f t="shared" si="31"/>
        <v>17922</v>
      </c>
      <c r="MA49" s="26"/>
      <c r="MB49" s="45">
        <f>SUM(MB46:MB48)</f>
        <v>2101</v>
      </c>
      <c r="MC49" s="45">
        <f t="shared" ref="MC49:MM49" si="225">SUM(MC46:MC48)</f>
        <v>1821</v>
      </c>
      <c r="MD49" s="45">
        <f t="shared" si="225"/>
        <v>2041</v>
      </c>
      <c r="ME49" s="45">
        <f t="shared" si="225"/>
        <v>1229</v>
      </c>
      <c r="MF49" s="45">
        <f t="shared" si="225"/>
        <v>1920</v>
      </c>
      <c r="MG49" s="45">
        <f t="shared" si="225"/>
        <v>1221</v>
      </c>
      <c r="MH49" s="45">
        <f t="shared" si="225"/>
        <v>1692</v>
      </c>
      <c r="MI49" s="45">
        <f t="shared" si="225"/>
        <v>2132</v>
      </c>
      <c r="MJ49" s="45">
        <f t="shared" si="225"/>
        <v>1725</v>
      </c>
      <c r="MK49" s="45">
        <f t="shared" si="225"/>
        <v>1996</v>
      </c>
      <c r="ML49" s="45">
        <f t="shared" si="225"/>
        <v>1186</v>
      </c>
      <c r="MM49" s="45">
        <f t="shared" si="225"/>
        <v>958</v>
      </c>
      <c r="MN49" s="38">
        <f t="shared" si="32"/>
        <v>20022</v>
      </c>
      <c r="MO49" s="32">
        <f>SUM(MO46:MO48)</f>
        <v>667</v>
      </c>
      <c r="MP49" s="32">
        <f t="shared" ref="MP49:MZ49" si="226">SUM(MP46:MP48)</f>
        <v>612</v>
      </c>
      <c r="MQ49" s="32">
        <f t="shared" si="226"/>
        <v>947</v>
      </c>
      <c r="MR49" s="32">
        <f t="shared" si="226"/>
        <v>736</v>
      </c>
      <c r="MS49" s="32">
        <f t="shared" si="226"/>
        <v>653</v>
      </c>
      <c r="MT49" s="32">
        <f t="shared" si="226"/>
        <v>998</v>
      </c>
      <c r="MU49" s="32">
        <f t="shared" si="226"/>
        <v>1025</v>
      </c>
      <c r="MV49" s="32">
        <f t="shared" si="226"/>
        <v>1359</v>
      </c>
      <c r="MW49" s="32">
        <f t="shared" si="226"/>
        <v>1221</v>
      </c>
      <c r="MX49" s="32">
        <f t="shared" si="226"/>
        <v>1369</v>
      </c>
      <c r="MY49" s="32">
        <f t="shared" si="226"/>
        <v>991</v>
      </c>
      <c r="MZ49" s="32">
        <f t="shared" si="226"/>
        <v>937</v>
      </c>
      <c r="NA49" s="38">
        <f t="shared" si="33"/>
        <v>11515</v>
      </c>
      <c r="NB49" s="36">
        <f t="shared" si="34"/>
        <v>31537</v>
      </c>
      <c r="NC49" s="26"/>
      <c r="ND49" s="101">
        <f>SUM(ND46:ND48)</f>
        <v>181</v>
      </c>
      <c r="NE49" s="101">
        <f t="shared" ref="NE49:NO49" si="227">SUM(NE46:NE48)</f>
        <v>191</v>
      </c>
      <c r="NF49" s="101">
        <f t="shared" si="227"/>
        <v>241</v>
      </c>
      <c r="NG49" s="101">
        <f t="shared" si="227"/>
        <v>169</v>
      </c>
      <c r="NH49" s="101">
        <f t="shared" si="227"/>
        <v>165</v>
      </c>
      <c r="NI49" s="101">
        <f t="shared" si="227"/>
        <v>229</v>
      </c>
      <c r="NJ49" s="101">
        <f t="shared" si="227"/>
        <v>232</v>
      </c>
      <c r="NK49" s="101">
        <f t="shared" si="227"/>
        <v>227</v>
      </c>
      <c r="NL49" s="101">
        <f t="shared" si="227"/>
        <v>589</v>
      </c>
      <c r="NM49" s="101">
        <f t="shared" si="227"/>
        <v>525</v>
      </c>
      <c r="NN49" s="101">
        <f t="shared" si="227"/>
        <v>217</v>
      </c>
      <c r="NO49" s="101">
        <f t="shared" si="227"/>
        <v>167</v>
      </c>
      <c r="NP49" s="38">
        <f t="shared" si="35"/>
        <v>3133</v>
      </c>
      <c r="NQ49" s="36">
        <f t="shared" si="36"/>
        <v>32609</v>
      </c>
      <c r="NR49" s="36">
        <f t="shared" si="37"/>
        <v>120232</v>
      </c>
      <c r="NS49" s="36">
        <f t="shared" si="38"/>
        <v>48191</v>
      </c>
      <c r="NT49" s="36">
        <f t="shared" si="39"/>
        <v>201032</v>
      </c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</row>
    <row r="50" spans="1:458" s="1" customFormat="1" ht="50.1" customHeight="1" x14ac:dyDescent="0.25">
      <c r="A50" s="120"/>
      <c r="B50" s="6" t="s">
        <v>21</v>
      </c>
      <c r="C50" s="23"/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38">
        <f t="shared" si="7"/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  <c r="AA50" s="49">
        <v>0</v>
      </c>
      <c r="AB50" s="49">
        <v>0</v>
      </c>
      <c r="AC50" s="38">
        <f t="shared" si="8"/>
        <v>0</v>
      </c>
      <c r="AD50" s="36">
        <f t="shared" si="9"/>
        <v>0</v>
      </c>
      <c r="AE50" s="26"/>
      <c r="AF50" s="32">
        <v>0</v>
      </c>
      <c r="AG50" s="32">
        <v>0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8">
        <f t="shared" si="10"/>
        <v>0</v>
      </c>
      <c r="AS50" s="32">
        <v>7</v>
      </c>
      <c r="AT50" s="32">
        <v>5</v>
      </c>
      <c r="AU50" s="32">
        <v>6</v>
      </c>
      <c r="AV50" s="32">
        <v>4</v>
      </c>
      <c r="AW50" s="32">
        <v>6</v>
      </c>
      <c r="AX50" s="32">
        <v>2</v>
      </c>
      <c r="AY50" s="32">
        <v>3</v>
      </c>
      <c r="AZ50" s="32">
        <v>2</v>
      </c>
      <c r="BA50" s="32">
        <v>0</v>
      </c>
      <c r="BB50" s="32">
        <v>0</v>
      </c>
      <c r="BC50" s="32">
        <v>3</v>
      </c>
      <c r="BD50" s="32">
        <v>0</v>
      </c>
      <c r="BE50" s="38">
        <f t="shared" si="11"/>
        <v>38</v>
      </c>
      <c r="BF50" s="36">
        <f t="shared" si="12"/>
        <v>38</v>
      </c>
      <c r="BG50" s="26"/>
      <c r="BH50" s="41">
        <v>0</v>
      </c>
      <c r="BI50" s="41">
        <v>0</v>
      </c>
      <c r="BJ50" s="41">
        <v>0</v>
      </c>
      <c r="BK50" s="41">
        <v>0</v>
      </c>
      <c r="BL50" s="41">
        <v>0</v>
      </c>
      <c r="BM50" s="41">
        <v>0</v>
      </c>
      <c r="BN50" s="41">
        <v>0</v>
      </c>
      <c r="BO50" s="41">
        <v>0</v>
      </c>
      <c r="BP50" s="41">
        <v>0</v>
      </c>
      <c r="BQ50" s="41">
        <v>0</v>
      </c>
      <c r="BR50" s="41">
        <v>0</v>
      </c>
      <c r="BS50" s="41">
        <v>0</v>
      </c>
      <c r="BT50" s="38">
        <f t="shared" si="13"/>
        <v>0</v>
      </c>
      <c r="BU50" s="56">
        <v>0</v>
      </c>
      <c r="BV50" s="56">
        <v>0</v>
      </c>
      <c r="BW50" s="56">
        <v>0</v>
      </c>
      <c r="BX50" s="56">
        <v>0</v>
      </c>
      <c r="BY50" s="56">
        <v>0</v>
      </c>
      <c r="BZ50" s="56">
        <v>0</v>
      </c>
      <c r="CA50" s="56">
        <v>0</v>
      </c>
      <c r="CB50" s="56">
        <v>0</v>
      </c>
      <c r="CC50" s="56">
        <v>0</v>
      </c>
      <c r="CD50" s="56">
        <v>0</v>
      </c>
      <c r="CE50" s="56">
        <v>0</v>
      </c>
      <c r="CF50" s="56">
        <v>0</v>
      </c>
      <c r="CG50" s="61">
        <f t="shared" si="14"/>
        <v>0</v>
      </c>
      <c r="CH50" s="57">
        <f t="shared" si="15"/>
        <v>0</v>
      </c>
      <c r="CI50" s="26"/>
      <c r="CJ50" s="32">
        <v>0</v>
      </c>
      <c r="CK50" s="32">
        <v>0</v>
      </c>
      <c r="CL50" s="32">
        <v>0</v>
      </c>
      <c r="CM50" s="32">
        <v>0</v>
      </c>
      <c r="CN50" s="32">
        <v>0</v>
      </c>
      <c r="CO50" s="32">
        <v>0</v>
      </c>
      <c r="CP50" s="32">
        <v>0</v>
      </c>
      <c r="CQ50" s="32">
        <v>0</v>
      </c>
      <c r="CR50" s="32">
        <v>0</v>
      </c>
      <c r="CS50" s="32">
        <v>0</v>
      </c>
      <c r="CT50" s="32">
        <v>0</v>
      </c>
      <c r="CU50" s="69">
        <v>0</v>
      </c>
      <c r="CV50" s="38">
        <f t="shared" si="16"/>
        <v>0</v>
      </c>
      <c r="CW50" s="45">
        <v>4</v>
      </c>
      <c r="CX50" s="45">
        <v>4</v>
      </c>
      <c r="CY50" s="45">
        <v>11</v>
      </c>
      <c r="CZ50" s="45">
        <v>2</v>
      </c>
      <c r="DA50" s="45">
        <v>1</v>
      </c>
      <c r="DB50" s="45">
        <v>3</v>
      </c>
      <c r="DC50" s="45">
        <v>0</v>
      </c>
      <c r="DD50" s="45">
        <v>0</v>
      </c>
      <c r="DE50" s="45">
        <v>0</v>
      </c>
      <c r="DF50" s="45">
        <v>1</v>
      </c>
      <c r="DG50" s="45">
        <v>2</v>
      </c>
      <c r="DH50" s="45">
        <v>4</v>
      </c>
      <c r="DI50" s="38">
        <f t="shared" si="0"/>
        <v>32</v>
      </c>
      <c r="DJ50" s="36">
        <f t="shared" si="17"/>
        <v>32</v>
      </c>
      <c r="DK50" s="26"/>
      <c r="DL50" s="75">
        <v>0</v>
      </c>
      <c r="DM50" s="75">
        <v>0</v>
      </c>
      <c r="DN50" s="75">
        <v>0</v>
      </c>
      <c r="DO50" s="75">
        <v>0</v>
      </c>
      <c r="DP50" s="75">
        <v>0</v>
      </c>
      <c r="DQ50" s="75">
        <v>0</v>
      </c>
      <c r="DR50" s="75">
        <v>0</v>
      </c>
      <c r="DS50" s="75">
        <v>0</v>
      </c>
      <c r="DT50" s="75">
        <v>0</v>
      </c>
      <c r="DU50" s="75">
        <v>0</v>
      </c>
      <c r="DV50" s="75">
        <v>0</v>
      </c>
      <c r="DW50" s="83">
        <v>0</v>
      </c>
      <c r="DX50" s="38">
        <f t="shared" si="1"/>
        <v>0</v>
      </c>
      <c r="DY50" s="65">
        <v>34</v>
      </c>
      <c r="DZ50" s="65">
        <v>47</v>
      </c>
      <c r="EA50" s="65">
        <v>59</v>
      </c>
      <c r="EB50" s="65">
        <v>30</v>
      </c>
      <c r="EC50" s="65">
        <v>82</v>
      </c>
      <c r="ED50" s="65">
        <v>81</v>
      </c>
      <c r="EE50" s="65">
        <v>98</v>
      </c>
      <c r="EF50" s="65">
        <v>44</v>
      </c>
      <c r="EG50" s="65">
        <v>21</v>
      </c>
      <c r="EH50" s="65">
        <v>21</v>
      </c>
      <c r="EI50" s="65">
        <v>19</v>
      </c>
      <c r="EJ50" s="65">
        <v>24</v>
      </c>
      <c r="EK50" s="38">
        <f t="shared" si="18"/>
        <v>560</v>
      </c>
      <c r="EL50" s="36">
        <f t="shared" si="19"/>
        <v>560</v>
      </c>
      <c r="EM50" s="26"/>
      <c r="EN50" s="32">
        <v>0</v>
      </c>
      <c r="EO50" s="32">
        <v>0</v>
      </c>
      <c r="EP50" s="32">
        <v>0</v>
      </c>
      <c r="EQ50" s="32">
        <v>0</v>
      </c>
      <c r="ER50" s="32">
        <v>0</v>
      </c>
      <c r="ES50" s="32">
        <v>0</v>
      </c>
      <c r="ET50" s="32">
        <v>0</v>
      </c>
      <c r="EU50" s="32">
        <v>0</v>
      </c>
      <c r="EV50" s="32">
        <v>0</v>
      </c>
      <c r="EW50" s="32">
        <v>0</v>
      </c>
      <c r="EX50" s="32">
        <v>0</v>
      </c>
      <c r="EY50" s="32">
        <v>0</v>
      </c>
      <c r="EZ50" s="38">
        <f t="shared" si="2"/>
        <v>0</v>
      </c>
      <c r="FA50" s="26"/>
      <c r="FB50" s="54">
        <v>0</v>
      </c>
      <c r="FC50" s="54">
        <v>0</v>
      </c>
      <c r="FD50" s="54">
        <v>0</v>
      </c>
      <c r="FE50" s="54">
        <v>0</v>
      </c>
      <c r="FF50" s="54">
        <v>0</v>
      </c>
      <c r="FG50" s="54">
        <v>0</v>
      </c>
      <c r="FH50" s="54">
        <v>0</v>
      </c>
      <c r="FI50" s="54">
        <v>0</v>
      </c>
      <c r="FJ50" s="54">
        <v>0</v>
      </c>
      <c r="FK50" s="54">
        <v>0</v>
      </c>
      <c r="FL50" s="54">
        <v>0</v>
      </c>
      <c r="FM50" s="54">
        <v>0</v>
      </c>
      <c r="FN50" s="38">
        <f t="shared" si="20"/>
        <v>0</v>
      </c>
      <c r="FO50" s="26"/>
      <c r="FP50" s="32">
        <v>0</v>
      </c>
      <c r="FQ50" s="32">
        <v>0</v>
      </c>
      <c r="FR50" s="32">
        <v>0</v>
      </c>
      <c r="FS50" s="32">
        <v>0</v>
      </c>
      <c r="FT50" s="32">
        <v>0</v>
      </c>
      <c r="FU50" s="32">
        <v>0</v>
      </c>
      <c r="FV50" s="32">
        <v>0</v>
      </c>
      <c r="FW50" s="32">
        <v>0</v>
      </c>
      <c r="FX50" s="32">
        <v>0</v>
      </c>
      <c r="FY50" s="32">
        <v>0</v>
      </c>
      <c r="FZ50" s="32">
        <v>0</v>
      </c>
      <c r="GA50" s="32">
        <v>0</v>
      </c>
      <c r="GB50" s="38">
        <f t="shared" si="21"/>
        <v>0</v>
      </c>
      <c r="GC50" s="26"/>
      <c r="GD50" s="101">
        <v>3</v>
      </c>
      <c r="GE50" s="101">
        <v>3</v>
      </c>
      <c r="GF50" s="101">
        <v>2</v>
      </c>
      <c r="GG50" s="101">
        <v>0</v>
      </c>
      <c r="GH50" s="32">
        <v>0</v>
      </c>
      <c r="GI50" s="32">
        <v>0</v>
      </c>
      <c r="GJ50" s="32">
        <v>0</v>
      </c>
      <c r="GK50" s="32">
        <v>0</v>
      </c>
      <c r="GL50" s="32">
        <v>0</v>
      </c>
      <c r="GM50" s="32">
        <v>0</v>
      </c>
      <c r="GN50" s="32">
        <v>0</v>
      </c>
      <c r="GO50" s="32">
        <v>0</v>
      </c>
      <c r="GP50" s="38">
        <f t="shared" si="22"/>
        <v>8</v>
      </c>
      <c r="GQ50" s="26"/>
      <c r="GR50" s="32">
        <v>0</v>
      </c>
      <c r="GS50" s="32">
        <v>1</v>
      </c>
      <c r="GT50" s="32">
        <v>2</v>
      </c>
      <c r="GU50" s="32">
        <v>0</v>
      </c>
      <c r="GV50" s="32">
        <v>2</v>
      </c>
      <c r="GW50" s="32">
        <v>1</v>
      </c>
      <c r="GX50" s="32">
        <v>4</v>
      </c>
      <c r="GY50" s="32">
        <v>1</v>
      </c>
      <c r="GZ50" s="32">
        <v>0</v>
      </c>
      <c r="HA50" s="32">
        <v>2</v>
      </c>
      <c r="HB50" s="32">
        <v>0</v>
      </c>
      <c r="HC50" s="32">
        <v>0</v>
      </c>
      <c r="HD50" s="38">
        <f t="shared" si="23"/>
        <v>13</v>
      </c>
      <c r="HE50" s="26"/>
      <c r="HF50" s="45">
        <v>0</v>
      </c>
      <c r="HG50" s="45">
        <v>0</v>
      </c>
      <c r="HH50" s="45">
        <v>0</v>
      </c>
      <c r="HI50" s="45">
        <v>0</v>
      </c>
      <c r="HJ50" s="45">
        <v>0</v>
      </c>
      <c r="HK50" s="45">
        <v>0</v>
      </c>
      <c r="HL50" s="45">
        <v>0</v>
      </c>
      <c r="HM50" s="45">
        <v>0</v>
      </c>
      <c r="HN50" s="45">
        <v>0</v>
      </c>
      <c r="HO50" s="45">
        <v>0</v>
      </c>
      <c r="HP50" s="45">
        <v>0</v>
      </c>
      <c r="HQ50" s="45">
        <v>0</v>
      </c>
      <c r="HR50" s="38">
        <f t="shared" si="24"/>
        <v>0</v>
      </c>
      <c r="HS50" s="26"/>
      <c r="HT50" s="32">
        <v>0</v>
      </c>
      <c r="HU50" s="32">
        <v>0</v>
      </c>
      <c r="HV50" s="32">
        <v>0</v>
      </c>
      <c r="HW50" s="32">
        <v>0</v>
      </c>
      <c r="HX50" s="32">
        <v>0</v>
      </c>
      <c r="HY50" s="32">
        <v>0</v>
      </c>
      <c r="HZ50" s="32">
        <v>0</v>
      </c>
      <c r="IA50" s="32">
        <v>0</v>
      </c>
      <c r="IB50" s="32">
        <v>0</v>
      </c>
      <c r="IC50" s="32">
        <v>0</v>
      </c>
      <c r="ID50" s="32">
        <v>0</v>
      </c>
      <c r="IE50" s="32">
        <v>0</v>
      </c>
      <c r="IF50" s="38">
        <f t="shared" si="3"/>
        <v>0</v>
      </c>
      <c r="IG50" s="104">
        <v>5</v>
      </c>
      <c r="IH50" s="104">
        <v>2</v>
      </c>
      <c r="II50" s="104">
        <v>3</v>
      </c>
      <c r="IJ50" s="104">
        <v>0</v>
      </c>
      <c r="IK50" s="104">
        <v>2</v>
      </c>
      <c r="IL50" s="104">
        <v>5</v>
      </c>
      <c r="IM50" s="104">
        <v>5</v>
      </c>
      <c r="IN50" s="104">
        <v>2</v>
      </c>
      <c r="IO50" s="104">
        <v>0</v>
      </c>
      <c r="IP50" s="104">
        <v>1</v>
      </c>
      <c r="IQ50" s="104">
        <v>0</v>
      </c>
      <c r="IR50" s="104">
        <v>1</v>
      </c>
      <c r="IS50" s="38">
        <f t="shared" si="25"/>
        <v>26</v>
      </c>
      <c r="IT50" s="36">
        <f t="shared" si="26"/>
        <v>26</v>
      </c>
      <c r="IU50" s="26"/>
      <c r="IV50" s="32">
        <v>0</v>
      </c>
      <c r="IW50" s="32">
        <v>3</v>
      </c>
      <c r="IX50" s="32">
        <v>5</v>
      </c>
      <c r="IY50" s="32">
        <v>1</v>
      </c>
      <c r="IZ50" s="32">
        <v>3</v>
      </c>
      <c r="JA50" s="32">
        <v>5</v>
      </c>
      <c r="JB50" s="32">
        <v>3</v>
      </c>
      <c r="JC50" s="32">
        <v>3</v>
      </c>
      <c r="JD50" s="32">
        <v>0</v>
      </c>
      <c r="JE50" s="32">
        <v>0</v>
      </c>
      <c r="JF50" s="32">
        <v>0</v>
      </c>
      <c r="JG50" s="32">
        <v>0</v>
      </c>
      <c r="JH50" s="38">
        <f t="shared" si="27"/>
        <v>23</v>
      </c>
      <c r="JI50" s="32">
        <v>0</v>
      </c>
      <c r="JJ50" s="32">
        <v>0</v>
      </c>
      <c r="JK50" s="32">
        <v>0</v>
      </c>
      <c r="JL50" s="32">
        <v>0</v>
      </c>
      <c r="JM50" s="32">
        <v>0</v>
      </c>
      <c r="JN50" s="32">
        <v>0</v>
      </c>
      <c r="JO50" s="32">
        <v>0</v>
      </c>
      <c r="JP50" s="32">
        <v>30</v>
      </c>
      <c r="JQ50" s="32">
        <v>40</v>
      </c>
      <c r="JR50" s="32">
        <v>32</v>
      </c>
      <c r="JS50" s="32">
        <v>19</v>
      </c>
      <c r="JT50" s="32">
        <v>26</v>
      </c>
      <c r="JU50" s="112">
        <f t="shared" si="4"/>
        <v>147</v>
      </c>
      <c r="JV50" s="36">
        <f t="shared" si="28"/>
        <v>170</v>
      </c>
      <c r="JW50" s="26"/>
      <c r="JX50" s="32">
        <v>0</v>
      </c>
      <c r="JY50" s="32">
        <v>0</v>
      </c>
      <c r="JZ50" s="32">
        <v>0</v>
      </c>
      <c r="KA50" s="32">
        <v>0</v>
      </c>
      <c r="KB50" s="32">
        <v>0</v>
      </c>
      <c r="KC50" s="32">
        <v>0</v>
      </c>
      <c r="KD50" s="32">
        <v>0</v>
      </c>
      <c r="KE50" s="32">
        <v>0</v>
      </c>
      <c r="KF50" s="32">
        <v>0</v>
      </c>
      <c r="KG50" s="32">
        <v>0</v>
      </c>
      <c r="KH50" s="32">
        <v>0</v>
      </c>
      <c r="KI50" s="32">
        <v>0</v>
      </c>
      <c r="KJ50" s="38">
        <f t="shared" si="29"/>
        <v>0</v>
      </c>
      <c r="KK50" s="32">
        <v>8</v>
      </c>
      <c r="KL50" s="113">
        <v>7</v>
      </c>
      <c r="KM50" s="113">
        <v>3</v>
      </c>
      <c r="KN50" s="32">
        <v>2</v>
      </c>
      <c r="KO50" s="32">
        <v>5</v>
      </c>
      <c r="KP50" s="32">
        <v>12</v>
      </c>
      <c r="KQ50" s="32">
        <v>11</v>
      </c>
      <c r="KR50" s="32">
        <v>11</v>
      </c>
      <c r="KS50" s="32">
        <v>4</v>
      </c>
      <c r="KT50" s="32">
        <v>0</v>
      </c>
      <c r="KU50" s="32">
        <v>1</v>
      </c>
      <c r="KV50" s="32">
        <v>9</v>
      </c>
      <c r="KW50" s="38">
        <f t="shared" si="5"/>
        <v>73</v>
      </c>
      <c r="KX50" s="36">
        <f t="shared" si="30"/>
        <v>73</v>
      </c>
      <c r="KY50" s="26"/>
      <c r="KZ50" s="101">
        <v>2</v>
      </c>
      <c r="LA50" s="101">
        <v>0</v>
      </c>
      <c r="LB50" s="101">
        <v>0</v>
      </c>
      <c r="LC50" s="101">
        <v>2</v>
      </c>
      <c r="LD50" s="101">
        <v>2</v>
      </c>
      <c r="LE50" s="101">
        <v>0</v>
      </c>
      <c r="LF50" s="101">
        <v>1</v>
      </c>
      <c r="LG50" s="101">
        <v>0</v>
      </c>
      <c r="LH50" s="101">
        <v>1</v>
      </c>
      <c r="LI50" s="101">
        <v>0</v>
      </c>
      <c r="LJ50" s="101">
        <v>1</v>
      </c>
      <c r="LK50" s="101">
        <v>0</v>
      </c>
      <c r="LL50" s="38">
        <f t="shared" si="6"/>
        <v>9</v>
      </c>
      <c r="LM50" s="26"/>
      <c r="LN50" s="45">
        <v>8</v>
      </c>
      <c r="LO50" s="45">
        <v>2</v>
      </c>
      <c r="LP50" s="45">
        <v>4</v>
      </c>
      <c r="LQ50" s="45">
        <v>3</v>
      </c>
      <c r="LR50" s="45">
        <v>4</v>
      </c>
      <c r="LS50" s="45">
        <v>6</v>
      </c>
      <c r="LT50" s="45">
        <v>6</v>
      </c>
      <c r="LU50" s="45">
        <v>4</v>
      </c>
      <c r="LV50" s="45">
        <v>6</v>
      </c>
      <c r="LW50" s="45">
        <v>9</v>
      </c>
      <c r="LX50" s="45">
        <v>5</v>
      </c>
      <c r="LY50" s="45">
        <v>5</v>
      </c>
      <c r="LZ50" s="38">
        <f t="shared" si="31"/>
        <v>62</v>
      </c>
      <c r="MA50" s="26"/>
      <c r="MB50" s="45">
        <v>14</v>
      </c>
      <c r="MC50" s="45">
        <v>11</v>
      </c>
      <c r="MD50" s="45">
        <v>19</v>
      </c>
      <c r="ME50" s="45">
        <v>9</v>
      </c>
      <c r="MF50" s="45">
        <v>21</v>
      </c>
      <c r="MG50" s="45">
        <v>7</v>
      </c>
      <c r="MH50" s="45">
        <v>7</v>
      </c>
      <c r="MI50" s="45">
        <v>2</v>
      </c>
      <c r="MJ50" s="45">
        <v>13</v>
      </c>
      <c r="MK50" s="45">
        <v>10</v>
      </c>
      <c r="ML50" s="45">
        <v>6</v>
      </c>
      <c r="MM50" s="45">
        <v>11</v>
      </c>
      <c r="MN50" s="38">
        <f t="shared" si="32"/>
        <v>130</v>
      </c>
      <c r="MO50" s="32">
        <v>6</v>
      </c>
      <c r="MP50" s="32">
        <v>3</v>
      </c>
      <c r="MQ50" s="32">
        <v>5</v>
      </c>
      <c r="MR50" s="32">
        <v>6</v>
      </c>
      <c r="MS50" s="32">
        <v>9</v>
      </c>
      <c r="MT50" s="32">
        <v>5</v>
      </c>
      <c r="MU50" s="32">
        <v>4</v>
      </c>
      <c r="MV50" s="32">
        <v>3</v>
      </c>
      <c r="MW50" s="32">
        <v>2</v>
      </c>
      <c r="MX50" s="32">
        <v>0</v>
      </c>
      <c r="MY50" s="32">
        <v>2</v>
      </c>
      <c r="MZ50" s="32">
        <v>0</v>
      </c>
      <c r="NA50" s="38">
        <f t="shared" si="33"/>
        <v>45</v>
      </c>
      <c r="NB50" s="36">
        <f t="shared" si="34"/>
        <v>175</v>
      </c>
      <c r="NC50" s="26"/>
      <c r="ND50" s="32">
        <v>0</v>
      </c>
      <c r="NE50" s="32">
        <v>0</v>
      </c>
      <c r="NF50" s="32">
        <v>0</v>
      </c>
      <c r="NG50" s="101">
        <v>0</v>
      </c>
      <c r="NH50" s="101">
        <v>1</v>
      </c>
      <c r="NI50" s="101">
        <v>0</v>
      </c>
      <c r="NJ50" s="101">
        <v>0</v>
      </c>
      <c r="NK50" s="101">
        <v>0</v>
      </c>
      <c r="NL50" s="32">
        <v>0</v>
      </c>
      <c r="NM50" s="32">
        <v>0</v>
      </c>
      <c r="NN50" s="32">
        <v>0</v>
      </c>
      <c r="NO50" s="32">
        <v>0</v>
      </c>
      <c r="NP50" s="38">
        <f t="shared" si="35"/>
        <v>1</v>
      </c>
      <c r="NQ50" s="36">
        <f t="shared" si="36"/>
        <v>13</v>
      </c>
      <c r="NR50" s="36">
        <f t="shared" si="37"/>
        <v>962</v>
      </c>
      <c r="NS50" s="36">
        <f t="shared" si="38"/>
        <v>192</v>
      </c>
      <c r="NT50" s="36">
        <f t="shared" si="39"/>
        <v>1167</v>
      </c>
      <c r="NU50" s="10"/>
      <c r="NV50" s="10"/>
      <c r="NW50" s="10"/>
      <c r="NX50" s="10"/>
      <c r="NY50" s="10"/>
      <c r="NZ50" s="10"/>
      <c r="OA50" s="10"/>
      <c r="OB50" s="10"/>
      <c r="OC50" s="19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9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9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</row>
    <row r="51" spans="1:458" s="1" customFormat="1" ht="50.1" customHeight="1" x14ac:dyDescent="0.25">
      <c r="A51" s="120"/>
      <c r="B51" s="6" t="s">
        <v>22</v>
      </c>
      <c r="C51" s="23"/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38">
        <f t="shared" si="7"/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  <c r="W51" s="49">
        <v>0</v>
      </c>
      <c r="X51" s="49">
        <v>0</v>
      </c>
      <c r="Y51" s="49">
        <v>0</v>
      </c>
      <c r="Z51" s="49">
        <v>0</v>
      </c>
      <c r="AA51" s="49">
        <v>0</v>
      </c>
      <c r="AB51" s="49">
        <v>0</v>
      </c>
      <c r="AC51" s="38">
        <f t="shared" si="8"/>
        <v>0</v>
      </c>
      <c r="AD51" s="36">
        <f t="shared" si="9"/>
        <v>0</v>
      </c>
      <c r="AE51" s="26"/>
      <c r="AF51" s="32">
        <v>0</v>
      </c>
      <c r="AG51" s="32">
        <v>0</v>
      </c>
      <c r="AH51" s="32">
        <v>0</v>
      </c>
      <c r="AI51" s="32">
        <v>0</v>
      </c>
      <c r="AJ51" s="32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8">
        <f t="shared" si="10"/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 s="32">
        <v>0</v>
      </c>
      <c r="BD51" s="32">
        <v>0</v>
      </c>
      <c r="BE51" s="38">
        <f t="shared" si="11"/>
        <v>0</v>
      </c>
      <c r="BF51" s="36">
        <f t="shared" si="12"/>
        <v>0</v>
      </c>
      <c r="BG51" s="26"/>
      <c r="BH51" s="41">
        <v>0</v>
      </c>
      <c r="BI51" s="41">
        <v>0</v>
      </c>
      <c r="BJ51" s="41">
        <v>0</v>
      </c>
      <c r="BK51" s="41">
        <v>0</v>
      </c>
      <c r="BL51" s="41">
        <v>0</v>
      </c>
      <c r="BM51" s="41">
        <v>0</v>
      </c>
      <c r="BN51" s="41">
        <v>0</v>
      </c>
      <c r="BO51" s="41">
        <v>0</v>
      </c>
      <c r="BP51" s="41">
        <v>0</v>
      </c>
      <c r="BQ51" s="41">
        <v>0</v>
      </c>
      <c r="BR51" s="41">
        <v>0</v>
      </c>
      <c r="BS51" s="41">
        <v>0</v>
      </c>
      <c r="BT51" s="38">
        <f t="shared" si="13"/>
        <v>0</v>
      </c>
      <c r="BU51" s="56">
        <v>0</v>
      </c>
      <c r="BV51" s="56">
        <v>0</v>
      </c>
      <c r="BW51" s="56">
        <v>0</v>
      </c>
      <c r="BX51" s="56">
        <v>0</v>
      </c>
      <c r="BY51" s="56">
        <v>0</v>
      </c>
      <c r="BZ51" s="56">
        <v>0</v>
      </c>
      <c r="CA51" s="56">
        <v>0</v>
      </c>
      <c r="CB51" s="56">
        <v>0</v>
      </c>
      <c r="CC51" s="56">
        <v>0</v>
      </c>
      <c r="CD51" s="56">
        <v>0</v>
      </c>
      <c r="CE51" s="56">
        <v>0</v>
      </c>
      <c r="CF51" s="56">
        <v>0</v>
      </c>
      <c r="CG51" s="61">
        <f t="shared" si="14"/>
        <v>0</v>
      </c>
      <c r="CH51" s="57">
        <f t="shared" si="15"/>
        <v>0</v>
      </c>
      <c r="CI51" s="26"/>
      <c r="CJ51" s="32">
        <v>0</v>
      </c>
      <c r="CK51" s="32">
        <v>0</v>
      </c>
      <c r="CL51" s="32">
        <v>0</v>
      </c>
      <c r="CM51" s="32">
        <v>0</v>
      </c>
      <c r="CN51" s="32">
        <v>0</v>
      </c>
      <c r="CO51" s="32">
        <v>0</v>
      </c>
      <c r="CP51" s="32">
        <v>0</v>
      </c>
      <c r="CQ51" s="32">
        <v>0</v>
      </c>
      <c r="CR51" s="32">
        <v>0</v>
      </c>
      <c r="CS51" s="32">
        <v>0</v>
      </c>
      <c r="CT51" s="32">
        <v>0</v>
      </c>
      <c r="CU51" s="69">
        <v>0</v>
      </c>
      <c r="CV51" s="38">
        <f t="shared" si="16"/>
        <v>0</v>
      </c>
      <c r="CW51" s="45">
        <v>0</v>
      </c>
      <c r="CX51" s="45">
        <v>0</v>
      </c>
      <c r="CY51" s="45">
        <v>0</v>
      </c>
      <c r="CZ51" s="45">
        <v>0</v>
      </c>
      <c r="DA51" s="45">
        <v>0</v>
      </c>
      <c r="DB51" s="45">
        <v>0</v>
      </c>
      <c r="DC51" s="45">
        <v>0</v>
      </c>
      <c r="DD51" s="45">
        <v>0</v>
      </c>
      <c r="DE51" s="45">
        <v>0</v>
      </c>
      <c r="DF51" s="45">
        <v>0</v>
      </c>
      <c r="DG51" s="45">
        <v>0</v>
      </c>
      <c r="DH51" s="45">
        <v>0</v>
      </c>
      <c r="DI51" s="38">
        <f t="shared" si="0"/>
        <v>0</v>
      </c>
      <c r="DJ51" s="36">
        <f t="shared" si="17"/>
        <v>0</v>
      </c>
      <c r="DK51" s="26"/>
      <c r="DL51" s="75">
        <v>0</v>
      </c>
      <c r="DM51" s="75">
        <v>0</v>
      </c>
      <c r="DN51" s="75">
        <v>0</v>
      </c>
      <c r="DO51" s="75">
        <v>0</v>
      </c>
      <c r="DP51" s="75">
        <v>0</v>
      </c>
      <c r="DQ51" s="75">
        <v>0</v>
      </c>
      <c r="DR51" s="75">
        <v>0</v>
      </c>
      <c r="DS51" s="75">
        <v>0</v>
      </c>
      <c r="DT51" s="75">
        <v>0</v>
      </c>
      <c r="DU51" s="75">
        <v>0</v>
      </c>
      <c r="DV51" s="75">
        <v>0</v>
      </c>
      <c r="DW51" s="83">
        <v>0</v>
      </c>
      <c r="DX51" s="38">
        <f t="shared" si="1"/>
        <v>0</v>
      </c>
      <c r="DY51" s="63">
        <v>0</v>
      </c>
      <c r="DZ51" s="63">
        <v>0</v>
      </c>
      <c r="EA51" s="63">
        <v>0</v>
      </c>
      <c r="EB51" s="63">
        <v>0</v>
      </c>
      <c r="EC51" s="63">
        <v>0</v>
      </c>
      <c r="ED51" s="63">
        <v>0</v>
      </c>
      <c r="EE51" s="63">
        <v>0</v>
      </c>
      <c r="EF51" s="63">
        <v>0</v>
      </c>
      <c r="EG51" s="63">
        <v>0</v>
      </c>
      <c r="EH51" s="63">
        <v>0</v>
      </c>
      <c r="EI51" s="63">
        <v>0</v>
      </c>
      <c r="EJ51" s="63">
        <v>0</v>
      </c>
      <c r="EK51" s="38">
        <f t="shared" si="18"/>
        <v>0</v>
      </c>
      <c r="EL51" s="36">
        <f t="shared" si="19"/>
        <v>0</v>
      </c>
      <c r="EM51" s="26"/>
      <c r="EN51" s="32">
        <v>0</v>
      </c>
      <c r="EO51" s="32">
        <v>0</v>
      </c>
      <c r="EP51" s="32">
        <v>0</v>
      </c>
      <c r="EQ51" s="32">
        <v>0</v>
      </c>
      <c r="ER51" s="32">
        <v>0</v>
      </c>
      <c r="ES51" s="32">
        <v>0</v>
      </c>
      <c r="ET51" s="32">
        <v>0</v>
      </c>
      <c r="EU51" s="32">
        <v>0</v>
      </c>
      <c r="EV51" s="32">
        <v>0</v>
      </c>
      <c r="EW51" s="32">
        <v>0</v>
      </c>
      <c r="EX51" s="32">
        <v>0</v>
      </c>
      <c r="EY51" s="32">
        <v>0</v>
      </c>
      <c r="EZ51" s="38">
        <f t="shared" si="2"/>
        <v>0</v>
      </c>
      <c r="FA51" s="26"/>
      <c r="FB51" s="54">
        <v>0</v>
      </c>
      <c r="FC51" s="54">
        <v>0</v>
      </c>
      <c r="FD51" s="54">
        <v>0</v>
      </c>
      <c r="FE51" s="54">
        <v>0</v>
      </c>
      <c r="FF51" s="54">
        <v>0</v>
      </c>
      <c r="FG51" s="54">
        <v>0</v>
      </c>
      <c r="FH51" s="54">
        <v>0</v>
      </c>
      <c r="FI51" s="54">
        <v>0</v>
      </c>
      <c r="FJ51" s="54">
        <v>0</v>
      </c>
      <c r="FK51" s="54">
        <v>0</v>
      </c>
      <c r="FL51" s="54">
        <v>0</v>
      </c>
      <c r="FM51" s="54">
        <v>0</v>
      </c>
      <c r="FN51" s="38">
        <f t="shared" si="20"/>
        <v>0</v>
      </c>
      <c r="FO51" s="26"/>
      <c r="FP51" s="32">
        <v>0</v>
      </c>
      <c r="FQ51" s="32">
        <v>0</v>
      </c>
      <c r="FR51" s="32">
        <v>0</v>
      </c>
      <c r="FS51" s="32">
        <v>0</v>
      </c>
      <c r="FT51" s="32">
        <v>0</v>
      </c>
      <c r="FU51" s="32">
        <v>0</v>
      </c>
      <c r="FV51" s="32">
        <v>0</v>
      </c>
      <c r="FW51" s="32">
        <v>0</v>
      </c>
      <c r="FX51" s="32">
        <v>0</v>
      </c>
      <c r="FY51" s="32">
        <v>0</v>
      </c>
      <c r="FZ51" s="32">
        <v>0</v>
      </c>
      <c r="GA51" s="32">
        <v>0</v>
      </c>
      <c r="GB51" s="38">
        <f t="shared" si="21"/>
        <v>0</v>
      </c>
      <c r="GC51" s="26"/>
      <c r="GD51" s="32">
        <v>0</v>
      </c>
      <c r="GE51" s="32">
        <v>0</v>
      </c>
      <c r="GF51" s="32">
        <v>0</v>
      </c>
      <c r="GG51" s="32">
        <v>0</v>
      </c>
      <c r="GH51" s="32">
        <v>0</v>
      </c>
      <c r="GI51" s="32">
        <v>0</v>
      </c>
      <c r="GJ51" s="32">
        <v>0</v>
      </c>
      <c r="GK51" s="32">
        <v>0</v>
      </c>
      <c r="GL51" s="32">
        <v>0</v>
      </c>
      <c r="GM51" s="32">
        <v>0</v>
      </c>
      <c r="GN51" s="32">
        <v>0</v>
      </c>
      <c r="GO51" s="32">
        <v>0</v>
      </c>
      <c r="GP51" s="38">
        <f t="shared" si="22"/>
        <v>0</v>
      </c>
      <c r="GQ51" s="26"/>
      <c r="GR51" s="32">
        <v>0</v>
      </c>
      <c r="GS51" s="32">
        <v>0</v>
      </c>
      <c r="GT51" s="32">
        <v>0</v>
      </c>
      <c r="GU51" s="32">
        <v>0</v>
      </c>
      <c r="GV51" s="32">
        <v>0</v>
      </c>
      <c r="GW51" s="32">
        <v>0</v>
      </c>
      <c r="GX51" s="32">
        <v>0</v>
      </c>
      <c r="GY51" s="32">
        <v>0</v>
      </c>
      <c r="GZ51" s="32">
        <v>0</v>
      </c>
      <c r="HA51" s="32">
        <v>0</v>
      </c>
      <c r="HB51" s="32">
        <v>0</v>
      </c>
      <c r="HC51" s="32">
        <v>0</v>
      </c>
      <c r="HD51" s="38">
        <f t="shared" si="23"/>
        <v>0</v>
      </c>
      <c r="HE51" s="26"/>
      <c r="HF51" s="45">
        <v>0</v>
      </c>
      <c r="HG51" s="45">
        <v>0</v>
      </c>
      <c r="HH51" s="45">
        <v>0</v>
      </c>
      <c r="HI51" s="45">
        <v>0</v>
      </c>
      <c r="HJ51" s="45">
        <v>0</v>
      </c>
      <c r="HK51" s="45">
        <v>0</v>
      </c>
      <c r="HL51" s="45">
        <v>0</v>
      </c>
      <c r="HM51" s="45">
        <v>0</v>
      </c>
      <c r="HN51" s="45">
        <v>0</v>
      </c>
      <c r="HO51" s="45">
        <v>0</v>
      </c>
      <c r="HP51" s="45">
        <v>0</v>
      </c>
      <c r="HQ51" s="45">
        <v>0</v>
      </c>
      <c r="HR51" s="38">
        <f t="shared" si="24"/>
        <v>0</v>
      </c>
      <c r="HS51" s="26"/>
      <c r="HT51" s="32">
        <v>0</v>
      </c>
      <c r="HU51" s="32">
        <v>0</v>
      </c>
      <c r="HV51" s="32">
        <v>0</v>
      </c>
      <c r="HW51" s="32">
        <v>0</v>
      </c>
      <c r="HX51" s="32">
        <v>0</v>
      </c>
      <c r="HY51" s="32">
        <v>0</v>
      </c>
      <c r="HZ51" s="32">
        <v>0</v>
      </c>
      <c r="IA51" s="32">
        <v>0</v>
      </c>
      <c r="IB51" s="32">
        <v>0</v>
      </c>
      <c r="IC51" s="32">
        <v>0</v>
      </c>
      <c r="ID51" s="32">
        <v>0</v>
      </c>
      <c r="IE51" s="32">
        <v>0</v>
      </c>
      <c r="IF51" s="38">
        <f t="shared" si="3"/>
        <v>0</v>
      </c>
      <c r="IG51" s="104">
        <v>0</v>
      </c>
      <c r="IH51" s="104">
        <v>0</v>
      </c>
      <c r="II51" s="104">
        <v>0</v>
      </c>
      <c r="IJ51" s="104">
        <v>0</v>
      </c>
      <c r="IK51" s="104">
        <v>0</v>
      </c>
      <c r="IL51" s="104">
        <v>0</v>
      </c>
      <c r="IM51" s="104">
        <v>0</v>
      </c>
      <c r="IN51" s="104">
        <v>0</v>
      </c>
      <c r="IO51" s="104">
        <v>0</v>
      </c>
      <c r="IP51" s="104">
        <v>0</v>
      </c>
      <c r="IQ51" s="104">
        <v>0</v>
      </c>
      <c r="IR51" s="104">
        <v>0</v>
      </c>
      <c r="IS51" s="38">
        <f t="shared" si="25"/>
        <v>0</v>
      </c>
      <c r="IT51" s="36">
        <f t="shared" si="26"/>
        <v>0</v>
      </c>
      <c r="IU51" s="26"/>
      <c r="IV51" s="32">
        <v>0</v>
      </c>
      <c r="IW51" s="32">
        <v>0</v>
      </c>
      <c r="IX51" s="32">
        <v>0</v>
      </c>
      <c r="IY51" s="32">
        <v>0</v>
      </c>
      <c r="IZ51" s="32">
        <v>0</v>
      </c>
      <c r="JA51" s="32">
        <v>0</v>
      </c>
      <c r="JB51" s="32">
        <v>0</v>
      </c>
      <c r="JC51" s="32">
        <v>0</v>
      </c>
      <c r="JD51" s="32">
        <v>0</v>
      </c>
      <c r="JE51" s="32">
        <v>0</v>
      </c>
      <c r="JF51" s="32">
        <v>0</v>
      </c>
      <c r="JG51" s="32">
        <v>0</v>
      </c>
      <c r="JH51" s="38">
        <f t="shared" si="27"/>
        <v>0</v>
      </c>
      <c r="JI51" s="32">
        <v>0</v>
      </c>
      <c r="JJ51" s="32">
        <v>0</v>
      </c>
      <c r="JK51" s="32">
        <v>0</v>
      </c>
      <c r="JL51" s="32">
        <v>0</v>
      </c>
      <c r="JM51" s="32">
        <v>0</v>
      </c>
      <c r="JN51" s="32">
        <v>0</v>
      </c>
      <c r="JO51" s="32">
        <v>0</v>
      </c>
      <c r="JP51" s="32">
        <v>0</v>
      </c>
      <c r="JQ51" s="32">
        <v>0</v>
      </c>
      <c r="JR51" s="32">
        <v>0</v>
      </c>
      <c r="JS51" s="32">
        <v>0</v>
      </c>
      <c r="JT51" s="32">
        <v>0</v>
      </c>
      <c r="JU51" s="112">
        <f t="shared" si="4"/>
        <v>0</v>
      </c>
      <c r="JV51" s="36">
        <f t="shared" si="28"/>
        <v>0</v>
      </c>
      <c r="JW51" s="26"/>
      <c r="JX51" s="32">
        <v>0</v>
      </c>
      <c r="JY51" s="32">
        <v>0</v>
      </c>
      <c r="JZ51" s="32">
        <v>0</v>
      </c>
      <c r="KA51" s="32">
        <v>0</v>
      </c>
      <c r="KB51" s="32">
        <v>0</v>
      </c>
      <c r="KC51" s="32">
        <v>0</v>
      </c>
      <c r="KD51" s="32">
        <v>0</v>
      </c>
      <c r="KE51" s="32">
        <v>0</v>
      </c>
      <c r="KF51" s="32">
        <v>0</v>
      </c>
      <c r="KG51" s="32">
        <v>0</v>
      </c>
      <c r="KH51" s="32">
        <v>0</v>
      </c>
      <c r="KI51" s="32">
        <v>0</v>
      </c>
      <c r="KJ51" s="38">
        <f t="shared" si="29"/>
        <v>0</v>
      </c>
      <c r="KK51" s="32">
        <v>0</v>
      </c>
      <c r="KL51" s="32">
        <v>0</v>
      </c>
      <c r="KM51" s="32">
        <v>0</v>
      </c>
      <c r="KN51" s="32">
        <v>0</v>
      </c>
      <c r="KO51" s="32">
        <v>0</v>
      </c>
      <c r="KP51" s="32">
        <v>0</v>
      </c>
      <c r="KQ51" s="32">
        <v>0</v>
      </c>
      <c r="KR51" s="32">
        <v>0</v>
      </c>
      <c r="KS51" s="32">
        <v>0</v>
      </c>
      <c r="KT51" s="32">
        <v>0</v>
      </c>
      <c r="KU51" s="32">
        <v>0</v>
      </c>
      <c r="KV51" s="32">
        <v>0</v>
      </c>
      <c r="KW51" s="38">
        <f t="shared" si="5"/>
        <v>0</v>
      </c>
      <c r="KX51" s="36">
        <f t="shared" si="30"/>
        <v>0</v>
      </c>
      <c r="KY51" s="26"/>
      <c r="KZ51" s="32">
        <v>0</v>
      </c>
      <c r="LA51" s="32">
        <v>0</v>
      </c>
      <c r="LB51" s="32">
        <v>0</v>
      </c>
      <c r="LC51" s="32">
        <v>0</v>
      </c>
      <c r="LD51" s="32">
        <v>0</v>
      </c>
      <c r="LE51" s="32">
        <v>0</v>
      </c>
      <c r="LF51" s="32">
        <v>0</v>
      </c>
      <c r="LG51" s="32">
        <v>0</v>
      </c>
      <c r="LH51" s="32">
        <v>0</v>
      </c>
      <c r="LI51" s="32">
        <v>0</v>
      </c>
      <c r="LJ51" s="32">
        <v>0</v>
      </c>
      <c r="LK51" s="32">
        <v>0</v>
      </c>
      <c r="LL51" s="38">
        <f t="shared" si="6"/>
        <v>0</v>
      </c>
      <c r="LM51" s="26"/>
      <c r="LN51" s="71">
        <v>0</v>
      </c>
      <c r="LO51" s="71">
        <v>0</v>
      </c>
      <c r="LP51" s="71">
        <v>0</v>
      </c>
      <c r="LQ51" s="71">
        <v>0</v>
      </c>
      <c r="LR51" s="71">
        <v>0</v>
      </c>
      <c r="LS51" s="71">
        <v>0</v>
      </c>
      <c r="LT51" s="71">
        <v>0</v>
      </c>
      <c r="LU51" s="45">
        <v>0</v>
      </c>
      <c r="LV51" s="45">
        <v>0</v>
      </c>
      <c r="LW51" s="45">
        <v>0</v>
      </c>
      <c r="LX51" s="45">
        <v>0</v>
      </c>
      <c r="LY51" s="45">
        <v>0</v>
      </c>
      <c r="LZ51" s="38">
        <f t="shared" si="31"/>
        <v>0</v>
      </c>
      <c r="MA51" s="26"/>
      <c r="MB51" s="45">
        <v>0</v>
      </c>
      <c r="MC51" s="45">
        <v>0</v>
      </c>
      <c r="MD51" s="45">
        <v>0</v>
      </c>
      <c r="ME51" s="45">
        <v>0</v>
      </c>
      <c r="MF51" s="45">
        <v>0</v>
      </c>
      <c r="MG51" s="45">
        <v>0</v>
      </c>
      <c r="MH51" s="45">
        <v>0</v>
      </c>
      <c r="MI51" s="45">
        <v>0</v>
      </c>
      <c r="MJ51" s="45">
        <v>0</v>
      </c>
      <c r="MK51" s="45">
        <v>0</v>
      </c>
      <c r="ML51" s="45">
        <v>0</v>
      </c>
      <c r="MM51" s="45">
        <v>0</v>
      </c>
      <c r="MN51" s="38">
        <f t="shared" si="32"/>
        <v>0</v>
      </c>
      <c r="MO51" s="32">
        <v>0</v>
      </c>
      <c r="MP51" s="32">
        <v>0</v>
      </c>
      <c r="MQ51" s="32">
        <v>0</v>
      </c>
      <c r="MR51" s="32">
        <v>0</v>
      </c>
      <c r="MS51" s="32">
        <v>0</v>
      </c>
      <c r="MT51" s="32">
        <v>0</v>
      </c>
      <c r="MU51" s="32">
        <v>0</v>
      </c>
      <c r="MV51" s="32">
        <v>0</v>
      </c>
      <c r="MW51" s="32">
        <v>0</v>
      </c>
      <c r="MX51" s="32">
        <v>0</v>
      </c>
      <c r="MY51" s="32">
        <v>0</v>
      </c>
      <c r="MZ51" s="32">
        <v>0</v>
      </c>
      <c r="NA51" s="38">
        <f t="shared" si="33"/>
        <v>0</v>
      </c>
      <c r="NB51" s="36">
        <f t="shared" si="34"/>
        <v>0</v>
      </c>
      <c r="NC51" s="26"/>
      <c r="ND51" s="32">
        <v>0</v>
      </c>
      <c r="NE51" s="32">
        <v>0</v>
      </c>
      <c r="NF51" s="32">
        <v>0</v>
      </c>
      <c r="NG51" s="32">
        <v>0</v>
      </c>
      <c r="NH51" s="32">
        <v>0</v>
      </c>
      <c r="NI51" s="32">
        <v>0</v>
      </c>
      <c r="NJ51" s="32">
        <v>0</v>
      </c>
      <c r="NK51" s="32">
        <v>0</v>
      </c>
      <c r="NL51" s="32">
        <v>0</v>
      </c>
      <c r="NM51" s="32">
        <v>0</v>
      </c>
      <c r="NN51" s="32">
        <v>0</v>
      </c>
      <c r="NO51" s="32">
        <v>0</v>
      </c>
      <c r="NP51" s="38">
        <f t="shared" si="35"/>
        <v>0</v>
      </c>
      <c r="NQ51" s="36">
        <f t="shared" si="36"/>
        <v>0</v>
      </c>
      <c r="NR51" s="36">
        <f t="shared" si="37"/>
        <v>0</v>
      </c>
      <c r="NS51" s="36">
        <f t="shared" si="38"/>
        <v>0</v>
      </c>
      <c r="NT51" s="36">
        <f t="shared" si="39"/>
        <v>0</v>
      </c>
      <c r="NU51" s="18"/>
      <c r="NV51" s="18"/>
      <c r="NW51" s="18"/>
      <c r="NX51" s="19"/>
      <c r="NY51" s="19"/>
      <c r="NZ51" s="19"/>
      <c r="OA51" s="19"/>
      <c r="OB51" s="19"/>
      <c r="OC51" s="19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8"/>
      <c r="OR51" s="18"/>
      <c r="OS51" s="18"/>
      <c r="OT51" s="18"/>
      <c r="OU51" s="18"/>
      <c r="OV51" s="18"/>
      <c r="OW51" s="18"/>
      <c r="OX51" s="19"/>
      <c r="OY51" s="19"/>
      <c r="OZ51" s="19"/>
      <c r="PA51" s="19"/>
      <c r="PB51" s="19"/>
      <c r="PC51" s="19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8"/>
      <c r="PR51" s="18"/>
      <c r="PS51" s="18"/>
      <c r="PT51" s="18"/>
      <c r="PU51" s="18"/>
      <c r="PV51" s="18"/>
      <c r="PW51" s="18"/>
      <c r="PX51" s="19"/>
      <c r="PY51" s="19"/>
      <c r="PZ51" s="19"/>
      <c r="QA51" s="19"/>
      <c r="QB51" s="19"/>
      <c r="QC51" s="19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</row>
    <row r="52" spans="1:458" s="1" customFormat="1" ht="50.1" customHeight="1" x14ac:dyDescent="0.25">
      <c r="A52" s="120">
        <v>2024</v>
      </c>
      <c r="B52" s="6" t="s">
        <v>17</v>
      </c>
      <c r="C52" s="23"/>
      <c r="D52" s="41">
        <v>1181</v>
      </c>
      <c r="E52" s="41">
        <v>1145</v>
      </c>
      <c r="F52" s="41">
        <v>858</v>
      </c>
      <c r="G52" s="41">
        <v>973</v>
      </c>
      <c r="H52" s="41">
        <v>485</v>
      </c>
      <c r="I52" s="41"/>
      <c r="J52" s="41"/>
      <c r="K52" s="41"/>
      <c r="L52" s="41"/>
      <c r="M52" s="41"/>
      <c r="N52" s="41"/>
      <c r="O52" s="41"/>
      <c r="P52" s="38">
        <f t="shared" si="7"/>
        <v>4642</v>
      </c>
      <c r="Q52" s="49">
        <v>2656</v>
      </c>
      <c r="R52" s="49">
        <v>2789</v>
      </c>
      <c r="S52" s="49">
        <v>2175</v>
      </c>
      <c r="T52" s="49">
        <v>2151</v>
      </c>
      <c r="U52" s="49">
        <v>829</v>
      </c>
      <c r="V52" s="49"/>
      <c r="W52" s="49"/>
      <c r="X52" s="49"/>
      <c r="Y52" s="49"/>
      <c r="Z52" s="49"/>
      <c r="AA52" s="49"/>
      <c r="AB52" s="49"/>
      <c r="AC52" s="38">
        <f t="shared" si="8"/>
        <v>10600</v>
      </c>
      <c r="AD52" s="36">
        <f>SUM(P52+AC52)</f>
        <v>15242</v>
      </c>
      <c r="AE52" s="26"/>
      <c r="AF52" s="32">
        <v>135</v>
      </c>
      <c r="AG52" s="32">
        <v>123</v>
      </c>
      <c r="AH52" s="32">
        <v>65</v>
      </c>
      <c r="AI52" s="32">
        <v>120</v>
      </c>
      <c r="AJ52" s="32">
        <v>43</v>
      </c>
      <c r="AK52" s="32"/>
      <c r="AL52" s="32"/>
      <c r="AM52" s="32"/>
      <c r="AN52" s="32"/>
      <c r="AO52" s="32"/>
      <c r="AP52" s="32"/>
      <c r="AQ52" s="32"/>
      <c r="AR52" s="38">
        <f t="shared" si="10"/>
        <v>486</v>
      </c>
      <c r="AS52" s="32">
        <v>310</v>
      </c>
      <c r="AT52" s="32">
        <v>190</v>
      </c>
      <c r="AU52" s="32">
        <v>209</v>
      </c>
      <c r="AV52" s="32">
        <v>293</v>
      </c>
      <c r="AW52" s="32">
        <v>76</v>
      </c>
      <c r="AX52" s="32"/>
      <c r="AY52" s="32"/>
      <c r="AZ52" s="32"/>
      <c r="BA52" s="32"/>
      <c r="BB52" s="32"/>
      <c r="BC52" s="32"/>
      <c r="BD52" s="32"/>
      <c r="BE52" s="38">
        <f t="shared" si="11"/>
        <v>1078</v>
      </c>
      <c r="BF52" s="36">
        <f t="shared" si="12"/>
        <v>1564</v>
      </c>
      <c r="BG52" s="26"/>
      <c r="BH52" s="41">
        <v>514</v>
      </c>
      <c r="BI52" s="41">
        <v>363</v>
      </c>
      <c r="BJ52" s="41">
        <v>241</v>
      </c>
      <c r="BK52" s="41">
        <v>307</v>
      </c>
      <c r="BL52" s="41">
        <v>176</v>
      </c>
      <c r="BM52" s="41"/>
      <c r="BN52" s="41"/>
      <c r="BO52" s="41"/>
      <c r="BP52" s="41"/>
      <c r="BQ52" s="41"/>
      <c r="BR52" s="41"/>
      <c r="BS52" s="41"/>
      <c r="BT52" s="38">
        <f t="shared" si="13"/>
        <v>1601</v>
      </c>
      <c r="BU52" s="56">
        <v>453</v>
      </c>
      <c r="BV52" s="56">
        <v>414</v>
      </c>
      <c r="BW52" s="56">
        <v>432</v>
      </c>
      <c r="BX52" s="56">
        <v>386</v>
      </c>
      <c r="BY52" s="56">
        <v>161</v>
      </c>
      <c r="BZ52" s="56"/>
      <c r="CA52" s="56"/>
      <c r="CB52" s="56"/>
      <c r="CC52" s="56"/>
      <c r="CD52" s="56"/>
      <c r="CE52" s="56"/>
      <c r="CF52" s="56"/>
      <c r="CG52" s="61">
        <f t="shared" si="14"/>
        <v>1846</v>
      </c>
      <c r="CH52" s="57">
        <f t="shared" si="15"/>
        <v>3447</v>
      </c>
      <c r="CI52" s="26"/>
      <c r="CJ52" s="32">
        <v>126</v>
      </c>
      <c r="CK52" s="32">
        <v>171</v>
      </c>
      <c r="CL52" s="32">
        <v>110</v>
      </c>
      <c r="CM52" s="32">
        <v>72</v>
      </c>
      <c r="CN52" s="32">
        <v>26</v>
      </c>
      <c r="CO52" s="32"/>
      <c r="CP52" s="32"/>
      <c r="CQ52" s="32"/>
      <c r="CR52" s="32"/>
      <c r="CS52" s="32"/>
      <c r="CT52" s="32"/>
      <c r="CU52" s="69"/>
      <c r="CV52" s="38">
        <f t="shared" si="16"/>
        <v>505</v>
      </c>
      <c r="CW52" s="45">
        <v>610</v>
      </c>
      <c r="CX52" s="45">
        <v>556</v>
      </c>
      <c r="CY52" s="45">
        <v>348</v>
      </c>
      <c r="CZ52" s="45">
        <v>255</v>
      </c>
      <c r="DA52" s="45">
        <v>242</v>
      </c>
      <c r="DB52" s="45"/>
      <c r="DC52" s="45"/>
      <c r="DD52" s="45"/>
      <c r="DE52" s="45"/>
      <c r="DF52" s="45"/>
      <c r="DG52" s="45"/>
      <c r="DH52" s="45"/>
      <c r="DI52" s="38">
        <f t="shared" si="0"/>
        <v>2011</v>
      </c>
      <c r="DJ52" s="36">
        <f t="shared" si="17"/>
        <v>2516</v>
      </c>
      <c r="DK52" s="26"/>
      <c r="DL52" s="75">
        <v>65</v>
      </c>
      <c r="DM52" s="75">
        <v>21</v>
      </c>
      <c r="DN52" s="75">
        <v>24</v>
      </c>
      <c r="DO52" s="75">
        <v>39</v>
      </c>
      <c r="DP52" s="75">
        <v>15</v>
      </c>
      <c r="DQ52" s="32"/>
      <c r="DR52" s="32"/>
      <c r="DS52" s="32"/>
      <c r="DT52" s="32"/>
      <c r="DU52" s="32"/>
      <c r="DV52" s="32"/>
      <c r="DW52" s="69"/>
      <c r="DX52" s="38">
        <f t="shared" si="1"/>
        <v>164</v>
      </c>
      <c r="DY52" s="65">
        <v>525</v>
      </c>
      <c r="DZ52" s="65">
        <v>469</v>
      </c>
      <c r="EA52" s="65">
        <v>510</v>
      </c>
      <c r="EB52" s="65">
        <v>484</v>
      </c>
      <c r="EC52" s="65">
        <v>198</v>
      </c>
      <c r="ED52" s="65"/>
      <c r="EE52" s="65"/>
      <c r="EF52" s="65"/>
      <c r="EG52" s="65"/>
      <c r="EH52" s="65"/>
      <c r="EI52" s="65"/>
      <c r="EJ52" s="65"/>
      <c r="EK52" s="38">
        <f t="shared" si="18"/>
        <v>2186</v>
      </c>
      <c r="EL52" s="36">
        <f t="shared" si="19"/>
        <v>2350</v>
      </c>
      <c r="EM52" s="26"/>
      <c r="EN52" s="101">
        <v>549</v>
      </c>
      <c r="EO52" s="101">
        <v>521</v>
      </c>
      <c r="EP52" s="101">
        <v>599</v>
      </c>
      <c r="EQ52" s="101">
        <v>596</v>
      </c>
      <c r="ER52" s="101">
        <v>264</v>
      </c>
      <c r="ES52" s="101"/>
      <c r="ET52" s="101"/>
      <c r="EU52" s="101"/>
      <c r="EV52" s="101"/>
      <c r="EW52" s="101"/>
      <c r="EX52" s="101"/>
      <c r="EY52" s="101"/>
      <c r="EZ52" s="38">
        <f t="shared" si="2"/>
        <v>2529</v>
      </c>
      <c r="FA52" s="26"/>
      <c r="FB52" s="54">
        <v>1155</v>
      </c>
      <c r="FC52" s="54">
        <v>953</v>
      </c>
      <c r="FD52" s="54">
        <v>534</v>
      </c>
      <c r="FE52" s="54">
        <v>554</v>
      </c>
      <c r="FF52" s="54">
        <v>182</v>
      </c>
      <c r="FG52" s="54"/>
      <c r="FH52" s="54"/>
      <c r="FI52" s="54"/>
      <c r="FJ52" s="54"/>
      <c r="FK52" s="54"/>
      <c r="FL52" s="54"/>
      <c r="FM52" s="54"/>
      <c r="FN52" s="38">
        <f t="shared" si="20"/>
        <v>3378</v>
      </c>
      <c r="FO52" s="26"/>
      <c r="FP52" s="32">
        <v>12</v>
      </c>
      <c r="FQ52" s="32">
        <v>11</v>
      </c>
      <c r="FR52" s="32">
        <v>13</v>
      </c>
      <c r="FS52" s="32">
        <v>9</v>
      </c>
      <c r="FT52" s="32">
        <v>8</v>
      </c>
      <c r="FU52" s="32"/>
      <c r="FV52" s="32"/>
      <c r="FW52" s="32"/>
      <c r="FX52" s="32"/>
      <c r="FY52" s="32"/>
      <c r="FZ52" s="32"/>
      <c r="GA52" s="32"/>
      <c r="GB52" s="38">
        <f t="shared" si="21"/>
        <v>53</v>
      </c>
      <c r="GC52" s="26"/>
      <c r="GD52" s="101">
        <v>265</v>
      </c>
      <c r="GE52" s="101">
        <v>370</v>
      </c>
      <c r="GF52" s="101">
        <v>273</v>
      </c>
      <c r="GG52" s="101">
        <v>271</v>
      </c>
      <c r="GH52" s="101">
        <v>104</v>
      </c>
      <c r="GI52" s="101"/>
      <c r="GJ52" s="101"/>
      <c r="GK52" s="101"/>
      <c r="GL52" s="101"/>
      <c r="GM52" s="101"/>
      <c r="GN52" s="101"/>
      <c r="GO52" s="101"/>
      <c r="GP52" s="38">
        <f t="shared" si="22"/>
        <v>1283</v>
      </c>
      <c r="GQ52" s="26"/>
      <c r="GR52" s="32">
        <v>154</v>
      </c>
      <c r="GS52" s="32">
        <v>220</v>
      </c>
      <c r="GT52" s="32">
        <v>302</v>
      </c>
      <c r="GU52" s="32">
        <v>277</v>
      </c>
      <c r="GV52" s="32">
        <v>85</v>
      </c>
      <c r="GW52" s="32"/>
      <c r="GX52" s="32"/>
      <c r="GY52" s="32"/>
      <c r="GZ52" s="32"/>
      <c r="HA52" s="32"/>
      <c r="HB52" s="32"/>
      <c r="HC52" s="32"/>
      <c r="HD52" s="38">
        <f t="shared" si="23"/>
        <v>1038</v>
      </c>
      <c r="HE52" s="26"/>
      <c r="HF52" s="45">
        <v>632</v>
      </c>
      <c r="HG52" s="45">
        <v>685</v>
      </c>
      <c r="HH52" s="45">
        <v>596</v>
      </c>
      <c r="HI52" s="45">
        <v>712</v>
      </c>
      <c r="HJ52" s="45">
        <v>234</v>
      </c>
      <c r="HK52" s="45"/>
      <c r="HL52" s="45"/>
      <c r="HM52" s="45"/>
      <c r="HN52" s="45"/>
      <c r="HO52" s="45"/>
      <c r="HP52" s="45"/>
      <c r="HQ52" s="45"/>
      <c r="HR52" s="38">
        <f t="shared" si="24"/>
        <v>2859</v>
      </c>
      <c r="HS52" s="26"/>
      <c r="HT52" s="32">
        <v>207</v>
      </c>
      <c r="HU52" s="32">
        <v>172</v>
      </c>
      <c r="HV52" s="32">
        <v>164</v>
      </c>
      <c r="HW52" s="32">
        <v>229</v>
      </c>
      <c r="HX52" s="32">
        <v>146</v>
      </c>
      <c r="HY52" s="32"/>
      <c r="HZ52" s="32"/>
      <c r="IA52" s="32"/>
      <c r="IB52" s="32"/>
      <c r="IC52" s="32"/>
      <c r="ID52" s="32"/>
      <c r="IE52" s="32"/>
      <c r="IF52" s="38">
        <f t="shared" si="3"/>
        <v>918</v>
      </c>
      <c r="IG52" s="104">
        <v>293</v>
      </c>
      <c r="IH52" s="104">
        <v>215</v>
      </c>
      <c r="II52" s="104">
        <v>183</v>
      </c>
      <c r="IJ52" s="104">
        <v>181</v>
      </c>
      <c r="IK52" s="104">
        <v>67</v>
      </c>
      <c r="IL52" s="104"/>
      <c r="IM52" s="104"/>
      <c r="IN52" s="104"/>
      <c r="IO52" s="104"/>
      <c r="IP52" s="104"/>
      <c r="IQ52" s="104"/>
      <c r="IR52" s="104"/>
      <c r="IS52" s="38">
        <f t="shared" si="25"/>
        <v>939</v>
      </c>
      <c r="IT52" s="36">
        <f t="shared" si="26"/>
        <v>1857</v>
      </c>
      <c r="IU52" s="26"/>
      <c r="IV52" s="32">
        <v>192</v>
      </c>
      <c r="IW52" s="32">
        <v>134</v>
      </c>
      <c r="IX52" s="32">
        <v>112</v>
      </c>
      <c r="IY52" s="32">
        <v>190</v>
      </c>
      <c r="IZ52" s="32">
        <v>46</v>
      </c>
      <c r="JA52" s="32"/>
      <c r="JB52" s="32"/>
      <c r="JC52" s="32"/>
      <c r="JD52" s="32"/>
      <c r="JE52" s="32"/>
      <c r="JF52" s="32"/>
      <c r="JG52" s="32"/>
      <c r="JH52" s="38">
        <f t="shared" si="27"/>
        <v>674</v>
      </c>
      <c r="JI52" s="32">
        <v>95</v>
      </c>
      <c r="JJ52" s="32">
        <v>90</v>
      </c>
      <c r="JK52" s="32">
        <v>118</v>
      </c>
      <c r="JL52" s="32">
        <v>125</v>
      </c>
      <c r="JM52" s="32">
        <v>82</v>
      </c>
      <c r="JN52" s="32"/>
      <c r="JO52" s="32"/>
      <c r="JP52" s="32"/>
      <c r="JQ52" s="32"/>
      <c r="JR52" s="32"/>
      <c r="JS52" s="32"/>
      <c r="JT52" s="32"/>
      <c r="JU52" s="112">
        <f t="shared" si="4"/>
        <v>510</v>
      </c>
      <c r="JV52" s="36">
        <f t="shared" si="28"/>
        <v>1184</v>
      </c>
      <c r="JW52" s="26"/>
      <c r="JX52" s="32">
        <v>101</v>
      </c>
      <c r="JY52" s="32">
        <v>88</v>
      </c>
      <c r="JZ52" s="32">
        <v>62</v>
      </c>
      <c r="KA52" s="32">
        <v>101</v>
      </c>
      <c r="KB52" s="32">
        <v>20</v>
      </c>
      <c r="KC52" s="32"/>
      <c r="KD52" s="32"/>
      <c r="KE52" s="32"/>
      <c r="KF52" s="32"/>
      <c r="KG52" s="32"/>
      <c r="KH52" s="32"/>
      <c r="KI52" s="32"/>
      <c r="KJ52" s="38">
        <f t="shared" si="29"/>
        <v>372</v>
      </c>
      <c r="KK52" s="32">
        <v>543</v>
      </c>
      <c r="KL52" s="32">
        <v>436</v>
      </c>
      <c r="KM52" s="32">
        <v>443</v>
      </c>
      <c r="KN52" s="32">
        <v>519</v>
      </c>
      <c r="KO52" s="32">
        <v>177</v>
      </c>
      <c r="KP52" s="32"/>
      <c r="KQ52" s="32"/>
      <c r="KR52" s="32"/>
      <c r="KS52" s="32"/>
      <c r="KT52" s="32"/>
      <c r="KU52" s="32"/>
      <c r="KV52" s="32"/>
      <c r="KW52" s="38">
        <f t="shared" si="5"/>
        <v>2118</v>
      </c>
      <c r="KX52" s="36">
        <f t="shared" si="30"/>
        <v>2490</v>
      </c>
      <c r="KY52" s="26"/>
      <c r="KZ52" s="101">
        <v>368</v>
      </c>
      <c r="LA52" s="101">
        <v>468</v>
      </c>
      <c r="LB52" s="101">
        <v>468</v>
      </c>
      <c r="LC52" s="101">
        <v>511</v>
      </c>
      <c r="LD52" s="101">
        <v>187</v>
      </c>
      <c r="LE52" s="101"/>
      <c r="LF52" s="101"/>
      <c r="LG52" s="101"/>
      <c r="LH52" s="101"/>
      <c r="LI52" s="101"/>
      <c r="LJ52" s="101"/>
      <c r="LK52" s="101"/>
      <c r="LL52" s="38">
        <f t="shared" si="6"/>
        <v>2002</v>
      </c>
      <c r="LM52" s="26"/>
      <c r="LN52" s="71">
        <v>1363</v>
      </c>
      <c r="LO52" s="71">
        <v>1129</v>
      </c>
      <c r="LP52" s="71">
        <v>1138</v>
      </c>
      <c r="LQ52" s="71">
        <v>1263</v>
      </c>
      <c r="LR52" s="71">
        <v>383</v>
      </c>
      <c r="LS52" s="71"/>
      <c r="LT52" s="71"/>
      <c r="LU52" s="45"/>
      <c r="LV52" s="45"/>
      <c r="LW52" s="45"/>
      <c r="LX52" s="45"/>
      <c r="LY52" s="45"/>
      <c r="LZ52" s="38">
        <f t="shared" si="31"/>
        <v>5276</v>
      </c>
      <c r="MA52" s="26"/>
      <c r="MB52" s="45">
        <v>2109</v>
      </c>
      <c r="MC52" s="45">
        <v>1723</v>
      </c>
      <c r="MD52" s="45">
        <v>1436</v>
      </c>
      <c r="ME52" s="45">
        <v>1651</v>
      </c>
      <c r="MF52" s="45">
        <v>500</v>
      </c>
      <c r="MG52" s="45"/>
      <c r="MH52" s="45"/>
      <c r="MI52" s="45"/>
      <c r="MJ52" s="45"/>
      <c r="MK52" s="45"/>
      <c r="ML52" s="45"/>
      <c r="MM52" s="45"/>
      <c r="MN52" s="38">
        <f t="shared" si="32"/>
        <v>7419</v>
      </c>
      <c r="MO52" s="32">
        <v>1217</v>
      </c>
      <c r="MP52" s="32">
        <v>1134</v>
      </c>
      <c r="MQ52" s="32">
        <v>942</v>
      </c>
      <c r="MR52" s="32">
        <v>1093</v>
      </c>
      <c r="MS52" s="32">
        <v>328</v>
      </c>
      <c r="MT52" s="32"/>
      <c r="MU52" s="32"/>
      <c r="MV52" s="32"/>
      <c r="MW52" s="32"/>
      <c r="MX52" s="32"/>
      <c r="MY52" s="32"/>
      <c r="MZ52" s="32"/>
      <c r="NA52" s="38">
        <f t="shared" si="33"/>
        <v>4714</v>
      </c>
      <c r="NB52" s="36">
        <f t="shared" si="34"/>
        <v>12133</v>
      </c>
      <c r="NC52" s="26"/>
      <c r="ND52" s="101">
        <v>148</v>
      </c>
      <c r="NE52" s="101">
        <v>237</v>
      </c>
      <c r="NF52" s="101">
        <v>172</v>
      </c>
      <c r="NG52" s="101">
        <v>101</v>
      </c>
      <c r="NH52" s="101">
        <v>54</v>
      </c>
      <c r="NI52" s="101"/>
      <c r="NJ52" s="101"/>
      <c r="NK52" s="101"/>
      <c r="NL52" s="101"/>
      <c r="NM52" s="101"/>
      <c r="NN52" s="101"/>
      <c r="NO52" s="101"/>
      <c r="NP52" s="38">
        <f t="shared" si="35"/>
        <v>712</v>
      </c>
      <c r="NQ52" s="36">
        <f t="shared" si="36"/>
        <v>9726</v>
      </c>
      <c r="NR52" s="36">
        <f t="shared" si="37"/>
        <v>36363</v>
      </c>
      <c r="NS52" s="36">
        <f t="shared" si="38"/>
        <v>15824</v>
      </c>
      <c r="NT52" s="36">
        <f t="shared" si="39"/>
        <v>61913</v>
      </c>
      <c r="NU52" s="18"/>
      <c r="NV52" s="18"/>
      <c r="NW52" s="18"/>
      <c r="NX52" s="19"/>
      <c r="NY52" s="19"/>
      <c r="NZ52" s="19"/>
      <c r="OA52" s="19"/>
      <c r="OB52" s="19"/>
      <c r="OC52" s="19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8"/>
      <c r="OR52" s="18"/>
      <c r="OS52" s="18"/>
      <c r="OT52" s="18"/>
      <c r="OU52" s="18"/>
      <c r="OV52" s="18"/>
      <c r="OW52" s="18"/>
      <c r="OX52" s="19"/>
      <c r="OY52" s="19"/>
      <c r="OZ52" s="19"/>
      <c r="PA52" s="19"/>
      <c r="PB52" s="19"/>
      <c r="PC52" s="19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8"/>
      <c r="PR52" s="18"/>
      <c r="PS52" s="18"/>
      <c r="PT52" s="18"/>
      <c r="PU52" s="18"/>
      <c r="PV52" s="18"/>
      <c r="PW52" s="18"/>
      <c r="PX52" s="19"/>
      <c r="PY52" s="19"/>
      <c r="PZ52" s="19"/>
      <c r="QA52" s="19"/>
      <c r="QB52" s="19"/>
      <c r="QC52" s="19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</row>
    <row r="53" spans="1:458" s="1" customFormat="1" ht="50.1" customHeight="1" x14ac:dyDescent="0.25">
      <c r="A53" s="120"/>
      <c r="B53" s="6" t="s">
        <v>18</v>
      </c>
      <c r="C53" s="23"/>
      <c r="D53" s="41">
        <v>228</v>
      </c>
      <c r="E53" s="41">
        <v>237</v>
      </c>
      <c r="F53" s="41">
        <v>211</v>
      </c>
      <c r="G53" s="41">
        <v>219</v>
      </c>
      <c r="H53" s="41">
        <v>36</v>
      </c>
      <c r="I53" s="41"/>
      <c r="J53" s="41"/>
      <c r="K53" s="41"/>
      <c r="L53" s="41"/>
      <c r="M53" s="41"/>
      <c r="N53" s="41"/>
      <c r="O53" s="41"/>
      <c r="P53" s="38">
        <f t="shared" si="7"/>
        <v>931</v>
      </c>
      <c r="Q53" s="49">
        <v>578</v>
      </c>
      <c r="R53" s="49">
        <v>1019</v>
      </c>
      <c r="S53" s="49">
        <v>660</v>
      </c>
      <c r="T53" s="49">
        <v>627</v>
      </c>
      <c r="U53" s="49">
        <v>251</v>
      </c>
      <c r="V53" s="49"/>
      <c r="W53" s="49"/>
      <c r="X53" s="49"/>
      <c r="Y53" s="49"/>
      <c r="Z53" s="49"/>
      <c r="AA53" s="49"/>
      <c r="AB53" s="49"/>
      <c r="AC53" s="38">
        <f t="shared" si="8"/>
        <v>3135</v>
      </c>
      <c r="AD53" s="36">
        <f t="shared" si="9"/>
        <v>4066</v>
      </c>
      <c r="AE53" s="26"/>
      <c r="AF53" s="32">
        <v>0</v>
      </c>
      <c r="AG53" s="32">
        <v>2</v>
      </c>
      <c r="AH53" s="32">
        <v>2</v>
      </c>
      <c r="AI53" s="32">
        <v>3</v>
      </c>
      <c r="AJ53" s="32">
        <v>3</v>
      </c>
      <c r="AK53" s="32"/>
      <c r="AL53" s="32"/>
      <c r="AM53" s="32"/>
      <c r="AN53" s="32"/>
      <c r="AO53" s="32"/>
      <c r="AP53" s="32"/>
      <c r="AQ53" s="32"/>
      <c r="AR53" s="38">
        <f t="shared" si="10"/>
        <v>10</v>
      </c>
      <c r="AS53" s="32">
        <v>71</v>
      </c>
      <c r="AT53" s="32">
        <v>36</v>
      </c>
      <c r="AU53" s="32">
        <v>45</v>
      </c>
      <c r="AV53" s="32">
        <v>34</v>
      </c>
      <c r="AW53" s="32">
        <v>7</v>
      </c>
      <c r="AX53" s="32"/>
      <c r="AY53" s="32"/>
      <c r="AZ53" s="32"/>
      <c r="BA53" s="32"/>
      <c r="BB53" s="32"/>
      <c r="BC53" s="32"/>
      <c r="BD53" s="32"/>
      <c r="BE53" s="38">
        <f t="shared" si="11"/>
        <v>193</v>
      </c>
      <c r="BF53" s="36">
        <f t="shared" si="12"/>
        <v>203</v>
      </c>
      <c r="BG53" s="26"/>
      <c r="BH53" s="41">
        <v>24</v>
      </c>
      <c r="BI53" s="41">
        <v>43</v>
      </c>
      <c r="BJ53" s="41">
        <v>41</v>
      </c>
      <c r="BK53" s="41">
        <v>42</v>
      </c>
      <c r="BL53" s="41">
        <v>8</v>
      </c>
      <c r="BM53" s="41"/>
      <c r="BN53" s="41"/>
      <c r="BO53" s="41"/>
      <c r="BP53" s="41"/>
      <c r="BQ53" s="41"/>
      <c r="BR53" s="41"/>
      <c r="BS53" s="41"/>
      <c r="BT53" s="38">
        <f t="shared" si="13"/>
        <v>158</v>
      </c>
      <c r="BU53" s="56">
        <v>34</v>
      </c>
      <c r="BV53" s="56">
        <v>53</v>
      </c>
      <c r="BW53" s="56">
        <v>56</v>
      </c>
      <c r="BX53" s="56">
        <v>50</v>
      </c>
      <c r="BY53" s="56">
        <v>25</v>
      </c>
      <c r="BZ53" s="56"/>
      <c r="CA53" s="56"/>
      <c r="CB53" s="56"/>
      <c r="CC53" s="56"/>
      <c r="CD53" s="56"/>
      <c r="CE53" s="56"/>
      <c r="CF53" s="56"/>
      <c r="CG53" s="61">
        <f t="shared" si="14"/>
        <v>218</v>
      </c>
      <c r="CH53" s="57">
        <f t="shared" si="15"/>
        <v>376</v>
      </c>
      <c r="CI53" s="26"/>
      <c r="CJ53" s="32">
        <v>25</v>
      </c>
      <c r="CK53" s="32">
        <v>23</v>
      </c>
      <c r="CL53" s="32">
        <v>22</v>
      </c>
      <c r="CM53" s="32">
        <v>45</v>
      </c>
      <c r="CN53" s="32">
        <v>17</v>
      </c>
      <c r="CO53" s="32"/>
      <c r="CP53" s="32"/>
      <c r="CQ53" s="32"/>
      <c r="CR53" s="32"/>
      <c r="CS53" s="32"/>
      <c r="CT53" s="32"/>
      <c r="CU53" s="69"/>
      <c r="CV53" s="38">
        <f t="shared" si="16"/>
        <v>132</v>
      </c>
      <c r="CW53" s="45">
        <v>117</v>
      </c>
      <c r="CX53" s="45">
        <v>122</v>
      </c>
      <c r="CY53" s="45">
        <v>124</v>
      </c>
      <c r="CZ53" s="45">
        <v>90</v>
      </c>
      <c r="DA53" s="45">
        <v>75</v>
      </c>
      <c r="DB53" s="45"/>
      <c r="DC53" s="45"/>
      <c r="DD53" s="45"/>
      <c r="DE53" s="45"/>
      <c r="DF53" s="45"/>
      <c r="DG53" s="45"/>
      <c r="DH53" s="45"/>
      <c r="DI53" s="38">
        <f t="shared" si="0"/>
        <v>528</v>
      </c>
      <c r="DJ53" s="36">
        <f t="shared" si="17"/>
        <v>660</v>
      </c>
      <c r="DK53" s="26"/>
      <c r="DL53" s="75">
        <v>7</v>
      </c>
      <c r="DM53" s="75">
        <v>3</v>
      </c>
      <c r="DN53" s="75">
        <v>5</v>
      </c>
      <c r="DO53" s="75">
        <v>7</v>
      </c>
      <c r="DP53" s="75">
        <v>3</v>
      </c>
      <c r="DQ53" s="32"/>
      <c r="DR53" s="32"/>
      <c r="DS53" s="32"/>
      <c r="DT53" s="32"/>
      <c r="DU53" s="32"/>
      <c r="DV53" s="32"/>
      <c r="DW53" s="69"/>
      <c r="DX53" s="38">
        <f t="shared" si="1"/>
        <v>25</v>
      </c>
      <c r="DY53" s="65">
        <v>74</v>
      </c>
      <c r="DZ53" s="65">
        <v>73</v>
      </c>
      <c r="EA53" s="65">
        <v>141</v>
      </c>
      <c r="EB53" s="65">
        <v>103</v>
      </c>
      <c r="EC53" s="65">
        <v>65</v>
      </c>
      <c r="ED53" s="65"/>
      <c r="EE53" s="65"/>
      <c r="EF53" s="65"/>
      <c r="EG53" s="65"/>
      <c r="EH53" s="65"/>
      <c r="EI53" s="65"/>
      <c r="EJ53" s="65"/>
      <c r="EK53" s="38">
        <f t="shared" si="18"/>
        <v>456</v>
      </c>
      <c r="EL53" s="36">
        <f t="shared" si="19"/>
        <v>481</v>
      </c>
      <c r="EM53" s="26"/>
      <c r="EN53" s="101">
        <v>18</v>
      </c>
      <c r="EO53" s="101">
        <v>18</v>
      </c>
      <c r="EP53" s="101">
        <v>49</v>
      </c>
      <c r="EQ53" s="101">
        <v>39</v>
      </c>
      <c r="ER53" s="101">
        <v>15</v>
      </c>
      <c r="ES53" s="101"/>
      <c r="ET53" s="101"/>
      <c r="EU53" s="101"/>
      <c r="EV53" s="101"/>
      <c r="EW53" s="101"/>
      <c r="EX53" s="101"/>
      <c r="EY53" s="101"/>
      <c r="EZ53" s="38">
        <f t="shared" si="2"/>
        <v>139</v>
      </c>
      <c r="FA53" s="26"/>
      <c r="FB53" s="54">
        <v>210</v>
      </c>
      <c r="FC53" s="54">
        <v>242</v>
      </c>
      <c r="FD53" s="54">
        <v>124</v>
      </c>
      <c r="FE53" s="54">
        <v>181</v>
      </c>
      <c r="FF53" s="54">
        <v>64</v>
      </c>
      <c r="FG53" s="54"/>
      <c r="FH53" s="54"/>
      <c r="FI53" s="54"/>
      <c r="FJ53" s="54"/>
      <c r="FK53" s="54"/>
      <c r="FL53" s="54"/>
      <c r="FM53" s="54"/>
      <c r="FN53" s="38">
        <f t="shared" si="20"/>
        <v>821</v>
      </c>
      <c r="FO53" s="26"/>
      <c r="FP53" s="32">
        <v>4</v>
      </c>
      <c r="FQ53" s="32">
        <v>5</v>
      </c>
      <c r="FR53" s="32">
        <v>5</v>
      </c>
      <c r="FS53" s="32">
        <v>5</v>
      </c>
      <c r="FT53" s="32">
        <v>3</v>
      </c>
      <c r="FU53" s="32"/>
      <c r="FV53" s="32"/>
      <c r="FW53" s="32"/>
      <c r="FX53" s="32"/>
      <c r="FY53" s="32"/>
      <c r="FZ53" s="32"/>
      <c r="GA53" s="32"/>
      <c r="GB53" s="38">
        <f t="shared" si="21"/>
        <v>22</v>
      </c>
      <c r="GC53" s="26"/>
      <c r="GD53" s="101">
        <v>50</v>
      </c>
      <c r="GE53" s="101">
        <v>37</v>
      </c>
      <c r="GF53" s="101">
        <v>24</v>
      </c>
      <c r="GG53" s="101">
        <v>59</v>
      </c>
      <c r="GH53" s="101">
        <v>34</v>
      </c>
      <c r="GI53" s="101"/>
      <c r="GJ53" s="101"/>
      <c r="GK53" s="101"/>
      <c r="GL53" s="101"/>
      <c r="GM53" s="101"/>
      <c r="GN53" s="101"/>
      <c r="GO53" s="101"/>
      <c r="GP53" s="38">
        <f t="shared" si="22"/>
        <v>204</v>
      </c>
      <c r="GQ53" s="26"/>
      <c r="GR53" s="32">
        <v>41</v>
      </c>
      <c r="GS53" s="32">
        <v>36</v>
      </c>
      <c r="GT53" s="32">
        <v>29</v>
      </c>
      <c r="GU53" s="32">
        <v>37</v>
      </c>
      <c r="GV53" s="32">
        <v>23</v>
      </c>
      <c r="GW53" s="32"/>
      <c r="GX53" s="32"/>
      <c r="GY53" s="32"/>
      <c r="GZ53" s="32"/>
      <c r="HA53" s="32"/>
      <c r="HB53" s="32"/>
      <c r="HC53" s="32"/>
      <c r="HD53" s="38">
        <f t="shared" si="23"/>
        <v>166</v>
      </c>
      <c r="HE53" s="26"/>
      <c r="HF53" s="45">
        <v>117</v>
      </c>
      <c r="HG53" s="45">
        <v>122</v>
      </c>
      <c r="HH53" s="45">
        <v>106</v>
      </c>
      <c r="HI53" s="45">
        <v>103</v>
      </c>
      <c r="HJ53" s="45">
        <v>69</v>
      </c>
      <c r="HK53" s="45"/>
      <c r="HL53" s="45"/>
      <c r="HM53" s="45"/>
      <c r="HN53" s="45"/>
      <c r="HO53" s="45"/>
      <c r="HP53" s="45"/>
      <c r="HQ53" s="45"/>
      <c r="HR53" s="38">
        <f t="shared" si="24"/>
        <v>517</v>
      </c>
      <c r="HS53" s="26"/>
      <c r="HT53" s="32">
        <v>50</v>
      </c>
      <c r="HU53" s="32">
        <v>32</v>
      </c>
      <c r="HV53" s="32">
        <v>38</v>
      </c>
      <c r="HW53" s="32">
        <v>14</v>
      </c>
      <c r="HX53" s="32">
        <v>10</v>
      </c>
      <c r="HY53" s="32"/>
      <c r="HZ53" s="32"/>
      <c r="IA53" s="32"/>
      <c r="IB53" s="32"/>
      <c r="IC53" s="32"/>
      <c r="ID53" s="32"/>
      <c r="IE53" s="32"/>
      <c r="IF53" s="38">
        <f t="shared" si="3"/>
        <v>144</v>
      </c>
      <c r="IG53" s="104">
        <v>84</v>
      </c>
      <c r="IH53" s="104">
        <v>64</v>
      </c>
      <c r="II53" s="104">
        <v>55</v>
      </c>
      <c r="IJ53" s="104">
        <v>42</v>
      </c>
      <c r="IK53" s="104">
        <v>18</v>
      </c>
      <c r="IL53" s="104"/>
      <c r="IM53" s="104"/>
      <c r="IN53" s="104"/>
      <c r="IO53" s="104"/>
      <c r="IP53" s="104"/>
      <c r="IQ53" s="104"/>
      <c r="IR53" s="104"/>
      <c r="IS53" s="38">
        <f t="shared" si="25"/>
        <v>263</v>
      </c>
      <c r="IT53" s="36">
        <f t="shared" si="26"/>
        <v>407</v>
      </c>
      <c r="IU53" s="26"/>
      <c r="IV53" s="32">
        <v>37</v>
      </c>
      <c r="IW53" s="32">
        <v>35</v>
      </c>
      <c r="IX53" s="32">
        <v>27</v>
      </c>
      <c r="IY53" s="32">
        <v>34</v>
      </c>
      <c r="IZ53" s="32">
        <v>7</v>
      </c>
      <c r="JA53" s="32"/>
      <c r="JB53" s="32"/>
      <c r="JC53" s="32"/>
      <c r="JD53" s="32"/>
      <c r="JE53" s="32"/>
      <c r="JF53" s="32"/>
      <c r="JG53" s="32"/>
      <c r="JH53" s="38">
        <f t="shared" si="27"/>
        <v>140</v>
      </c>
      <c r="JI53" s="32">
        <v>23</v>
      </c>
      <c r="JJ53" s="32">
        <v>18</v>
      </c>
      <c r="JK53" s="32">
        <v>10</v>
      </c>
      <c r="JL53" s="32">
        <v>15</v>
      </c>
      <c r="JM53" s="32">
        <v>10</v>
      </c>
      <c r="JN53" s="32"/>
      <c r="JO53" s="32"/>
      <c r="JP53" s="32"/>
      <c r="JQ53" s="32"/>
      <c r="JR53" s="32"/>
      <c r="JS53" s="32"/>
      <c r="JT53" s="32"/>
      <c r="JU53" s="112">
        <f t="shared" si="4"/>
        <v>76</v>
      </c>
      <c r="JV53" s="36">
        <f t="shared" si="28"/>
        <v>216</v>
      </c>
      <c r="JW53" s="26"/>
      <c r="JX53" s="32">
        <v>18</v>
      </c>
      <c r="JY53" s="32">
        <v>21</v>
      </c>
      <c r="JZ53" s="32">
        <v>18</v>
      </c>
      <c r="KA53" s="32">
        <v>7</v>
      </c>
      <c r="KB53" s="32">
        <v>2</v>
      </c>
      <c r="KC53" s="32"/>
      <c r="KD53" s="32"/>
      <c r="KE53" s="32"/>
      <c r="KF53" s="32"/>
      <c r="KG53" s="32"/>
      <c r="KH53" s="32"/>
      <c r="KI53" s="32"/>
      <c r="KJ53" s="38">
        <f t="shared" si="29"/>
        <v>66</v>
      </c>
      <c r="KK53" s="32">
        <v>48</v>
      </c>
      <c r="KL53" s="32">
        <v>50</v>
      </c>
      <c r="KM53" s="32">
        <v>40</v>
      </c>
      <c r="KN53" s="32">
        <v>64</v>
      </c>
      <c r="KO53" s="32">
        <v>18</v>
      </c>
      <c r="KP53" s="32"/>
      <c r="KQ53" s="32"/>
      <c r="KR53" s="32"/>
      <c r="KS53" s="32"/>
      <c r="KT53" s="32"/>
      <c r="KU53" s="32"/>
      <c r="KV53" s="32"/>
      <c r="KW53" s="38">
        <f t="shared" si="5"/>
        <v>220</v>
      </c>
      <c r="KX53" s="36">
        <f t="shared" si="30"/>
        <v>286</v>
      </c>
      <c r="KY53" s="26"/>
      <c r="KZ53" s="101">
        <v>464</v>
      </c>
      <c r="LA53" s="101">
        <v>95</v>
      </c>
      <c r="LB53" s="101">
        <v>73</v>
      </c>
      <c r="LC53" s="101">
        <v>73</v>
      </c>
      <c r="LD53" s="101">
        <v>15</v>
      </c>
      <c r="LE53" s="101"/>
      <c r="LF53" s="101"/>
      <c r="LG53" s="101"/>
      <c r="LH53" s="101"/>
      <c r="LI53" s="101"/>
      <c r="LJ53" s="101"/>
      <c r="LK53" s="101"/>
      <c r="LL53" s="38">
        <f t="shared" si="6"/>
        <v>720</v>
      </c>
      <c r="LM53" s="26"/>
      <c r="LN53" s="71">
        <v>99</v>
      </c>
      <c r="LO53" s="71">
        <v>130</v>
      </c>
      <c r="LP53" s="71">
        <v>97</v>
      </c>
      <c r="LQ53" s="71">
        <v>94</v>
      </c>
      <c r="LR53" s="71">
        <v>57</v>
      </c>
      <c r="LS53" s="71"/>
      <c r="LT53" s="71"/>
      <c r="LU53" s="45"/>
      <c r="LV53" s="45"/>
      <c r="LW53" s="45"/>
      <c r="LX53" s="45"/>
      <c r="LY53" s="45"/>
      <c r="LZ53" s="38">
        <f t="shared" si="31"/>
        <v>477</v>
      </c>
      <c r="MA53" s="26"/>
      <c r="MB53" s="45">
        <v>164</v>
      </c>
      <c r="MC53" s="45">
        <v>123</v>
      </c>
      <c r="MD53" s="45">
        <v>105</v>
      </c>
      <c r="ME53" s="45">
        <v>143</v>
      </c>
      <c r="MF53" s="45">
        <v>65</v>
      </c>
      <c r="MG53" s="45"/>
      <c r="MH53" s="45"/>
      <c r="MI53" s="45"/>
      <c r="MJ53" s="45"/>
      <c r="MK53" s="45"/>
      <c r="ML53" s="45"/>
      <c r="MM53" s="45"/>
      <c r="MN53" s="38">
        <f t="shared" si="32"/>
        <v>600</v>
      </c>
      <c r="MO53" s="32">
        <v>202</v>
      </c>
      <c r="MP53" s="32">
        <v>197</v>
      </c>
      <c r="MQ53" s="32">
        <v>109</v>
      </c>
      <c r="MR53" s="32">
        <v>246</v>
      </c>
      <c r="MS53" s="32">
        <v>91</v>
      </c>
      <c r="MT53" s="32"/>
      <c r="MU53" s="32"/>
      <c r="MV53" s="32"/>
      <c r="MW53" s="32"/>
      <c r="MX53" s="32"/>
      <c r="MY53" s="32"/>
      <c r="MZ53" s="32"/>
      <c r="NA53" s="38">
        <f t="shared" si="33"/>
        <v>845</v>
      </c>
      <c r="NB53" s="36">
        <f t="shared" si="34"/>
        <v>1445</v>
      </c>
      <c r="NC53" s="26"/>
      <c r="ND53" s="101">
        <v>18</v>
      </c>
      <c r="NE53" s="101">
        <v>30</v>
      </c>
      <c r="NF53" s="101">
        <v>31</v>
      </c>
      <c r="NG53" s="101">
        <v>15</v>
      </c>
      <c r="NH53" s="101">
        <v>11</v>
      </c>
      <c r="NI53" s="101"/>
      <c r="NJ53" s="101"/>
      <c r="NK53" s="101"/>
      <c r="NL53" s="101"/>
      <c r="NM53" s="101"/>
      <c r="NN53" s="101"/>
      <c r="NO53" s="101"/>
      <c r="NP53" s="38">
        <f t="shared" si="35"/>
        <v>105</v>
      </c>
      <c r="NQ53" s="36">
        <f t="shared" si="36"/>
        <v>1632</v>
      </c>
      <c r="NR53" s="36">
        <f t="shared" si="37"/>
        <v>5623</v>
      </c>
      <c r="NS53" s="36">
        <f t="shared" si="38"/>
        <v>4056</v>
      </c>
      <c r="NT53" s="36">
        <f t="shared" si="39"/>
        <v>11311</v>
      </c>
      <c r="NU53" s="18"/>
      <c r="NV53" s="18"/>
      <c r="NW53" s="18"/>
      <c r="NX53" s="19"/>
      <c r="NY53" s="19"/>
      <c r="NZ53" s="19"/>
      <c r="OA53" s="19"/>
      <c r="OB53" s="19"/>
      <c r="OC53" s="19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8"/>
      <c r="OR53" s="18"/>
      <c r="OS53" s="18"/>
      <c r="OT53" s="18"/>
      <c r="OU53" s="18"/>
      <c r="OV53" s="18"/>
      <c r="OW53" s="18"/>
      <c r="OX53" s="19"/>
      <c r="OY53" s="19"/>
      <c r="OZ53" s="19"/>
      <c r="PA53" s="19"/>
      <c r="PB53" s="19"/>
      <c r="PC53" s="19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8"/>
      <c r="PR53" s="18"/>
      <c r="PS53" s="18"/>
      <c r="PT53" s="18"/>
      <c r="PU53" s="18"/>
      <c r="PV53" s="18"/>
      <c r="PW53" s="18"/>
      <c r="PX53" s="19"/>
      <c r="PY53" s="19"/>
      <c r="PZ53" s="19"/>
      <c r="QA53" s="19"/>
      <c r="QB53" s="19"/>
      <c r="QC53" s="19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</row>
    <row r="54" spans="1:458" s="1" customFormat="1" ht="50.1" customHeight="1" x14ac:dyDescent="0.25">
      <c r="A54" s="120"/>
      <c r="B54" s="6" t="s">
        <v>19</v>
      </c>
      <c r="C54" s="23"/>
      <c r="D54" s="41">
        <v>7</v>
      </c>
      <c r="E54" s="41">
        <v>1</v>
      </c>
      <c r="F54" s="41">
        <v>1</v>
      </c>
      <c r="G54" s="41">
        <v>3</v>
      </c>
      <c r="H54" s="41">
        <v>1</v>
      </c>
      <c r="I54" s="41"/>
      <c r="J54" s="41"/>
      <c r="K54" s="41"/>
      <c r="L54" s="41"/>
      <c r="M54" s="41"/>
      <c r="N54" s="41"/>
      <c r="O54" s="41"/>
      <c r="P54" s="38">
        <f t="shared" si="7"/>
        <v>13</v>
      </c>
      <c r="Q54" s="49">
        <v>193</v>
      </c>
      <c r="R54" s="49">
        <v>323</v>
      </c>
      <c r="S54" s="49">
        <v>266</v>
      </c>
      <c r="T54" s="49">
        <v>346</v>
      </c>
      <c r="U54" s="49">
        <v>101</v>
      </c>
      <c r="V54" s="49"/>
      <c r="W54" s="49"/>
      <c r="X54" s="49"/>
      <c r="Y54" s="49"/>
      <c r="Z54" s="49"/>
      <c r="AA54" s="49"/>
      <c r="AB54" s="49"/>
      <c r="AC54" s="38">
        <f t="shared" si="8"/>
        <v>1229</v>
      </c>
      <c r="AD54" s="36">
        <f t="shared" si="9"/>
        <v>1242</v>
      </c>
      <c r="AE54" s="26"/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/>
      <c r="AL54" s="32"/>
      <c r="AM54" s="32"/>
      <c r="AN54" s="32"/>
      <c r="AO54" s="32"/>
      <c r="AP54" s="32"/>
      <c r="AQ54" s="32"/>
      <c r="AR54" s="38">
        <f t="shared" si="10"/>
        <v>0</v>
      </c>
      <c r="AS54" s="32">
        <v>2</v>
      </c>
      <c r="AT54" s="32">
        <v>1</v>
      </c>
      <c r="AU54" s="32">
        <v>5</v>
      </c>
      <c r="AV54" s="32">
        <v>3</v>
      </c>
      <c r="AW54" s="32">
        <v>4</v>
      </c>
      <c r="AX54" s="32"/>
      <c r="AY54" s="32"/>
      <c r="AZ54" s="32"/>
      <c r="BA54" s="32"/>
      <c r="BB54" s="32"/>
      <c r="BC54" s="32"/>
      <c r="BD54" s="32"/>
      <c r="BE54" s="38">
        <f t="shared" si="11"/>
        <v>15</v>
      </c>
      <c r="BF54" s="36">
        <f t="shared" si="12"/>
        <v>15</v>
      </c>
      <c r="BG54" s="26"/>
      <c r="BH54" s="41">
        <v>9</v>
      </c>
      <c r="BI54" s="41">
        <v>21</v>
      </c>
      <c r="BJ54" s="41">
        <v>6</v>
      </c>
      <c r="BK54" s="41">
        <v>3</v>
      </c>
      <c r="BL54" s="41">
        <v>2</v>
      </c>
      <c r="BM54" s="41"/>
      <c r="BN54" s="41"/>
      <c r="BO54" s="41"/>
      <c r="BP54" s="41"/>
      <c r="BQ54" s="41"/>
      <c r="BR54" s="41"/>
      <c r="BS54" s="41"/>
      <c r="BT54" s="38">
        <f t="shared" si="13"/>
        <v>41</v>
      </c>
      <c r="BU54" s="56">
        <v>3</v>
      </c>
      <c r="BV54" s="56">
        <v>2</v>
      </c>
      <c r="BW54" s="56">
        <v>4</v>
      </c>
      <c r="BX54" s="56">
        <v>3</v>
      </c>
      <c r="BY54" s="56">
        <v>0</v>
      </c>
      <c r="BZ54" s="56"/>
      <c r="CA54" s="56"/>
      <c r="CB54" s="56"/>
      <c r="CC54" s="56"/>
      <c r="CD54" s="56"/>
      <c r="CE54" s="56"/>
      <c r="CF54" s="56"/>
      <c r="CG54" s="61">
        <f t="shared" si="14"/>
        <v>12</v>
      </c>
      <c r="CH54" s="57">
        <f t="shared" si="15"/>
        <v>53</v>
      </c>
      <c r="CI54" s="26"/>
      <c r="CJ54" s="32">
        <v>0</v>
      </c>
      <c r="CK54" s="32">
        <v>1</v>
      </c>
      <c r="CL54" s="32">
        <v>0</v>
      </c>
      <c r="CM54" s="32">
        <v>0</v>
      </c>
      <c r="CN54" s="32">
        <v>0</v>
      </c>
      <c r="CO54" s="32"/>
      <c r="CP54" s="32"/>
      <c r="CQ54" s="32"/>
      <c r="CR54" s="32"/>
      <c r="CS54" s="32"/>
      <c r="CT54" s="32"/>
      <c r="CU54" s="69"/>
      <c r="CV54" s="38">
        <f t="shared" si="16"/>
        <v>1</v>
      </c>
      <c r="CW54" s="45">
        <v>32</v>
      </c>
      <c r="CX54" s="45">
        <v>51</v>
      </c>
      <c r="CY54" s="45">
        <v>65</v>
      </c>
      <c r="CZ54" s="45">
        <v>71</v>
      </c>
      <c r="DA54" s="45">
        <v>30</v>
      </c>
      <c r="DB54" s="45"/>
      <c r="DC54" s="45"/>
      <c r="DD54" s="45"/>
      <c r="DE54" s="45"/>
      <c r="DF54" s="45"/>
      <c r="DG54" s="45"/>
      <c r="DH54" s="45"/>
      <c r="DI54" s="38">
        <f t="shared" si="0"/>
        <v>249</v>
      </c>
      <c r="DJ54" s="36">
        <f t="shared" si="17"/>
        <v>250</v>
      </c>
      <c r="DK54" s="26"/>
      <c r="DL54" s="75">
        <v>4</v>
      </c>
      <c r="DM54" s="75">
        <v>9</v>
      </c>
      <c r="DN54" s="75">
        <v>1</v>
      </c>
      <c r="DO54" s="75">
        <v>1</v>
      </c>
      <c r="DP54" s="75">
        <v>1</v>
      </c>
      <c r="DQ54" s="32"/>
      <c r="DR54" s="32"/>
      <c r="DS54" s="32"/>
      <c r="DT54" s="32"/>
      <c r="DU54" s="32"/>
      <c r="DV54" s="32"/>
      <c r="DW54" s="69"/>
      <c r="DX54" s="38">
        <f t="shared" si="1"/>
        <v>16</v>
      </c>
      <c r="DY54" s="65">
        <v>15</v>
      </c>
      <c r="DZ54" s="65">
        <v>5</v>
      </c>
      <c r="EA54" s="65">
        <v>13</v>
      </c>
      <c r="EB54" s="65">
        <v>11</v>
      </c>
      <c r="EC54" s="65">
        <v>4</v>
      </c>
      <c r="ED54" s="65"/>
      <c r="EE54" s="65"/>
      <c r="EF54" s="65"/>
      <c r="EG54" s="65"/>
      <c r="EH54" s="65"/>
      <c r="EI54" s="65"/>
      <c r="EJ54" s="65"/>
      <c r="EK54" s="38">
        <f t="shared" si="18"/>
        <v>48</v>
      </c>
      <c r="EL54" s="36">
        <f t="shared" si="19"/>
        <v>64</v>
      </c>
      <c r="EM54" s="26"/>
      <c r="EN54" s="101">
        <v>3</v>
      </c>
      <c r="EO54" s="101">
        <v>3</v>
      </c>
      <c r="EP54" s="101">
        <v>1</v>
      </c>
      <c r="EQ54" s="101">
        <v>6</v>
      </c>
      <c r="ER54" s="101">
        <v>3</v>
      </c>
      <c r="ES54" s="101"/>
      <c r="ET54" s="101"/>
      <c r="EU54" s="101"/>
      <c r="EV54" s="101"/>
      <c r="EW54" s="101"/>
      <c r="EX54" s="101"/>
      <c r="EY54" s="101"/>
      <c r="EZ54" s="38">
        <f t="shared" si="2"/>
        <v>16</v>
      </c>
      <c r="FA54" s="26"/>
      <c r="FB54" s="54">
        <v>0</v>
      </c>
      <c r="FC54" s="54">
        <v>2</v>
      </c>
      <c r="FD54" s="54">
        <v>1</v>
      </c>
      <c r="FE54" s="54">
        <v>12</v>
      </c>
      <c r="FF54" s="54">
        <v>0</v>
      </c>
      <c r="FG54" s="54"/>
      <c r="FH54" s="54"/>
      <c r="FI54" s="54"/>
      <c r="FJ54" s="54"/>
      <c r="FK54" s="54"/>
      <c r="FL54" s="54"/>
      <c r="FM54" s="54"/>
      <c r="FN54" s="38">
        <f t="shared" si="20"/>
        <v>15</v>
      </c>
      <c r="FO54" s="26"/>
      <c r="FP54" s="32">
        <v>0</v>
      </c>
      <c r="FQ54" s="32">
        <v>1</v>
      </c>
      <c r="FR54" s="32">
        <v>0</v>
      </c>
      <c r="FS54" s="32">
        <v>4</v>
      </c>
      <c r="FT54" s="32">
        <v>6</v>
      </c>
      <c r="FU54" s="32"/>
      <c r="FV54" s="32"/>
      <c r="FW54" s="32"/>
      <c r="FX54" s="32"/>
      <c r="FY54" s="32"/>
      <c r="FZ54" s="32"/>
      <c r="GA54" s="32"/>
      <c r="GB54" s="38">
        <f t="shared" si="21"/>
        <v>11</v>
      </c>
      <c r="GC54" s="26"/>
      <c r="GD54" s="101">
        <v>7</v>
      </c>
      <c r="GE54" s="101">
        <v>18</v>
      </c>
      <c r="GF54" s="101">
        <v>14</v>
      </c>
      <c r="GG54" s="101">
        <v>25</v>
      </c>
      <c r="GH54" s="101">
        <v>0</v>
      </c>
      <c r="GI54" s="101"/>
      <c r="GJ54" s="101"/>
      <c r="GK54" s="101"/>
      <c r="GL54" s="101"/>
      <c r="GM54" s="101"/>
      <c r="GN54" s="101"/>
      <c r="GO54" s="101"/>
      <c r="GP54" s="38">
        <f t="shared" si="22"/>
        <v>64</v>
      </c>
      <c r="GQ54" s="26"/>
      <c r="GR54" s="32">
        <v>1</v>
      </c>
      <c r="GS54" s="32">
        <v>1</v>
      </c>
      <c r="GT54" s="32">
        <v>0</v>
      </c>
      <c r="GU54" s="32">
        <v>1</v>
      </c>
      <c r="GV54" s="32">
        <v>3</v>
      </c>
      <c r="GW54" s="32"/>
      <c r="GX54" s="32"/>
      <c r="GY54" s="32"/>
      <c r="GZ54" s="32"/>
      <c r="HA54" s="32"/>
      <c r="HB54" s="32"/>
      <c r="HC54" s="32"/>
      <c r="HD54" s="38">
        <f t="shared" si="23"/>
        <v>6</v>
      </c>
      <c r="HE54" s="26"/>
      <c r="HF54" s="45">
        <v>17</v>
      </c>
      <c r="HG54" s="45">
        <v>15</v>
      </c>
      <c r="HH54" s="45">
        <v>17</v>
      </c>
      <c r="HI54" s="45">
        <v>8</v>
      </c>
      <c r="HJ54" s="45">
        <v>13</v>
      </c>
      <c r="HK54" s="45"/>
      <c r="HL54" s="45"/>
      <c r="HM54" s="45"/>
      <c r="HN54" s="45"/>
      <c r="HO54" s="45"/>
      <c r="HP54" s="45"/>
      <c r="HQ54" s="45"/>
      <c r="HR54" s="38">
        <f t="shared" si="24"/>
        <v>70</v>
      </c>
      <c r="HS54" s="26"/>
      <c r="HT54" s="32">
        <v>6</v>
      </c>
      <c r="HU54" s="32">
        <v>3</v>
      </c>
      <c r="HV54" s="32">
        <v>8</v>
      </c>
      <c r="HW54" s="32">
        <v>2</v>
      </c>
      <c r="HX54" s="32">
        <v>1</v>
      </c>
      <c r="HY54" s="32"/>
      <c r="HZ54" s="32"/>
      <c r="IA54" s="32"/>
      <c r="IB54" s="32"/>
      <c r="IC54" s="32"/>
      <c r="ID54" s="32"/>
      <c r="IE54" s="32"/>
      <c r="IF54" s="38">
        <f t="shared" si="3"/>
        <v>20</v>
      </c>
      <c r="IG54" s="104">
        <v>49</v>
      </c>
      <c r="IH54" s="104">
        <v>91</v>
      </c>
      <c r="II54" s="104">
        <v>81</v>
      </c>
      <c r="IJ54" s="104">
        <v>88</v>
      </c>
      <c r="IK54" s="104">
        <v>0</v>
      </c>
      <c r="IL54" s="104"/>
      <c r="IM54" s="104"/>
      <c r="IN54" s="104"/>
      <c r="IO54" s="104"/>
      <c r="IP54" s="104"/>
      <c r="IQ54" s="104"/>
      <c r="IR54" s="104"/>
      <c r="IS54" s="38">
        <f t="shared" si="25"/>
        <v>309</v>
      </c>
      <c r="IT54" s="36">
        <f t="shared" si="26"/>
        <v>329</v>
      </c>
      <c r="IU54" s="26"/>
      <c r="IV54" s="32">
        <v>15</v>
      </c>
      <c r="IW54" s="32">
        <v>11</v>
      </c>
      <c r="IX54" s="32">
        <v>4</v>
      </c>
      <c r="IY54" s="32">
        <v>13</v>
      </c>
      <c r="IZ54" s="32">
        <v>1</v>
      </c>
      <c r="JA54" s="32"/>
      <c r="JB54" s="32"/>
      <c r="JC54" s="32"/>
      <c r="JD54" s="32"/>
      <c r="JE54" s="32"/>
      <c r="JF54" s="32"/>
      <c r="JG54" s="32"/>
      <c r="JH54" s="38">
        <f t="shared" si="27"/>
        <v>44</v>
      </c>
      <c r="JI54" s="32">
        <v>15</v>
      </c>
      <c r="JJ54" s="32">
        <v>10</v>
      </c>
      <c r="JK54" s="32">
        <v>2</v>
      </c>
      <c r="JL54" s="32">
        <v>10</v>
      </c>
      <c r="JM54" s="32">
        <v>5</v>
      </c>
      <c r="JN54" s="32"/>
      <c r="JO54" s="32"/>
      <c r="JP54" s="32"/>
      <c r="JQ54" s="32"/>
      <c r="JR54" s="32"/>
      <c r="JS54" s="32"/>
      <c r="JT54" s="32"/>
      <c r="JU54" s="112">
        <f t="shared" si="4"/>
        <v>42</v>
      </c>
      <c r="JV54" s="36">
        <f t="shared" si="28"/>
        <v>86</v>
      </c>
      <c r="JW54" s="26"/>
      <c r="JX54" s="32">
        <v>6</v>
      </c>
      <c r="JY54" s="32">
        <v>13</v>
      </c>
      <c r="JZ54" s="32">
        <v>7</v>
      </c>
      <c r="KA54" s="32">
        <v>0</v>
      </c>
      <c r="KB54" s="32">
        <v>0</v>
      </c>
      <c r="KC54" s="32"/>
      <c r="KD54" s="32"/>
      <c r="KE54" s="32"/>
      <c r="KF54" s="32"/>
      <c r="KG54" s="32"/>
      <c r="KH54" s="32"/>
      <c r="KI54" s="32"/>
      <c r="KJ54" s="38">
        <f t="shared" si="29"/>
        <v>26</v>
      </c>
      <c r="KK54" s="32">
        <v>9</v>
      </c>
      <c r="KL54" s="32">
        <v>18</v>
      </c>
      <c r="KM54" s="32">
        <v>9</v>
      </c>
      <c r="KN54" s="32">
        <v>20</v>
      </c>
      <c r="KO54" s="32">
        <v>5</v>
      </c>
      <c r="KP54" s="32"/>
      <c r="KQ54" s="32"/>
      <c r="KR54" s="32"/>
      <c r="KS54" s="32"/>
      <c r="KT54" s="32"/>
      <c r="KU54" s="32"/>
      <c r="KV54" s="32"/>
      <c r="KW54" s="38">
        <f t="shared" si="5"/>
        <v>61</v>
      </c>
      <c r="KX54" s="36">
        <f t="shared" si="30"/>
        <v>87</v>
      </c>
      <c r="KY54" s="26"/>
      <c r="KZ54" s="101">
        <v>13</v>
      </c>
      <c r="LA54" s="101">
        <v>7</v>
      </c>
      <c r="LB54" s="101">
        <v>3</v>
      </c>
      <c r="LC54" s="101">
        <v>17</v>
      </c>
      <c r="LD54" s="101">
        <v>3</v>
      </c>
      <c r="LE54" s="101"/>
      <c r="LF54" s="101"/>
      <c r="LG54" s="101"/>
      <c r="LH54" s="101"/>
      <c r="LI54" s="101"/>
      <c r="LJ54" s="101"/>
      <c r="LK54" s="101"/>
      <c r="LL54" s="38">
        <f t="shared" si="6"/>
        <v>43</v>
      </c>
      <c r="LM54" s="26"/>
      <c r="LN54" s="71">
        <v>6</v>
      </c>
      <c r="LO54" s="71">
        <v>4</v>
      </c>
      <c r="LP54" s="71">
        <v>18</v>
      </c>
      <c r="LQ54" s="71">
        <v>9</v>
      </c>
      <c r="LR54" s="71">
        <v>13</v>
      </c>
      <c r="LS54" s="71"/>
      <c r="LT54" s="71"/>
      <c r="LU54" s="45"/>
      <c r="LV54" s="45"/>
      <c r="LW54" s="45"/>
      <c r="LX54" s="45"/>
      <c r="LY54" s="45"/>
      <c r="LZ54" s="38">
        <f t="shared" si="31"/>
        <v>50</v>
      </c>
      <c r="MA54" s="26"/>
      <c r="MB54" s="45">
        <v>35</v>
      </c>
      <c r="MC54" s="45">
        <v>58</v>
      </c>
      <c r="MD54" s="45">
        <v>35</v>
      </c>
      <c r="ME54" s="45">
        <v>54</v>
      </c>
      <c r="MF54" s="45">
        <v>40</v>
      </c>
      <c r="MG54" s="45"/>
      <c r="MH54" s="45"/>
      <c r="MI54" s="45"/>
      <c r="MJ54" s="45"/>
      <c r="MK54" s="45"/>
      <c r="ML54" s="45"/>
      <c r="MM54" s="45"/>
      <c r="MN54" s="38">
        <f t="shared" si="32"/>
        <v>222</v>
      </c>
      <c r="MO54" s="32">
        <v>37</v>
      </c>
      <c r="MP54" s="32">
        <v>10</v>
      </c>
      <c r="MQ54" s="32">
        <v>0</v>
      </c>
      <c r="MR54" s="32">
        <v>19</v>
      </c>
      <c r="MS54" s="32">
        <v>0</v>
      </c>
      <c r="MT54" s="32"/>
      <c r="MU54" s="32"/>
      <c r="MV54" s="32"/>
      <c r="MW54" s="32"/>
      <c r="MX54" s="32"/>
      <c r="MY54" s="32"/>
      <c r="MZ54" s="32"/>
      <c r="NA54" s="38">
        <f t="shared" si="33"/>
        <v>66</v>
      </c>
      <c r="NB54" s="36">
        <f t="shared" si="34"/>
        <v>288</v>
      </c>
      <c r="NC54" s="26"/>
      <c r="ND54" s="101">
        <v>1</v>
      </c>
      <c r="NE54" s="101">
        <v>11</v>
      </c>
      <c r="NF54" s="101">
        <v>5</v>
      </c>
      <c r="NG54" s="101">
        <v>8</v>
      </c>
      <c r="NH54" s="101">
        <v>3</v>
      </c>
      <c r="NI54" s="101"/>
      <c r="NJ54" s="101"/>
      <c r="NK54" s="101"/>
      <c r="NL54" s="101"/>
      <c r="NM54" s="101"/>
      <c r="NN54" s="101"/>
      <c r="NO54" s="101"/>
      <c r="NP54" s="38">
        <f t="shared" si="35"/>
        <v>28</v>
      </c>
      <c r="NQ54" s="36">
        <f t="shared" si="36"/>
        <v>123</v>
      </c>
      <c r="NR54" s="36">
        <f t="shared" si="37"/>
        <v>1257</v>
      </c>
      <c r="NS54" s="36">
        <f t="shared" si="38"/>
        <v>1337</v>
      </c>
      <c r="NT54" s="36">
        <f t="shared" si="39"/>
        <v>2717</v>
      </c>
      <c r="NU54" s="18"/>
      <c r="NV54" s="18"/>
      <c r="NW54" s="18"/>
      <c r="NX54" s="19"/>
      <c r="NY54" s="19"/>
      <c r="NZ54" s="19"/>
      <c r="OA54" s="19"/>
      <c r="OB54" s="19"/>
      <c r="OC54" s="19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8"/>
      <c r="OR54" s="18"/>
      <c r="OS54" s="18"/>
      <c r="OT54" s="18"/>
      <c r="OU54" s="18"/>
      <c r="OV54" s="18"/>
      <c r="OW54" s="18"/>
      <c r="OX54" s="19"/>
      <c r="OY54" s="19"/>
      <c r="OZ54" s="19"/>
      <c r="PA54" s="19"/>
      <c r="PB54" s="19"/>
      <c r="PC54" s="19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8"/>
      <c r="PR54" s="18"/>
      <c r="PS54" s="18"/>
      <c r="PT54" s="18"/>
      <c r="PU54" s="18"/>
      <c r="PV54" s="18"/>
      <c r="PW54" s="18"/>
      <c r="PX54" s="19"/>
      <c r="PY54" s="19"/>
      <c r="PZ54" s="19"/>
      <c r="QA54" s="19"/>
      <c r="QB54" s="19"/>
      <c r="QC54" s="19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</row>
    <row r="55" spans="1:458" s="1" customFormat="1" ht="50.1" customHeight="1" x14ac:dyDescent="0.25">
      <c r="A55" s="120"/>
      <c r="B55" s="6" t="s">
        <v>20</v>
      </c>
      <c r="C55" s="23"/>
      <c r="D55" s="41">
        <f>SUM(D52:D54)</f>
        <v>1416</v>
      </c>
      <c r="E55" s="41">
        <f t="shared" ref="E55:H55" si="228">SUM(E52:E54)</f>
        <v>1383</v>
      </c>
      <c r="F55" s="41">
        <f t="shared" si="228"/>
        <v>1070</v>
      </c>
      <c r="G55" s="41">
        <f t="shared" si="228"/>
        <v>1195</v>
      </c>
      <c r="H55" s="41">
        <f t="shared" si="228"/>
        <v>522</v>
      </c>
      <c r="I55" s="41"/>
      <c r="J55" s="41"/>
      <c r="K55" s="41"/>
      <c r="L55" s="41"/>
      <c r="M55" s="41"/>
      <c r="N55" s="41"/>
      <c r="O55" s="41"/>
      <c r="P55" s="38">
        <f t="shared" si="7"/>
        <v>5586</v>
      </c>
      <c r="Q55" s="49">
        <f>SUM(Q52:Q54)</f>
        <v>3427</v>
      </c>
      <c r="R55" s="49">
        <f t="shared" ref="R55:U55" si="229">SUM(R52:R54)</f>
        <v>4131</v>
      </c>
      <c r="S55" s="49">
        <f t="shared" si="229"/>
        <v>3101</v>
      </c>
      <c r="T55" s="49">
        <f t="shared" si="229"/>
        <v>3124</v>
      </c>
      <c r="U55" s="49">
        <f t="shared" si="229"/>
        <v>1181</v>
      </c>
      <c r="V55" s="49"/>
      <c r="W55" s="49"/>
      <c r="X55" s="49"/>
      <c r="Y55" s="49"/>
      <c r="Z55" s="49"/>
      <c r="AA55" s="49"/>
      <c r="AB55" s="49"/>
      <c r="AC55" s="38">
        <f t="shared" si="8"/>
        <v>14964</v>
      </c>
      <c r="AD55" s="36">
        <f t="shared" si="9"/>
        <v>20550</v>
      </c>
      <c r="AE55" s="26"/>
      <c r="AF55" s="32">
        <f>SUM(AF52:AF54)</f>
        <v>135</v>
      </c>
      <c r="AG55" s="32">
        <f t="shared" ref="AG55:AJ55" si="230">SUM(AG52:AG54)</f>
        <v>125</v>
      </c>
      <c r="AH55" s="32">
        <f t="shared" si="230"/>
        <v>67</v>
      </c>
      <c r="AI55" s="32">
        <f t="shared" si="230"/>
        <v>123</v>
      </c>
      <c r="AJ55" s="32">
        <f t="shared" si="230"/>
        <v>46</v>
      </c>
      <c r="AK55" s="32"/>
      <c r="AL55" s="32"/>
      <c r="AM55" s="32"/>
      <c r="AN55" s="32"/>
      <c r="AO55" s="32"/>
      <c r="AP55" s="32"/>
      <c r="AQ55" s="32"/>
      <c r="AR55" s="38">
        <f t="shared" si="10"/>
        <v>496</v>
      </c>
      <c r="AS55" s="32">
        <f>SUM(AS52:AS54)</f>
        <v>383</v>
      </c>
      <c r="AT55" s="32">
        <f t="shared" ref="AT55:AW55" si="231">SUM(AT52:AT54)</f>
        <v>227</v>
      </c>
      <c r="AU55" s="32">
        <f t="shared" si="231"/>
        <v>259</v>
      </c>
      <c r="AV55" s="32">
        <f t="shared" si="231"/>
        <v>330</v>
      </c>
      <c r="AW55" s="32">
        <f t="shared" si="231"/>
        <v>87</v>
      </c>
      <c r="AX55" s="32"/>
      <c r="AY55" s="32"/>
      <c r="AZ55" s="32"/>
      <c r="BA55" s="32"/>
      <c r="BB55" s="32"/>
      <c r="BC55" s="32"/>
      <c r="BD55" s="32"/>
      <c r="BE55" s="38">
        <f t="shared" si="11"/>
        <v>1286</v>
      </c>
      <c r="BF55" s="36">
        <f t="shared" si="12"/>
        <v>1782</v>
      </c>
      <c r="BG55" s="26"/>
      <c r="BH55" s="41">
        <f>SUM(BH52:BH54)</f>
        <v>547</v>
      </c>
      <c r="BI55" s="41">
        <f t="shared" ref="BI55:BY55" si="232">SUM(BI52:BI54)</f>
        <v>427</v>
      </c>
      <c r="BJ55" s="41">
        <f t="shared" si="232"/>
        <v>288</v>
      </c>
      <c r="BK55" s="41">
        <f t="shared" si="232"/>
        <v>352</v>
      </c>
      <c r="BL55" s="41">
        <f t="shared" si="232"/>
        <v>186</v>
      </c>
      <c r="BM55" s="41"/>
      <c r="BN55" s="41"/>
      <c r="BO55" s="41"/>
      <c r="BP55" s="41"/>
      <c r="BQ55" s="41"/>
      <c r="BR55" s="41"/>
      <c r="BS55" s="41"/>
      <c r="BT55" s="38">
        <f t="shared" si="13"/>
        <v>1800</v>
      </c>
      <c r="BU55" s="58">
        <f t="shared" si="232"/>
        <v>490</v>
      </c>
      <c r="BV55" s="58">
        <f t="shared" si="232"/>
        <v>469</v>
      </c>
      <c r="BW55" s="58">
        <f t="shared" si="232"/>
        <v>492</v>
      </c>
      <c r="BX55" s="58">
        <f t="shared" si="232"/>
        <v>439</v>
      </c>
      <c r="BY55" s="58">
        <f t="shared" si="232"/>
        <v>186</v>
      </c>
      <c r="BZ55" s="58"/>
      <c r="CA55" s="58"/>
      <c r="CB55" s="58"/>
      <c r="CC55" s="58"/>
      <c r="CD55" s="58"/>
      <c r="CE55" s="58"/>
      <c r="CF55" s="58"/>
      <c r="CG55" s="61">
        <f t="shared" si="14"/>
        <v>2076</v>
      </c>
      <c r="CH55" s="57">
        <f t="shared" si="15"/>
        <v>3876</v>
      </c>
      <c r="CI55" s="26"/>
      <c r="CJ55" s="32">
        <f>SUM(CJ52:CJ54)</f>
        <v>151</v>
      </c>
      <c r="CK55" s="32">
        <f t="shared" ref="CK55:CN55" si="233">SUM(CK52:CK54)</f>
        <v>195</v>
      </c>
      <c r="CL55" s="32">
        <f t="shared" si="233"/>
        <v>132</v>
      </c>
      <c r="CM55" s="32">
        <f t="shared" si="233"/>
        <v>117</v>
      </c>
      <c r="CN55" s="32">
        <f t="shared" si="233"/>
        <v>43</v>
      </c>
      <c r="CO55" s="32"/>
      <c r="CP55" s="32"/>
      <c r="CQ55" s="32"/>
      <c r="CR55" s="32"/>
      <c r="CS55" s="32"/>
      <c r="CT55" s="32"/>
      <c r="CU55" s="69"/>
      <c r="CV55" s="38">
        <f t="shared" si="16"/>
        <v>638</v>
      </c>
      <c r="CW55" s="45">
        <f>SUM(CW52:CW54)</f>
        <v>759</v>
      </c>
      <c r="CX55" s="45">
        <f t="shared" ref="CX55:DA55" si="234">SUM(CX52:CX54)</f>
        <v>729</v>
      </c>
      <c r="CY55" s="45">
        <f t="shared" si="234"/>
        <v>537</v>
      </c>
      <c r="CZ55" s="45">
        <f t="shared" si="234"/>
        <v>416</v>
      </c>
      <c r="DA55" s="45">
        <f t="shared" si="234"/>
        <v>347</v>
      </c>
      <c r="DB55" s="45"/>
      <c r="DC55" s="45"/>
      <c r="DD55" s="45"/>
      <c r="DE55" s="45"/>
      <c r="DF55" s="45"/>
      <c r="DG55" s="45"/>
      <c r="DH55" s="45"/>
      <c r="DI55" s="38">
        <f t="shared" si="0"/>
        <v>2788</v>
      </c>
      <c r="DJ55" s="36">
        <f t="shared" si="17"/>
        <v>3426</v>
      </c>
      <c r="DK55" s="26"/>
      <c r="DL55" s="32">
        <f>SUM(DL52:DL54)</f>
        <v>76</v>
      </c>
      <c r="DM55" s="32">
        <f t="shared" ref="DM55:DP55" si="235">SUM(DM52:DM54)</f>
        <v>33</v>
      </c>
      <c r="DN55" s="32">
        <f t="shared" si="235"/>
        <v>30</v>
      </c>
      <c r="DO55" s="32">
        <f t="shared" si="235"/>
        <v>47</v>
      </c>
      <c r="DP55" s="32">
        <f t="shared" si="235"/>
        <v>19</v>
      </c>
      <c r="DQ55" s="32"/>
      <c r="DR55" s="32"/>
      <c r="DS55" s="32"/>
      <c r="DT55" s="32"/>
      <c r="DU55" s="32"/>
      <c r="DV55" s="32"/>
      <c r="DW55" s="69"/>
      <c r="DX55" s="38">
        <f t="shared" si="1"/>
        <v>205</v>
      </c>
      <c r="DY55" s="65">
        <f>SUM(DY52:DY54)</f>
        <v>614</v>
      </c>
      <c r="DZ55" s="65">
        <f t="shared" ref="DZ55:EC55" si="236">SUM(DZ52:DZ54)</f>
        <v>547</v>
      </c>
      <c r="EA55" s="65">
        <f t="shared" si="236"/>
        <v>664</v>
      </c>
      <c r="EB55" s="65">
        <f t="shared" si="236"/>
        <v>598</v>
      </c>
      <c r="EC55" s="65">
        <f t="shared" si="236"/>
        <v>267</v>
      </c>
      <c r="ED55" s="65"/>
      <c r="EE55" s="65"/>
      <c r="EF55" s="65"/>
      <c r="EG55" s="65"/>
      <c r="EH55" s="65"/>
      <c r="EI55" s="65"/>
      <c r="EJ55" s="65"/>
      <c r="EK55" s="38">
        <f t="shared" si="18"/>
        <v>2690</v>
      </c>
      <c r="EL55" s="36">
        <f t="shared" si="19"/>
        <v>2895</v>
      </c>
      <c r="EM55" s="26"/>
      <c r="EN55" s="101">
        <f>SUM(EN52:EN54)</f>
        <v>570</v>
      </c>
      <c r="EO55" s="101">
        <f t="shared" ref="EO55:ER55" si="237">SUM(EO52:EO54)</f>
        <v>542</v>
      </c>
      <c r="EP55" s="101">
        <f t="shared" si="237"/>
        <v>649</v>
      </c>
      <c r="EQ55" s="101">
        <f t="shared" si="237"/>
        <v>641</v>
      </c>
      <c r="ER55" s="101">
        <f t="shared" si="237"/>
        <v>282</v>
      </c>
      <c r="ES55" s="101"/>
      <c r="ET55" s="101"/>
      <c r="EU55" s="101"/>
      <c r="EV55" s="101"/>
      <c r="EW55" s="101"/>
      <c r="EX55" s="101"/>
      <c r="EY55" s="101"/>
      <c r="EZ55" s="38">
        <f t="shared" si="2"/>
        <v>2684</v>
      </c>
      <c r="FA55" s="26"/>
      <c r="FB55" s="54">
        <f>SUM(FB52:FB54)</f>
        <v>1365</v>
      </c>
      <c r="FC55" s="54">
        <f t="shared" ref="FC55:FF55" si="238">SUM(FC52:FC54)</f>
        <v>1197</v>
      </c>
      <c r="FD55" s="54">
        <f t="shared" si="238"/>
        <v>659</v>
      </c>
      <c r="FE55" s="54">
        <f t="shared" si="238"/>
        <v>747</v>
      </c>
      <c r="FF55" s="54">
        <f t="shared" si="238"/>
        <v>246</v>
      </c>
      <c r="FG55" s="54"/>
      <c r="FH55" s="54"/>
      <c r="FI55" s="54"/>
      <c r="FJ55" s="54"/>
      <c r="FK55" s="54"/>
      <c r="FL55" s="54"/>
      <c r="FM55" s="54"/>
      <c r="FN55" s="38">
        <f t="shared" si="20"/>
        <v>4214</v>
      </c>
      <c r="FO55" s="26"/>
      <c r="FP55" s="32">
        <f>SUM(FP52:FP54)</f>
        <v>16</v>
      </c>
      <c r="FQ55" s="32">
        <f t="shared" ref="FQ55:FT55" si="239">SUM(FQ52:FQ54)</f>
        <v>17</v>
      </c>
      <c r="FR55" s="32">
        <f t="shared" si="239"/>
        <v>18</v>
      </c>
      <c r="FS55" s="32">
        <f t="shared" si="239"/>
        <v>18</v>
      </c>
      <c r="FT55" s="32">
        <f t="shared" si="239"/>
        <v>17</v>
      </c>
      <c r="FU55" s="32"/>
      <c r="FV55" s="32"/>
      <c r="FW55" s="32"/>
      <c r="FX55" s="32"/>
      <c r="FY55" s="32"/>
      <c r="FZ55" s="32"/>
      <c r="GA55" s="32"/>
      <c r="GB55" s="38">
        <f t="shared" si="21"/>
        <v>86</v>
      </c>
      <c r="GC55" s="26"/>
      <c r="GD55" s="101">
        <f>SUM(GD52:GD54)</f>
        <v>322</v>
      </c>
      <c r="GE55" s="101">
        <f t="shared" ref="GE55:GH55" si="240">SUM(GE52:GE54)</f>
        <v>425</v>
      </c>
      <c r="GF55" s="101">
        <f t="shared" si="240"/>
        <v>311</v>
      </c>
      <c r="GG55" s="101">
        <f t="shared" si="240"/>
        <v>355</v>
      </c>
      <c r="GH55" s="101">
        <f t="shared" si="240"/>
        <v>138</v>
      </c>
      <c r="GI55" s="101"/>
      <c r="GJ55" s="101"/>
      <c r="GK55" s="101"/>
      <c r="GL55" s="101"/>
      <c r="GM55" s="101"/>
      <c r="GN55" s="101"/>
      <c r="GO55" s="101"/>
      <c r="GP55" s="38">
        <f t="shared" si="22"/>
        <v>1551</v>
      </c>
      <c r="GQ55" s="26"/>
      <c r="GR55" s="32">
        <f>SUM(GR52:GR54)</f>
        <v>196</v>
      </c>
      <c r="GS55" s="32">
        <f t="shared" ref="GS55:GV55" si="241">SUM(GS52:GS54)</f>
        <v>257</v>
      </c>
      <c r="GT55" s="32">
        <f t="shared" si="241"/>
        <v>331</v>
      </c>
      <c r="GU55" s="32">
        <f t="shared" si="241"/>
        <v>315</v>
      </c>
      <c r="GV55" s="32">
        <f t="shared" si="241"/>
        <v>111</v>
      </c>
      <c r="GW55" s="32"/>
      <c r="GX55" s="32"/>
      <c r="GY55" s="32"/>
      <c r="GZ55" s="32"/>
      <c r="HA55" s="32"/>
      <c r="HB55" s="32"/>
      <c r="HC55" s="32"/>
      <c r="HD55" s="38">
        <f t="shared" si="23"/>
        <v>1210</v>
      </c>
      <c r="HE55" s="26"/>
      <c r="HF55" s="45">
        <f>SUM(HF52:HF54)</f>
        <v>766</v>
      </c>
      <c r="HG55" s="45">
        <f t="shared" ref="HG55:HJ55" si="242">SUM(HG52:HG54)</f>
        <v>822</v>
      </c>
      <c r="HH55" s="45">
        <f t="shared" si="242"/>
        <v>719</v>
      </c>
      <c r="HI55" s="45">
        <f t="shared" si="242"/>
        <v>823</v>
      </c>
      <c r="HJ55" s="45">
        <f t="shared" si="242"/>
        <v>316</v>
      </c>
      <c r="HK55" s="45"/>
      <c r="HL55" s="45"/>
      <c r="HM55" s="45"/>
      <c r="HN55" s="45"/>
      <c r="HO55" s="45"/>
      <c r="HP55" s="45"/>
      <c r="HQ55" s="45"/>
      <c r="HR55" s="38">
        <f>SUM(HF55:HQ55)</f>
        <v>3446</v>
      </c>
      <c r="HS55" s="26"/>
      <c r="HT55" s="32">
        <f>SUM(HT52:HT54)</f>
        <v>263</v>
      </c>
      <c r="HU55" s="32">
        <f t="shared" ref="HU55:HX55" si="243">SUM(HU52:HU54)</f>
        <v>207</v>
      </c>
      <c r="HV55" s="32">
        <f t="shared" si="243"/>
        <v>210</v>
      </c>
      <c r="HW55" s="32">
        <f t="shared" si="243"/>
        <v>245</v>
      </c>
      <c r="HX55" s="32">
        <f t="shared" si="243"/>
        <v>157</v>
      </c>
      <c r="HY55" s="32"/>
      <c r="HZ55" s="32"/>
      <c r="IA55" s="32"/>
      <c r="IB55" s="32"/>
      <c r="IC55" s="32"/>
      <c r="ID55" s="32"/>
      <c r="IE55" s="32"/>
      <c r="IF55" s="38">
        <f t="shared" si="3"/>
        <v>1082</v>
      </c>
      <c r="IG55" s="104">
        <f>SUM(IG52:IG54)</f>
        <v>426</v>
      </c>
      <c r="IH55" s="104">
        <f t="shared" ref="IH55:IK55" si="244">SUM(IH52:IH54)</f>
        <v>370</v>
      </c>
      <c r="II55" s="104">
        <f t="shared" si="244"/>
        <v>319</v>
      </c>
      <c r="IJ55" s="104">
        <f t="shared" si="244"/>
        <v>311</v>
      </c>
      <c r="IK55" s="104">
        <f t="shared" si="244"/>
        <v>85</v>
      </c>
      <c r="IL55" s="104"/>
      <c r="IM55" s="104"/>
      <c r="IN55" s="104"/>
      <c r="IO55" s="104"/>
      <c r="IP55" s="104"/>
      <c r="IQ55" s="104"/>
      <c r="IR55" s="104"/>
      <c r="IS55" s="38">
        <f t="shared" si="25"/>
        <v>1511</v>
      </c>
      <c r="IT55" s="36">
        <f t="shared" si="26"/>
        <v>2593</v>
      </c>
      <c r="IU55" s="26"/>
      <c r="IV55" s="32">
        <f>SUM(IV52:IV54)</f>
        <v>244</v>
      </c>
      <c r="IW55" s="32">
        <f t="shared" ref="IW55:IZ55" si="245">SUM(IW52:IW54)</f>
        <v>180</v>
      </c>
      <c r="IX55" s="32">
        <f t="shared" si="245"/>
        <v>143</v>
      </c>
      <c r="IY55" s="32">
        <f t="shared" si="245"/>
        <v>237</v>
      </c>
      <c r="IZ55" s="32">
        <f t="shared" si="245"/>
        <v>54</v>
      </c>
      <c r="JA55" s="32"/>
      <c r="JB55" s="32"/>
      <c r="JC55" s="32"/>
      <c r="JD55" s="32"/>
      <c r="JE55" s="32"/>
      <c r="JF55" s="32"/>
      <c r="JG55" s="32"/>
      <c r="JH55" s="38">
        <f t="shared" si="27"/>
        <v>858</v>
      </c>
      <c r="JI55" s="32">
        <f>SUM(JI52:JI54)</f>
        <v>133</v>
      </c>
      <c r="JJ55" s="32">
        <f t="shared" ref="JJ55:JM55" si="246">SUM(JJ52:JJ54)</f>
        <v>118</v>
      </c>
      <c r="JK55" s="32">
        <f t="shared" si="246"/>
        <v>130</v>
      </c>
      <c r="JL55" s="32">
        <f t="shared" si="246"/>
        <v>150</v>
      </c>
      <c r="JM55" s="32">
        <f t="shared" si="246"/>
        <v>97</v>
      </c>
      <c r="JN55" s="32"/>
      <c r="JO55" s="32"/>
      <c r="JP55" s="32"/>
      <c r="JQ55" s="32"/>
      <c r="JR55" s="32"/>
      <c r="JS55" s="32"/>
      <c r="JT55" s="32"/>
      <c r="JU55" s="112">
        <f t="shared" si="4"/>
        <v>628</v>
      </c>
      <c r="JV55" s="36">
        <f t="shared" si="28"/>
        <v>1486</v>
      </c>
      <c r="JW55" s="26"/>
      <c r="JX55" s="32">
        <f>SUM(JX52:JX54)</f>
        <v>125</v>
      </c>
      <c r="JY55" s="32">
        <f t="shared" ref="JY55:KB55" si="247">SUM(JY52:JY54)</f>
        <v>122</v>
      </c>
      <c r="JZ55" s="32">
        <f t="shared" si="247"/>
        <v>87</v>
      </c>
      <c r="KA55" s="32">
        <f t="shared" si="247"/>
        <v>108</v>
      </c>
      <c r="KB55" s="32">
        <f t="shared" si="247"/>
        <v>22</v>
      </c>
      <c r="KC55" s="32"/>
      <c r="KD55" s="32"/>
      <c r="KE55" s="32"/>
      <c r="KF55" s="32"/>
      <c r="KG55" s="32"/>
      <c r="KH55" s="32"/>
      <c r="KI55" s="32"/>
      <c r="KJ55" s="38">
        <f t="shared" si="29"/>
        <v>464</v>
      </c>
      <c r="KK55" s="32">
        <f>SUM(KK52:KK54)</f>
        <v>600</v>
      </c>
      <c r="KL55" s="32">
        <f t="shared" ref="KL55:KO55" si="248">SUM(KL52:KL54)</f>
        <v>504</v>
      </c>
      <c r="KM55" s="32">
        <f t="shared" si="248"/>
        <v>492</v>
      </c>
      <c r="KN55" s="32">
        <f t="shared" si="248"/>
        <v>603</v>
      </c>
      <c r="KO55" s="32">
        <f t="shared" si="248"/>
        <v>200</v>
      </c>
      <c r="KP55" s="32"/>
      <c r="KQ55" s="32"/>
      <c r="KR55" s="32"/>
      <c r="KS55" s="32"/>
      <c r="KT55" s="32"/>
      <c r="KU55" s="32"/>
      <c r="KV55" s="32"/>
      <c r="KW55" s="38">
        <f t="shared" si="5"/>
        <v>2399</v>
      </c>
      <c r="KX55" s="36">
        <f t="shared" si="30"/>
        <v>2863</v>
      </c>
      <c r="KY55" s="26"/>
      <c r="KZ55" s="101">
        <f>SUM(KZ52:KZ54)</f>
        <v>845</v>
      </c>
      <c r="LA55" s="101">
        <f t="shared" ref="LA55:LD55" si="249">SUM(LA52:LA54)</f>
        <v>570</v>
      </c>
      <c r="LB55" s="101">
        <f t="shared" si="249"/>
        <v>544</v>
      </c>
      <c r="LC55" s="101">
        <f t="shared" si="249"/>
        <v>601</v>
      </c>
      <c r="LD55" s="101">
        <f t="shared" si="249"/>
        <v>205</v>
      </c>
      <c r="LE55" s="101"/>
      <c r="LF55" s="101"/>
      <c r="LG55" s="101"/>
      <c r="LH55" s="101"/>
      <c r="LI55" s="101"/>
      <c r="LJ55" s="101"/>
      <c r="LK55" s="101"/>
      <c r="LL55" s="38">
        <f t="shared" si="6"/>
        <v>2765</v>
      </c>
      <c r="LM55" s="26"/>
      <c r="LN55" s="71">
        <f>SUM(LN52:LN54)</f>
        <v>1468</v>
      </c>
      <c r="LO55" s="71">
        <f t="shared" ref="LO55:LR55" si="250">SUM(LO52:LO54)</f>
        <v>1263</v>
      </c>
      <c r="LP55" s="71">
        <f t="shared" si="250"/>
        <v>1253</v>
      </c>
      <c r="LQ55" s="71">
        <f t="shared" si="250"/>
        <v>1366</v>
      </c>
      <c r="LR55" s="71">
        <f t="shared" si="250"/>
        <v>453</v>
      </c>
      <c r="LS55" s="71"/>
      <c r="LT55" s="71"/>
      <c r="LU55" s="45"/>
      <c r="LV55" s="45"/>
      <c r="LW55" s="45"/>
      <c r="LX55" s="45"/>
      <c r="LY55" s="45"/>
      <c r="LZ55" s="38">
        <f t="shared" si="31"/>
        <v>5803</v>
      </c>
      <c r="MA55" s="26"/>
      <c r="MB55" s="45">
        <f>SUM(MB52:MB54)</f>
        <v>2308</v>
      </c>
      <c r="MC55" s="45">
        <f t="shared" ref="MC55:MF55" si="251">SUM(MC52:MC54)</f>
        <v>1904</v>
      </c>
      <c r="MD55" s="45">
        <f t="shared" si="251"/>
        <v>1576</v>
      </c>
      <c r="ME55" s="45">
        <f t="shared" si="251"/>
        <v>1848</v>
      </c>
      <c r="MF55" s="45">
        <f t="shared" si="251"/>
        <v>605</v>
      </c>
      <c r="MG55" s="45"/>
      <c r="MH55" s="45"/>
      <c r="MI55" s="45"/>
      <c r="MJ55" s="45"/>
      <c r="MK55" s="45"/>
      <c r="ML55" s="45"/>
      <c r="MM55" s="45"/>
      <c r="MN55" s="38">
        <f t="shared" si="32"/>
        <v>8241</v>
      </c>
      <c r="MO55" s="32">
        <f>SUM(MO52:MO54)</f>
        <v>1456</v>
      </c>
      <c r="MP55" s="32">
        <f t="shared" ref="MP55:MS55" si="252">SUM(MP52:MP54)</f>
        <v>1341</v>
      </c>
      <c r="MQ55" s="32">
        <f t="shared" si="252"/>
        <v>1051</v>
      </c>
      <c r="MR55" s="32">
        <f t="shared" si="252"/>
        <v>1358</v>
      </c>
      <c r="MS55" s="32">
        <f t="shared" si="252"/>
        <v>419</v>
      </c>
      <c r="MT55" s="32"/>
      <c r="MU55" s="32"/>
      <c r="MV55" s="32"/>
      <c r="MW55" s="32"/>
      <c r="MX55" s="32"/>
      <c r="MY55" s="32"/>
      <c r="MZ55" s="32"/>
      <c r="NA55" s="38">
        <f t="shared" si="33"/>
        <v>5625</v>
      </c>
      <c r="NB55" s="36">
        <f t="shared" si="34"/>
        <v>13866</v>
      </c>
      <c r="NC55" s="26"/>
      <c r="ND55" s="101">
        <f>SUM(ND52:ND54)</f>
        <v>167</v>
      </c>
      <c r="NE55" s="101">
        <f t="shared" ref="NE55:NH55" si="253">SUM(NE52:NE54)</f>
        <v>278</v>
      </c>
      <c r="NF55" s="101">
        <f t="shared" si="253"/>
        <v>208</v>
      </c>
      <c r="NG55" s="101">
        <f t="shared" si="253"/>
        <v>124</v>
      </c>
      <c r="NH55" s="101">
        <f t="shared" si="253"/>
        <v>68</v>
      </c>
      <c r="NI55" s="101"/>
      <c r="NJ55" s="101"/>
      <c r="NK55" s="101"/>
      <c r="NL55" s="101"/>
      <c r="NM55" s="101"/>
      <c r="NN55" s="101"/>
      <c r="NO55" s="101"/>
      <c r="NP55" s="38">
        <f t="shared" si="35"/>
        <v>845</v>
      </c>
      <c r="NQ55" s="36">
        <f t="shared" si="36"/>
        <v>11481</v>
      </c>
      <c r="NR55" s="36">
        <f t="shared" si="37"/>
        <v>43243</v>
      </c>
      <c r="NS55" s="36">
        <f t="shared" si="38"/>
        <v>21217</v>
      </c>
      <c r="NT55" s="36">
        <f t="shared" si="39"/>
        <v>75941</v>
      </c>
      <c r="NU55" s="18"/>
      <c r="NV55" s="18"/>
      <c r="NW55" s="18"/>
      <c r="NX55" s="19"/>
      <c r="NY55" s="19"/>
      <c r="NZ55" s="19"/>
      <c r="OA55" s="19"/>
      <c r="OB55" s="19"/>
      <c r="OC55" s="19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8"/>
      <c r="OR55" s="18"/>
      <c r="OS55" s="18"/>
      <c r="OT55" s="18"/>
      <c r="OU55" s="18"/>
      <c r="OV55" s="18"/>
      <c r="OW55" s="18"/>
      <c r="OX55" s="19"/>
      <c r="OY55" s="19"/>
      <c r="OZ55" s="19"/>
      <c r="PA55" s="19"/>
      <c r="PB55" s="19"/>
      <c r="PC55" s="19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8"/>
      <c r="PR55" s="18"/>
      <c r="PS55" s="18"/>
      <c r="PT55" s="18"/>
      <c r="PU55" s="18"/>
      <c r="PV55" s="18"/>
      <c r="PW55" s="18"/>
      <c r="PX55" s="19"/>
      <c r="PY55" s="19"/>
      <c r="PZ55" s="19"/>
      <c r="QA55" s="19"/>
      <c r="QB55" s="19"/>
      <c r="QC55" s="19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</row>
    <row r="56" spans="1:458" s="1" customFormat="1" ht="50.1" customHeight="1" x14ac:dyDescent="0.25">
      <c r="A56" s="120"/>
      <c r="B56" s="6" t="s">
        <v>21</v>
      </c>
      <c r="C56" s="23"/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/>
      <c r="J56" s="41"/>
      <c r="K56" s="41"/>
      <c r="L56" s="41"/>
      <c r="M56" s="41"/>
      <c r="N56" s="41"/>
      <c r="O56" s="41"/>
      <c r="P56" s="38">
        <f t="shared" si="7"/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/>
      <c r="W56" s="49"/>
      <c r="X56" s="49"/>
      <c r="Y56" s="49"/>
      <c r="Z56" s="49"/>
      <c r="AA56" s="49"/>
      <c r="AB56" s="49"/>
      <c r="AC56" s="38">
        <f t="shared" ref="AC56" si="254">SUM(Q56:AB56)</f>
        <v>0</v>
      </c>
      <c r="AD56" s="36">
        <f t="shared" si="9"/>
        <v>0</v>
      </c>
      <c r="AE56" s="26"/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2"/>
      <c r="AL56" s="32"/>
      <c r="AM56" s="32"/>
      <c r="AN56" s="32"/>
      <c r="AO56" s="32"/>
      <c r="AP56" s="32"/>
      <c r="AQ56" s="32"/>
      <c r="AR56" s="38">
        <f t="shared" si="10"/>
        <v>0</v>
      </c>
      <c r="AS56" s="32">
        <v>1</v>
      </c>
      <c r="AT56" s="32">
        <v>2</v>
      </c>
      <c r="AU56" s="32">
        <v>0</v>
      </c>
      <c r="AV56" s="32">
        <v>0</v>
      </c>
      <c r="AW56" s="32">
        <v>1</v>
      </c>
      <c r="AX56" s="32"/>
      <c r="AY56" s="32"/>
      <c r="AZ56" s="32"/>
      <c r="BA56" s="32"/>
      <c r="BB56" s="32"/>
      <c r="BC56" s="32"/>
      <c r="BD56" s="32"/>
      <c r="BE56" s="38">
        <f t="shared" si="11"/>
        <v>4</v>
      </c>
      <c r="BF56" s="36">
        <f t="shared" si="12"/>
        <v>4</v>
      </c>
      <c r="BG56" s="26"/>
      <c r="BH56" s="41">
        <v>0</v>
      </c>
      <c r="BI56" s="41">
        <v>0</v>
      </c>
      <c r="BJ56" s="41">
        <v>0</v>
      </c>
      <c r="BK56" s="41">
        <v>0</v>
      </c>
      <c r="BL56" s="41">
        <v>0</v>
      </c>
      <c r="BM56" s="41"/>
      <c r="BN56" s="41"/>
      <c r="BO56" s="41"/>
      <c r="BP56" s="41"/>
      <c r="BQ56" s="41"/>
      <c r="BR56" s="41"/>
      <c r="BS56" s="41"/>
      <c r="BT56" s="38">
        <f t="shared" si="13"/>
        <v>0</v>
      </c>
      <c r="BU56" s="56">
        <v>2</v>
      </c>
      <c r="BV56" s="56">
        <v>3</v>
      </c>
      <c r="BW56" s="56">
        <v>1</v>
      </c>
      <c r="BX56" s="56">
        <v>0</v>
      </c>
      <c r="BY56" s="56">
        <v>0</v>
      </c>
      <c r="BZ56" s="56"/>
      <c r="CA56" s="56"/>
      <c r="CB56" s="56"/>
      <c r="CC56" s="56"/>
      <c r="CD56" s="56"/>
      <c r="CE56" s="56"/>
      <c r="CF56" s="56"/>
      <c r="CG56" s="61">
        <f t="shared" si="14"/>
        <v>6</v>
      </c>
      <c r="CH56" s="57">
        <f t="shared" si="15"/>
        <v>6</v>
      </c>
      <c r="CI56" s="26"/>
      <c r="CJ56" s="32">
        <v>0</v>
      </c>
      <c r="CK56" s="32">
        <v>0</v>
      </c>
      <c r="CL56" s="32">
        <v>0</v>
      </c>
      <c r="CM56" s="32">
        <v>0</v>
      </c>
      <c r="CN56" s="32">
        <v>0</v>
      </c>
      <c r="CO56" s="32"/>
      <c r="CP56" s="32"/>
      <c r="CQ56" s="32"/>
      <c r="CR56" s="32"/>
      <c r="CS56" s="32"/>
      <c r="CT56" s="32"/>
      <c r="CU56" s="69"/>
      <c r="CV56" s="38">
        <f t="shared" si="16"/>
        <v>0</v>
      </c>
      <c r="CW56" s="45">
        <v>12</v>
      </c>
      <c r="CX56" s="45">
        <v>6</v>
      </c>
      <c r="CY56" s="45">
        <v>6</v>
      </c>
      <c r="CZ56" s="45">
        <v>8</v>
      </c>
      <c r="DA56" s="45">
        <v>3</v>
      </c>
      <c r="DB56" s="45"/>
      <c r="DC56" s="45"/>
      <c r="DD56" s="45"/>
      <c r="DE56" s="45"/>
      <c r="DF56" s="45"/>
      <c r="DG56" s="45"/>
      <c r="DH56" s="45"/>
      <c r="DI56" s="38">
        <f t="shared" si="0"/>
        <v>35</v>
      </c>
      <c r="DJ56" s="36">
        <f t="shared" si="17"/>
        <v>35</v>
      </c>
      <c r="DK56" s="26"/>
      <c r="DL56" s="32">
        <v>0</v>
      </c>
      <c r="DM56" s="32">
        <v>0</v>
      </c>
      <c r="DN56" s="32">
        <v>0</v>
      </c>
      <c r="DO56" s="32">
        <v>0</v>
      </c>
      <c r="DP56" s="32">
        <v>0</v>
      </c>
      <c r="DQ56" s="32"/>
      <c r="DR56" s="32"/>
      <c r="DS56" s="32"/>
      <c r="DT56" s="32"/>
      <c r="DU56" s="32"/>
      <c r="DV56" s="32"/>
      <c r="DW56" s="69"/>
      <c r="DX56" s="38">
        <f t="shared" si="1"/>
        <v>0</v>
      </c>
      <c r="DY56" s="65">
        <v>35</v>
      </c>
      <c r="DZ56" s="65">
        <v>19</v>
      </c>
      <c r="EA56" s="65">
        <v>7</v>
      </c>
      <c r="EB56" s="65">
        <v>16</v>
      </c>
      <c r="EC56" s="65">
        <v>3</v>
      </c>
      <c r="ED56" s="65"/>
      <c r="EE56" s="65"/>
      <c r="EF56" s="65"/>
      <c r="EG56" s="65"/>
      <c r="EH56" s="65"/>
      <c r="EI56" s="65"/>
      <c r="EJ56" s="65"/>
      <c r="EK56" s="38">
        <f t="shared" si="18"/>
        <v>80</v>
      </c>
      <c r="EL56" s="36">
        <f t="shared" si="19"/>
        <v>80</v>
      </c>
      <c r="EM56" s="26"/>
      <c r="EN56" s="101">
        <v>0</v>
      </c>
      <c r="EO56" s="101">
        <v>0</v>
      </c>
      <c r="EP56" s="101">
        <v>0</v>
      </c>
      <c r="EQ56" s="101">
        <v>0</v>
      </c>
      <c r="ER56" s="101">
        <v>0</v>
      </c>
      <c r="ES56" s="101"/>
      <c r="ET56" s="101"/>
      <c r="EU56" s="101"/>
      <c r="EV56" s="101"/>
      <c r="EW56" s="101"/>
      <c r="EX56" s="101"/>
      <c r="EY56" s="101"/>
      <c r="EZ56" s="38">
        <f t="shared" si="2"/>
        <v>0</v>
      </c>
      <c r="FA56" s="26"/>
      <c r="FB56" s="54">
        <v>0</v>
      </c>
      <c r="FC56" s="54">
        <v>0</v>
      </c>
      <c r="FD56" s="54">
        <v>0</v>
      </c>
      <c r="FE56" s="54">
        <v>0</v>
      </c>
      <c r="FF56" s="54">
        <v>0</v>
      </c>
      <c r="FG56" s="54"/>
      <c r="FH56" s="54"/>
      <c r="FI56" s="54"/>
      <c r="FJ56" s="54"/>
      <c r="FK56" s="54"/>
      <c r="FL56" s="54"/>
      <c r="FM56" s="54"/>
      <c r="FN56" s="38">
        <f t="shared" si="20"/>
        <v>0</v>
      </c>
      <c r="FO56" s="26"/>
      <c r="FP56" s="32">
        <v>0</v>
      </c>
      <c r="FQ56" s="32">
        <v>0</v>
      </c>
      <c r="FR56" s="32">
        <v>0</v>
      </c>
      <c r="FS56" s="32">
        <v>0</v>
      </c>
      <c r="FT56" s="32">
        <v>0</v>
      </c>
      <c r="FU56" s="32"/>
      <c r="FV56" s="32"/>
      <c r="FW56" s="32"/>
      <c r="FX56" s="32"/>
      <c r="FY56" s="32"/>
      <c r="FZ56" s="32"/>
      <c r="GA56" s="32"/>
      <c r="GB56" s="38">
        <f t="shared" si="21"/>
        <v>0</v>
      </c>
      <c r="GC56" s="26"/>
      <c r="GD56" s="101">
        <v>3</v>
      </c>
      <c r="GE56" s="101">
        <v>4</v>
      </c>
      <c r="GF56" s="101">
        <v>2</v>
      </c>
      <c r="GG56" s="101">
        <v>4</v>
      </c>
      <c r="GH56" s="101">
        <v>6</v>
      </c>
      <c r="GI56" s="101"/>
      <c r="GJ56" s="101"/>
      <c r="GK56" s="101"/>
      <c r="GL56" s="101"/>
      <c r="GM56" s="101"/>
      <c r="GN56" s="101"/>
      <c r="GO56" s="101"/>
      <c r="GP56" s="38">
        <f t="shared" si="22"/>
        <v>19</v>
      </c>
      <c r="GQ56" s="26"/>
      <c r="GR56" s="32">
        <v>15</v>
      </c>
      <c r="GS56" s="32">
        <v>6</v>
      </c>
      <c r="GT56" s="32">
        <v>1</v>
      </c>
      <c r="GU56" s="32">
        <v>0</v>
      </c>
      <c r="GV56" s="32">
        <v>2</v>
      </c>
      <c r="GW56" s="32"/>
      <c r="GX56" s="32"/>
      <c r="GY56" s="32"/>
      <c r="GZ56" s="32"/>
      <c r="HA56" s="32"/>
      <c r="HB56" s="32"/>
      <c r="HC56" s="32"/>
      <c r="HD56" s="38">
        <f t="shared" si="23"/>
        <v>24</v>
      </c>
      <c r="HE56" s="26"/>
      <c r="HF56" s="45">
        <v>0</v>
      </c>
      <c r="HG56" s="45">
        <v>0</v>
      </c>
      <c r="HH56" s="45">
        <v>0</v>
      </c>
      <c r="HI56" s="45">
        <v>0</v>
      </c>
      <c r="HJ56" s="45">
        <v>0</v>
      </c>
      <c r="HK56" s="45"/>
      <c r="HL56" s="45"/>
      <c r="HM56" s="45"/>
      <c r="HN56" s="45"/>
      <c r="HO56" s="45"/>
      <c r="HP56" s="45"/>
      <c r="HQ56" s="45"/>
      <c r="HR56" s="38">
        <f t="shared" si="24"/>
        <v>0</v>
      </c>
      <c r="HS56" s="26"/>
      <c r="HT56" s="32">
        <v>0</v>
      </c>
      <c r="HU56" s="32">
        <v>0</v>
      </c>
      <c r="HV56" s="32">
        <v>0</v>
      </c>
      <c r="HW56" s="32">
        <v>0</v>
      </c>
      <c r="HX56" s="32">
        <v>0</v>
      </c>
      <c r="HY56" s="32"/>
      <c r="HZ56" s="32"/>
      <c r="IA56" s="32"/>
      <c r="IB56" s="32"/>
      <c r="IC56" s="32"/>
      <c r="ID56" s="32"/>
      <c r="IE56" s="32"/>
      <c r="IF56" s="38">
        <f t="shared" si="3"/>
        <v>0</v>
      </c>
      <c r="IG56" s="104">
        <v>0</v>
      </c>
      <c r="IH56" s="104">
        <v>3</v>
      </c>
      <c r="II56" s="104">
        <v>2</v>
      </c>
      <c r="IJ56" s="104">
        <v>0</v>
      </c>
      <c r="IK56" s="104">
        <v>0</v>
      </c>
      <c r="IL56" s="104"/>
      <c r="IM56" s="104"/>
      <c r="IN56" s="104"/>
      <c r="IO56" s="104"/>
      <c r="IP56" s="104"/>
      <c r="IQ56" s="104"/>
      <c r="IR56" s="104"/>
      <c r="IS56" s="38">
        <f t="shared" si="25"/>
        <v>5</v>
      </c>
      <c r="IT56" s="36">
        <f t="shared" si="26"/>
        <v>5</v>
      </c>
      <c r="IU56" s="26"/>
      <c r="IV56" s="32">
        <v>0</v>
      </c>
      <c r="IW56" s="32">
        <v>0</v>
      </c>
      <c r="IX56" s="32">
        <v>0</v>
      </c>
      <c r="IY56" s="32">
        <v>0</v>
      </c>
      <c r="IZ56" s="32">
        <v>0</v>
      </c>
      <c r="JA56" s="32"/>
      <c r="JB56" s="32"/>
      <c r="JC56" s="32"/>
      <c r="JD56" s="32"/>
      <c r="JE56" s="32"/>
      <c r="JF56" s="32"/>
      <c r="JG56" s="32"/>
      <c r="JH56" s="38">
        <f t="shared" si="27"/>
        <v>0</v>
      </c>
      <c r="JI56" s="32">
        <v>0</v>
      </c>
      <c r="JJ56" s="32">
        <v>0</v>
      </c>
      <c r="JK56" s="32">
        <v>0</v>
      </c>
      <c r="JL56" s="32">
        <v>1</v>
      </c>
      <c r="JM56" s="32">
        <v>2</v>
      </c>
      <c r="JN56" s="32"/>
      <c r="JO56" s="32"/>
      <c r="JP56" s="32"/>
      <c r="JQ56" s="32"/>
      <c r="JR56" s="32"/>
      <c r="JS56" s="32"/>
      <c r="JT56" s="32"/>
      <c r="JU56" s="112">
        <f t="shared" si="4"/>
        <v>3</v>
      </c>
      <c r="JV56" s="36">
        <f t="shared" si="28"/>
        <v>3</v>
      </c>
      <c r="JW56" s="26"/>
      <c r="JX56" s="32">
        <v>0</v>
      </c>
      <c r="JY56" s="32">
        <v>0</v>
      </c>
      <c r="JZ56" s="32">
        <v>0</v>
      </c>
      <c r="KA56" s="32">
        <v>0</v>
      </c>
      <c r="KB56" s="32">
        <v>0</v>
      </c>
      <c r="KC56" s="32"/>
      <c r="KD56" s="32"/>
      <c r="KE56" s="32"/>
      <c r="KF56" s="32"/>
      <c r="KG56" s="32"/>
      <c r="KH56" s="32"/>
      <c r="KI56" s="32"/>
      <c r="KJ56" s="38">
        <f t="shared" si="29"/>
        <v>0</v>
      </c>
      <c r="KK56" s="32">
        <v>9</v>
      </c>
      <c r="KL56" s="32">
        <v>2</v>
      </c>
      <c r="KM56" s="32">
        <v>5</v>
      </c>
      <c r="KN56" s="32">
        <v>12</v>
      </c>
      <c r="KO56" s="32">
        <v>1</v>
      </c>
      <c r="KP56" s="32"/>
      <c r="KQ56" s="32"/>
      <c r="KR56" s="32"/>
      <c r="KS56" s="32"/>
      <c r="KT56" s="32"/>
      <c r="KU56" s="32"/>
      <c r="KV56" s="32"/>
      <c r="KW56" s="38">
        <f t="shared" si="5"/>
        <v>29</v>
      </c>
      <c r="KX56" s="36">
        <f t="shared" si="30"/>
        <v>29</v>
      </c>
      <c r="KY56" s="26"/>
      <c r="KZ56" s="101">
        <v>0</v>
      </c>
      <c r="LA56" s="101">
        <v>0</v>
      </c>
      <c r="LB56" s="101">
        <v>0</v>
      </c>
      <c r="LC56" s="101">
        <v>0</v>
      </c>
      <c r="LD56" s="101">
        <v>0</v>
      </c>
      <c r="LE56" s="101"/>
      <c r="LF56" s="101"/>
      <c r="LG56" s="101"/>
      <c r="LH56" s="101"/>
      <c r="LI56" s="101"/>
      <c r="LJ56" s="101"/>
      <c r="LK56" s="101"/>
      <c r="LL56" s="38">
        <f t="shared" si="6"/>
        <v>0</v>
      </c>
      <c r="LM56" s="26"/>
      <c r="LN56" s="71">
        <v>1</v>
      </c>
      <c r="LO56" s="71">
        <v>4</v>
      </c>
      <c r="LP56" s="71">
        <v>0</v>
      </c>
      <c r="LQ56" s="71">
        <v>0</v>
      </c>
      <c r="LR56" s="71">
        <v>2</v>
      </c>
      <c r="LS56" s="71"/>
      <c r="LT56" s="71"/>
      <c r="LU56" s="45"/>
      <c r="LV56" s="45"/>
      <c r="LW56" s="45"/>
      <c r="LX56" s="45"/>
      <c r="LY56" s="45"/>
      <c r="LZ56" s="38">
        <f t="shared" si="31"/>
        <v>7</v>
      </c>
      <c r="MA56" s="26"/>
      <c r="MB56" s="45">
        <v>2</v>
      </c>
      <c r="MC56" s="45">
        <v>11</v>
      </c>
      <c r="MD56" s="45">
        <v>0</v>
      </c>
      <c r="ME56" s="45">
        <v>0</v>
      </c>
      <c r="MF56" s="45">
        <v>0</v>
      </c>
      <c r="MG56" s="45"/>
      <c r="MH56" s="45"/>
      <c r="MI56" s="45"/>
      <c r="MJ56" s="45"/>
      <c r="MK56" s="45"/>
      <c r="ML56" s="45"/>
      <c r="MM56" s="45"/>
      <c r="MN56" s="38">
        <f t="shared" si="32"/>
        <v>13</v>
      </c>
      <c r="MO56" s="32">
        <v>4</v>
      </c>
      <c r="MP56" s="32">
        <v>3</v>
      </c>
      <c r="MQ56" s="32">
        <v>9</v>
      </c>
      <c r="MR56" s="32">
        <v>2</v>
      </c>
      <c r="MS56" s="32">
        <v>1</v>
      </c>
      <c r="MT56" s="32"/>
      <c r="MU56" s="32"/>
      <c r="MV56" s="32"/>
      <c r="MW56" s="32"/>
      <c r="MX56" s="32"/>
      <c r="MY56" s="32"/>
      <c r="MZ56" s="32"/>
      <c r="NA56" s="38">
        <f t="shared" si="33"/>
        <v>19</v>
      </c>
      <c r="NB56" s="36">
        <f t="shared" si="34"/>
        <v>32</v>
      </c>
      <c r="NC56" s="26"/>
      <c r="ND56" s="101">
        <v>0</v>
      </c>
      <c r="NE56" s="101">
        <v>0</v>
      </c>
      <c r="NF56" s="101">
        <v>0</v>
      </c>
      <c r="NG56" s="101">
        <v>0</v>
      </c>
      <c r="NH56" s="101">
        <v>0</v>
      </c>
      <c r="NI56" s="101"/>
      <c r="NJ56" s="101"/>
      <c r="NK56" s="101"/>
      <c r="NL56" s="101"/>
      <c r="NM56" s="101"/>
      <c r="NN56" s="101"/>
      <c r="NO56" s="101"/>
      <c r="NP56" s="38">
        <f t="shared" si="35"/>
        <v>0</v>
      </c>
      <c r="NQ56" s="36">
        <f t="shared" si="36"/>
        <v>24</v>
      </c>
      <c r="NR56" s="36">
        <f t="shared" si="37"/>
        <v>198</v>
      </c>
      <c r="NS56" s="36">
        <f t="shared" si="38"/>
        <v>22</v>
      </c>
      <c r="NT56" s="36">
        <f t="shared" si="39"/>
        <v>244</v>
      </c>
      <c r="NU56" s="18"/>
      <c r="NV56" s="18"/>
      <c r="NW56" s="18"/>
      <c r="NX56" s="19"/>
      <c r="NY56" s="19"/>
      <c r="NZ56" s="19"/>
      <c r="OA56" s="19"/>
      <c r="OB56" s="19"/>
      <c r="OC56" s="19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8"/>
      <c r="OR56" s="18"/>
      <c r="OS56" s="18"/>
      <c r="OT56" s="18"/>
      <c r="OU56" s="18"/>
      <c r="OV56" s="18"/>
      <c r="OW56" s="18"/>
      <c r="OX56" s="19"/>
      <c r="OY56" s="19"/>
      <c r="OZ56" s="19"/>
      <c r="PA56" s="19"/>
      <c r="PB56" s="19"/>
      <c r="PC56" s="19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8"/>
      <c r="PR56" s="18"/>
      <c r="PS56" s="18"/>
      <c r="PT56" s="18"/>
      <c r="PU56" s="18"/>
      <c r="PV56" s="18"/>
      <c r="PW56" s="18"/>
      <c r="PX56" s="19"/>
      <c r="PY56" s="19"/>
      <c r="PZ56" s="19"/>
      <c r="QA56" s="19"/>
      <c r="QB56" s="19"/>
      <c r="QC56" s="19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</row>
    <row r="57" spans="1:458" s="1" customFormat="1" ht="50.1" customHeight="1" x14ac:dyDescent="0.25">
      <c r="A57" s="120"/>
      <c r="B57" s="6" t="s">
        <v>22</v>
      </c>
      <c r="C57" s="23"/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/>
      <c r="J57" s="32"/>
      <c r="K57" s="32"/>
      <c r="L57" s="32"/>
      <c r="M57" s="32"/>
      <c r="N57" s="32"/>
      <c r="O57" s="32"/>
      <c r="P57" s="38">
        <f t="shared" si="7"/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/>
      <c r="W57" s="49"/>
      <c r="X57" s="49"/>
      <c r="Y57" s="49"/>
      <c r="Z57" s="49"/>
      <c r="AA57" s="49"/>
      <c r="AB57" s="49"/>
      <c r="AC57" s="38">
        <f t="shared" si="8"/>
        <v>0</v>
      </c>
      <c r="AD57" s="36">
        <f t="shared" si="9"/>
        <v>0</v>
      </c>
      <c r="AE57" s="26"/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2"/>
      <c r="AL57" s="32"/>
      <c r="AM57" s="32"/>
      <c r="AN57" s="32"/>
      <c r="AO57" s="32"/>
      <c r="AP57" s="32"/>
      <c r="AQ57" s="32"/>
      <c r="AR57" s="38">
        <f t="shared" si="10"/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/>
      <c r="AY57" s="32"/>
      <c r="AZ57" s="32"/>
      <c r="BA57" s="32"/>
      <c r="BB57" s="32"/>
      <c r="BC57" s="32"/>
      <c r="BD57" s="32"/>
      <c r="BE57" s="38">
        <f t="shared" si="11"/>
        <v>0</v>
      </c>
      <c r="BF57" s="36">
        <f t="shared" si="12"/>
        <v>0</v>
      </c>
      <c r="BG57" s="26"/>
      <c r="BH57" s="41">
        <v>0</v>
      </c>
      <c r="BI57" s="41">
        <v>0</v>
      </c>
      <c r="BJ57" s="41">
        <v>0</v>
      </c>
      <c r="BK57" s="41">
        <v>0</v>
      </c>
      <c r="BL57" s="41">
        <v>0</v>
      </c>
      <c r="BM57" s="41"/>
      <c r="BN57" s="41"/>
      <c r="BO57" s="41"/>
      <c r="BP57" s="41"/>
      <c r="BQ57" s="41"/>
      <c r="BR57" s="41"/>
      <c r="BS57" s="41"/>
      <c r="BT57" s="38">
        <f t="shared" si="13"/>
        <v>0</v>
      </c>
      <c r="BU57" s="59">
        <v>0</v>
      </c>
      <c r="BV57" s="59">
        <v>0</v>
      </c>
      <c r="BW57" s="59">
        <v>0</v>
      </c>
      <c r="BX57" s="59">
        <v>0</v>
      </c>
      <c r="BY57" s="59">
        <v>0</v>
      </c>
      <c r="BZ57" s="59"/>
      <c r="CA57" s="59"/>
      <c r="CB57" s="59"/>
      <c r="CC57" s="59"/>
      <c r="CD57" s="59"/>
      <c r="CE57" s="59"/>
      <c r="CF57" s="59"/>
      <c r="CG57" s="61">
        <f t="shared" si="14"/>
        <v>0</v>
      </c>
      <c r="CH57" s="57">
        <f t="shared" si="15"/>
        <v>0</v>
      </c>
      <c r="CI57" s="26"/>
      <c r="CJ57" s="32">
        <v>0</v>
      </c>
      <c r="CK57" s="32">
        <v>0</v>
      </c>
      <c r="CL57" s="32">
        <v>0</v>
      </c>
      <c r="CM57" s="32">
        <v>0</v>
      </c>
      <c r="CN57" s="32">
        <v>0</v>
      </c>
      <c r="CO57" s="32"/>
      <c r="CP57" s="32"/>
      <c r="CQ57" s="32"/>
      <c r="CR57" s="32"/>
      <c r="CS57" s="32"/>
      <c r="CT57" s="32"/>
      <c r="CU57" s="69"/>
      <c r="CV57" s="38">
        <f t="shared" si="16"/>
        <v>0</v>
      </c>
      <c r="CW57" s="45">
        <v>0</v>
      </c>
      <c r="CX57" s="45">
        <v>0</v>
      </c>
      <c r="CY57" s="45">
        <v>0</v>
      </c>
      <c r="CZ57" s="45">
        <v>0</v>
      </c>
      <c r="DA57" s="45">
        <v>0</v>
      </c>
      <c r="DB57" s="45"/>
      <c r="DC57" s="45"/>
      <c r="DD57" s="45"/>
      <c r="DE57" s="45"/>
      <c r="DF57" s="45"/>
      <c r="DG57" s="45"/>
      <c r="DH57" s="45"/>
      <c r="DI57" s="38">
        <f t="shared" si="0"/>
        <v>0</v>
      </c>
      <c r="DJ57" s="36">
        <f t="shared" si="17"/>
        <v>0</v>
      </c>
      <c r="DK57" s="26"/>
      <c r="DL57" s="32">
        <v>0</v>
      </c>
      <c r="DM57" s="32">
        <v>0</v>
      </c>
      <c r="DN57" s="32">
        <v>0</v>
      </c>
      <c r="DO57" s="32">
        <v>0</v>
      </c>
      <c r="DP57" s="32">
        <v>0</v>
      </c>
      <c r="DQ57" s="79"/>
      <c r="DR57" s="79"/>
      <c r="DS57" s="79"/>
      <c r="DT57" s="79"/>
      <c r="DU57" s="79"/>
      <c r="DV57" s="79"/>
      <c r="DW57" s="85"/>
      <c r="DX57" s="38">
        <f t="shared" si="1"/>
        <v>0</v>
      </c>
      <c r="DY57" s="65">
        <v>0</v>
      </c>
      <c r="DZ57" s="65">
        <v>0</v>
      </c>
      <c r="EA57" s="65">
        <v>0</v>
      </c>
      <c r="EB57" s="65">
        <v>0</v>
      </c>
      <c r="EC57" s="65">
        <v>0</v>
      </c>
      <c r="ED57" s="74"/>
      <c r="EE57" s="74"/>
      <c r="EF57" s="74"/>
      <c r="EG57" s="74"/>
      <c r="EH57" s="74"/>
      <c r="EI57" s="74"/>
      <c r="EJ57" s="74"/>
      <c r="EK57" s="38">
        <f t="shared" si="18"/>
        <v>0</v>
      </c>
      <c r="EL57" s="36">
        <f t="shared" si="19"/>
        <v>0</v>
      </c>
      <c r="EM57" s="26"/>
      <c r="EN57" s="101">
        <v>0</v>
      </c>
      <c r="EO57" s="101">
        <v>0</v>
      </c>
      <c r="EP57" s="101">
        <v>0</v>
      </c>
      <c r="EQ57" s="101">
        <v>0</v>
      </c>
      <c r="ER57" s="101">
        <v>0</v>
      </c>
      <c r="ES57" s="79"/>
      <c r="ET57" s="79"/>
      <c r="EU57" s="79"/>
      <c r="EV57" s="79"/>
      <c r="EW57" s="79"/>
      <c r="EX57" s="79"/>
      <c r="EY57" s="79"/>
      <c r="EZ57" s="38">
        <f t="shared" si="2"/>
        <v>0</v>
      </c>
      <c r="FA57" s="26"/>
      <c r="FB57" s="103">
        <v>0</v>
      </c>
      <c r="FC57" s="103">
        <v>0</v>
      </c>
      <c r="FD57" s="103">
        <v>0</v>
      </c>
      <c r="FE57" s="103">
        <v>0</v>
      </c>
      <c r="FF57" s="103">
        <v>0</v>
      </c>
      <c r="FG57" s="103"/>
      <c r="FH57" s="103"/>
      <c r="FI57" s="103"/>
      <c r="FJ57" s="103"/>
      <c r="FK57" s="103"/>
      <c r="FL57" s="103"/>
      <c r="FM57" s="103"/>
      <c r="FN57" s="38">
        <f t="shared" si="20"/>
        <v>0</v>
      </c>
      <c r="FO57" s="26"/>
      <c r="FP57" s="32">
        <v>0</v>
      </c>
      <c r="FQ57" s="32">
        <v>0</v>
      </c>
      <c r="FR57" s="32">
        <v>0</v>
      </c>
      <c r="FS57" s="32">
        <v>0</v>
      </c>
      <c r="FT57" s="32">
        <v>0</v>
      </c>
      <c r="FU57" s="79"/>
      <c r="FV57" s="79"/>
      <c r="FW57" s="79"/>
      <c r="FX57" s="79"/>
      <c r="FY57" s="79"/>
      <c r="FZ57" s="79"/>
      <c r="GA57" s="79"/>
      <c r="GB57" s="38">
        <f t="shared" si="21"/>
        <v>0</v>
      </c>
      <c r="GC57" s="26"/>
      <c r="GD57" s="101">
        <v>0</v>
      </c>
      <c r="GE57" s="101">
        <v>0</v>
      </c>
      <c r="GF57" s="101">
        <v>0</v>
      </c>
      <c r="GG57" s="101">
        <v>0</v>
      </c>
      <c r="GH57" s="101">
        <v>0</v>
      </c>
      <c r="GI57" s="79"/>
      <c r="GJ57" s="79"/>
      <c r="GK57" s="79"/>
      <c r="GL57" s="79"/>
      <c r="GM57" s="79"/>
      <c r="GN57" s="79"/>
      <c r="GO57" s="79"/>
      <c r="GP57" s="38">
        <f t="shared" si="22"/>
        <v>0</v>
      </c>
      <c r="GQ57" s="26"/>
      <c r="GR57" s="32">
        <v>0</v>
      </c>
      <c r="GS57" s="32">
        <v>0</v>
      </c>
      <c r="GT57" s="32">
        <v>0</v>
      </c>
      <c r="GU57" s="32">
        <v>0</v>
      </c>
      <c r="GV57" s="32">
        <v>0</v>
      </c>
      <c r="GW57" s="79"/>
      <c r="GX57" s="79"/>
      <c r="GY57" s="79"/>
      <c r="GZ57" s="79"/>
      <c r="HA57" s="79"/>
      <c r="HB57" s="79"/>
      <c r="HC57" s="79"/>
      <c r="HD57" s="38">
        <f t="shared" si="23"/>
        <v>0</v>
      </c>
      <c r="HE57" s="26"/>
      <c r="HF57" s="45">
        <v>0</v>
      </c>
      <c r="HG57" s="45">
        <v>0</v>
      </c>
      <c r="HH57" s="45">
        <v>0</v>
      </c>
      <c r="HI57" s="45">
        <v>0</v>
      </c>
      <c r="HJ57" s="45">
        <v>0</v>
      </c>
      <c r="HK57" s="45"/>
      <c r="HL57" s="45"/>
      <c r="HM57" s="45"/>
      <c r="HN57" s="45"/>
      <c r="HO57" s="45"/>
      <c r="HP57" s="45"/>
      <c r="HQ57" s="45"/>
      <c r="HR57" s="38">
        <f t="shared" si="24"/>
        <v>0</v>
      </c>
      <c r="HS57" s="26"/>
      <c r="HT57" s="32">
        <v>0</v>
      </c>
      <c r="HU57" s="32">
        <v>0</v>
      </c>
      <c r="HV57" s="32">
        <v>0</v>
      </c>
      <c r="HW57" s="32">
        <v>0</v>
      </c>
      <c r="HX57" s="32">
        <v>0</v>
      </c>
      <c r="HY57" s="79"/>
      <c r="HZ57" s="79"/>
      <c r="IA57" s="79"/>
      <c r="IB57" s="79"/>
      <c r="IC57" s="79"/>
      <c r="ID57" s="79"/>
      <c r="IE57" s="79"/>
      <c r="IF57" s="38">
        <f t="shared" si="3"/>
        <v>0</v>
      </c>
      <c r="IG57" s="104">
        <v>0</v>
      </c>
      <c r="IH57" s="104">
        <v>0</v>
      </c>
      <c r="II57" s="104">
        <v>0</v>
      </c>
      <c r="IJ57" s="104">
        <v>0</v>
      </c>
      <c r="IK57" s="104">
        <v>0</v>
      </c>
      <c r="IL57" s="104"/>
      <c r="IM57" s="104"/>
      <c r="IN57" s="104"/>
      <c r="IO57" s="104"/>
      <c r="IP57" s="104"/>
      <c r="IQ57" s="104"/>
      <c r="IR57" s="104"/>
      <c r="IS57" s="38">
        <f t="shared" si="25"/>
        <v>0</v>
      </c>
      <c r="IT57" s="36">
        <f t="shared" si="26"/>
        <v>0</v>
      </c>
      <c r="IU57" s="26"/>
      <c r="IV57" s="32">
        <v>0</v>
      </c>
      <c r="IW57" s="32">
        <v>0</v>
      </c>
      <c r="IX57" s="32">
        <v>0</v>
      </c>
      <c r="IY57" s="32">
        <v>0</v>
      </c>
      <c r="IZ57" s="32">
        <v>0</v>
      </c>
      <c r="JA57" s="79"/>
      <c r="JB57" s="79"/>
      <c r="JC57" s="79"/>
      <c r="JD57" s="79"/>
      <c r="JE57" s="79"/>
      <c r="JF57" s="79"/>
      <c r="JG57" s="79"/>
      <c r="JH57" s="38">
        <f t="shared" si="27"/>
        <v>0</v>
      </c>
      <c r="JI57" s="32">
        <v>0</v>
      </c>
      <c r="JJ57" s="32">
        <v>0</v>
      </c>
      <c r="JK57" s="32">
        <v>0</v>
      </c>
      <c r="JL57" s="32">
        <v>0</v>
      </c>
      <c r="JM57" s="32">
        <v>0</v>
      </c>
      <c r="JN57" s="79"/>
      <c r="JO57" s="79"/>
      <c r="JP57" s="79"/>
      <c r="JQ57" s="79"/>
      <c r="JR57" s="79"/>
      <c r="JS57" s="79"/>
      <c r="JT57" s="79"/>
      <c r="JU57" s="112">
        <f t="shared" si="4"/>
        <v>0</v>
      </c>
      <c r="JV57" s="36">
        <f t="shared" si="28"/>
        <v>0</v>
      </c>
      <c r="JW57" s="26"/>
      <c r="JX57" s="32">
        <v>0</v>
      </c>
      <c r="JY57" s="32">
        <v>0</v>
      </c>
      <c r="JZ57" s="32">
        <v>0</v>
      </c>
      <c r="KA57" s="32">
        <v>0</v>
      </c>
      <c r="KB57" s="32">
        <v>0</v>
      </c>
      <c r="KC57" s="79"/>
      <c r="KD57" s="79"/>
      <c r="KE57" s="79"/>
      <c r="KF57" s="79"/>
      <c r="KG57" s="79"/>
      <c r="KH57" s="79"/>
      <c r="KI57" s="79"/>
      <c r="KJ57" s="38">
        <f t="shared" si="29"/>
        <v>0</v>
      </c>
      <c r="KK57" s="32">
        <v>0</v>
      </c>
      <c r="KL57" s="32">
        <v>0</v>
      </c>
      <c r="KM57" s="32">
        <v>0</v>
      </c>
      <c r="KN57" s="32">
        <v>0</v>
      </c>
      <c r="KO57" s="32">
        <v>0</v>
      </c>
      <c r="KP57" s="79"/>
      <c r="KQ57" s="79"/>
      <c r="KR57" s="79"/>
      <c r="KS57" s="79"/>
      <c r="KT57" s="79"/>
      <c r="KU57" s="79"/>
      <c r="KV57" s="79"/>
      <c r="KW57" s="38">
        <f t="shared" si="5"/>
        <v>0</v>
      </c>
      <c r="KX57" s="36">
        <f t="shared" si="30"/>
        <v>0</v>
      </c>
      <c r="KY57" s="26"/>
      <c r="KZ57" s="101">
        <v>0</v>
      </c>
      <c r="LA57" s="101">
        <v>0</v>
      </c>
      <c r="LB57" s="101">
        <v>0</v>
      </c>
      <c r="LC57" s="101">
        <v>0</v>
      </c>
      <c r="LD57" s="101">
        <v>0</v>
      </c>
      <c r="LE57" s="79"/>
      <c r="LF57" s="79"/>
      <c r="LG57" s="79"/>
      <c r="LH57" s="79"/>
      <c r="LI57" s="79"/>
      <c r="LJ57" s="79"/>
      <c r="LK57" s="79"/>
      <c r="LL57" s="38">
        <f t="shared" si="6"/>
        <v>0</v>
      </c>
      <c r="LM57" s="26"/>
      <c r="LN57" s="71">
        <v>0</v>
      </c>
      <c r="LO57" s="71">
        <v>0</v>
      </c>
      <c r="LP57" s="71">
        <v>0</v>
      </c>
      <c r="LQ57" s="71">
        <v>0</v>
      </c>
      <c r="LR57" s="71">
        <v>0</v>
      </c>
      <c r="LS57" s="71"/>
      <c r="LT57" s="71"/>
      <c r="LU57" s="45"/>
      <c r="LV57" s="45"/>
      <c r="LW57" s="45"/>
      <c r="LX57" s="45"/>
      <c r="LY57" s="45"/>
      <c r="LZ57" s="38">
        <f t="shared" si="31"/>
        <v>0</v>
      </c>
      <c r="MA57" s="26"/>
      <c r="MB57" s="45">
        <v>0</v>
      </c>
      <c r="MC57" s="45">
        <v>0</v>
      </c>
      <c r="MD57" s="45">
        <v>0</v>
      </c>
      <c r="ME57" s="45">
        <v>0</v>
      </c>
      <c r="MF57" s="45">
        <v>0</v>
      </c>
      <c r="MG57" s="45"/>
      <c r="MH57" s="45"/>
      <c r="MI57" s="45"/>
      <c r="MJ57" s="45"/>
      <c r="MK57" s="45"/>
      <c r="ML57" s="45"/>
      <c r="MM57" s="45"/>
      <c r="MN57" s="38">
        <f t="shared" si="32"/>
        <v>0</v>
      </c>
      <c r="MO57" s="32">
        <v>0</v>
      </c>
      <c r="MP57" s="32">
        <v>0</v>
      </c>
      <c r="MQ57" s="32">
        <v>0</v>
      </c>
      <c r="MR57" s="32">
        <v>0</v>
      </c>
      <c r="MS57" s="32">
        <v>0</v>
      </c>
      <c r="MT57" s="79"/>
      <c r="MU57" s="79"/>
      <c r="MV57" s="79"/>
      <c r="MW57" s="79"/>
      <c r="MX57" s="79"/>
      <c r="MY57" s="79"/>
      <c r="MZ57" s="79"/>
      <c r="NA57" s="38">
        <f t="shared" si="33"/>
        <v>0</v>
      </c>
      <c r="NB57" s="36">
        <f t="shared" si="34"/>
        <v>0</v>
      </c>
      <c r="NC57" s="26"/>
      <c r="ND57" s="101">
        <v>0</v>
      </c>
      <c r="NE57" s="101">
        <v>0</v>
      </c>
      <c r="NF57" s="101">
        <v>0</v>
      </c>
      <c r="NG57" s="101">
        <v>0</v>
      </c>
      <c r="NH57" s="101">
        <v>0</v>
      </c>
      <c r="NI57" s="79"/>
      <c r="NJ57" s="79"/>
      <c r="NK57" s="79"/>
      <c r="NL57" s="79"/>
      <c r="NM57" s="79"/>
      <c r="NN57" s="79"/>
      <c r="NO57" s="79"/>
      <c r="NP57" s="38">
        <f t="shared" si="35"/>
        <v>0</v>
      </c>
      <c r="NQ57" s="36">
        <f t="shared" si="36"/>
        <v>0</v>
      </c>
      <c r="NR57" s="36">
        <f t="shared" si="37"/>
        <v>0</v>
      </c>
      <c r="NS57" s="36">
        <f t="shared" si="38"/>
        <v>0</v>
      </c>
      <c r="NT57" s="36">
        <f t="shared" si="39"/>
        <v>0</v>
      </c>
      <c r="NU57" s="18"/>
      <c r="NV57" s="18"/>
      <c r="NW57" s="18"/>
      <c r="NX57" s="19"/>
      <c r="NY57" s="19"/>
      <c r="NZ57" s="19"/>
      <c r="OA57" s="19"/>
      <c r="OB57" s="19"/>
      <c r="OC57" s="19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8"/>
      <c r="OR57" s="18"/>
      <c r="OS57" s="18"/>
      <c r="OT57" s="18"/>
      <c r="OU57" s="18"/>
      <c r="OV57" s="18"/>
      <c r="OW57" s="18"/>
      <c r="OX57" s="19"/>
      <c r="OY57" s="19"/>
      <c r="OZ57" s="19"/>
      <c r="PA57" s="19"/>
      <c r="PB57" s="19"/>
      <c r="PC57" s="19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8"/>
      <c r="PR57" s="18"/>
      <c r="PS57" s="18"/>
      <c r="PT57" s="18"/>
      <c r="PU57" s="18"/>
      <c r="PV57" s="18"/>
      <c r="PW57" s="18"/>
      <c r="PX57" s="19"/>
      <c r="PY57" s="19"/>
      <c r="PZ57" s="19"/>
      <c r="QA57" s="19"/>
      <c r="QB57" s="19"/>
      <c r="QC57" s="19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</row>
    <row r="58" spans="1:458" ht="50.1" customHeight="1" x14ac:dyDescent="0.25">
      <c r="A58" s="130" t="s">
        <v>53</v>
      </c>
      <c r="B58" s="6" t="s">
        <v>17</v>
      </c>
      <c r="C58" s="25"/>
      <c r="D58" s="44">
        <f>SUM(D10+D16+D22+D28+D34+D40+D46+D52)</f>
        <v>13856.545454545454</v>
      </c>
      <c r="E58" s="44">
        <f t="shared" ref="E58:O58" si="255">SUM(E10+E16+E22+E28+E34+E40+E46+E52)</f>
        <v>12346</v>
      </c>
      <c r="F58" s="44">
        <f t="shared" si="255"/>
        <v>12650.333333333334</v>
      </c>
      <c r="G58" s="44">
        <f t="shared" si="255"/>
        <v>9538</v>
      </c>
      <c r="H58" s="44">
        <f t="shared" si="255"/>
        <v>10563</v>
      </c>
      <c r="I58" s="44">
        <f t="shared" si="255"/>
        <v>10831</v>
      </c>
      <c r="J58" s="44">
        <f t="shared" si="255"/>
        <v>10441</v>
      </c>
      <c r="K58" s="44">
        <f t="shared" si="255"/>
        <v>9262</v>
      </c>
      <c r="L58" s="44">
        <f t="shared" si="255"/>
        <v>10068</v>
      </c>
      <c r="M58" s="44">
        <f t="shared" si="255"/>
        <v>9729</v>
      </c>
      <c r="N58" s="44">
        <f t="shared" si="255"/>
        <v>7696</v>
      </c>
      <c r="O58" s="44">
        <f t="shared" si="255"/>
        <v>8275</v>
      </c>
      <c r="P58" s="38">
        <f t="shared" si="7"/>
        <v>125255.87878787878</v>
      </c>
      <c r="Q58" s="37">
        <f t="shared" ref="Q58:AB58" si="256">SUM(Q10+Q16+Q22+Q28+Q34+Q40+Q46+Q52)</f>
        <v>11021</v>
      </c>
      <c r="R58" s="37">
        <f t="shared" si="256"/>
        <v>8920</v>
      </c>
      <c r="S58" s="37">
        <f t="shared" si="256"/>
        <v>8485</v>
      </c>
      <c r="T58" s="37">
        <f t="shared" si="256"/>
        <v>7316</v>
      </c>
      <c r="U58" s="37">
        <f t="shared" si="256"/>
        <v>8794</v>
      </c>
      <c r="V58" s="37">
        <f t="shared" si="256"/>
        <v>6564</v>
      </c>
      <c r="W58" s="37">
        <f t="shared" si="256"/>
        <v>6170</v>
      </c>
      <c r="X58" s="37">
        <f t="shared" si="256"/>
        <v>7799</v>
      </c>
      <c r="Y58" s="37">
        <f t="shared" si="256"/>
        <v>7854</v>
      </c>
      <c r="Z58" s="37">
        <f t="shared" si="256"/>
        <v>9775</v>
      </c>
      <c r="AA58" s="37">
        <f t="shared" si="256"/>
        <v>8848</v>
      </c>
      <c r="AB58" s="37">
        <f t="shared" si="256"/>
        <v>10204</v>
      </c>
      <c r="AC58" s="38">
        <f>SUM(Q58:AB58)</f>
        <v>101750</v>
      </c>
      <c r="AD58" s="36">
        <f>SUM(P58+AC58)</f>
        <v>227005.87878787878</v>
      </c>
      <c r="AE58" s="26"/>
      <c r="AF58" s="44">
        <f>SUM(AF10+AF16+AF22+AF28+AF34+AF40+AF46+AF52)</f>
        <v>1006</v>
      </c>
      <c r="AG58" s="44">
        <f t="shared" ref="AG58:AQ58" si="257">SUM(AG10+AG16+AG22+AG28+AG34+AG40+AG46+AG52)</f>
        <v>880</v>
      </c>
      <c r="AH58" s="44">
        <f t="shared" si="257"/>
        <v>984</v>
      </c>
      <c r="AI58" s="44">
        <f t="shared" si="257"/>
        <v>1151</v>
      </c>
      <c r="AJ58" s="44">
        <f t="shared" si="257"/>
        <v>1059</v>
      </c>
      <c r="AK58" s="44">
        <f t="shared" si="257"/>
        <v>911</v>
      </c>
      <c r="AL58" s="44">
        <f t="shared" si="257"/>
        <v>989</v>
      </c>
      <c r="AM58" s="44">
        <f t="shared" si="257"/>
        <v>901</v>
      </c>
      <c r="AN58" s="44">
        <f t="shared" si="257"/>
        <v>845</v>
      </c>
      <c r="AO58" s="44">
        <f t="shared" si="257"/>
        <v>942</v>
      </c>
      <c r="AP58" s="44">
        <f t="shared" si="257"/>
        <v>966</v>
      </c>
      <c r="AQ58" s="44">
        <f t="shared" si="257"/>
        <v>829</v>
      </c>
      <c r="AR58" s="38">
        <f t="shared" si="10"/>
        <v>11463</v>
      </c>
      <c r="AS58" s="44">
        <f>SUM(AS10+AS16+AS22+AS28+AS34+AS40+AS46+AS52)</f>
        <v>887</v>
      </c>
      <c r="AT58" s="44">
        <f t="shared" ref="AT58:BD58" si="258">SUM(AT10+AT16+AT22+AT28+AT34+AT40+AT46+AT52)</f>
        <v>753</v>
      </c>
      <c r="AU58" s="44">
        <f t="shared" si="258"/>
        <v>1026</v>
      </c>
      <c r="AV58" s="44">
        <f t="shared" si="258"/>
        <v>1250</v>
      </c>
      <c r="AW58" s="44">
        <f t="shared" si="258"/>
        <v>988</v>
      </c>
      <c r="AX58" s="44">
        <f t="shared" si="258"/>
        <v>883</v>
      </c>
      <c r="AY58" s="44">
        <f t="shared" si="258"/>
        <v>825</v>
      </c>
      <c r="AZ58" s="44">
        <f t="shared" si="258"/>
        <v>730</v>
      </c>
      <c r="BA58" s="44">
        <f t="shared" si="258"/>
        <v>940</v>
      </c>
      <c r="BB58" s="44">
        <f t="shared" si="258"/>
        <v>922</v>
      </c>
      <c r="BC58" s="44">
        <f t="shared" si="258"/>
        <v>843</v>
      </c>
      <c r="BD58" s="44">
        <f t="shared" si="258"/>
        <v>728</v>
      </c>
      <c r="BE58" s="38">
        <f t="shared" si="11"/>
        <v>10775</v>
      </c>
      <c r="BF58" s="36">
        <f t="shared" si="12"/>
        <v>22238</v>
      </c>
      <c r="BG58" s="26"/>
      <c r="BH58" s="44">
        <f>SUM(BH10+BH16+BH22+BH28+BH34+BH40+BH46+BH52)</f>
        <v>1720</v>
      </c>
      <c r="BI58" s="44">
        <f t="shared" ref="BI58:BS58" si="259">SUM(BI10+BI16+BI22+BI28+BI34+BI40+BI46+BI52)</f>
        <v>1391</v>
      </c>
      <c r="BJ58" s="44">
        <f t="shared" si="259"/>
        <v>1620</v>
      </c>
      <c r="BK58" s="44">
        <f t="shared" si="259"/>
        <v>1238</v>
      </c>
      <c r="BL58" s="44">
        <f t="shared" si="259"/>
        <v>1168</v>
      </c>
      <c r="BM58" s="44">
        <f t="shared" si="259"/>
        <v>1126</v>
      </c>
      <c r="BN58" s="44">
        <f t="shared" si="259"/>
        <v>1296</v>
      </c>
      <c r="BO58" s="44">
        <f t="shared" si="259"/>
        <v>1091</v>
      </c>
      <c r="BP58" s="44">
        <f t="shared" si="259"/>
        <v>1134</v>
      </c>
      <c r="BQ58" s="44">
        <f t="shared" si="259"/>
        <v>1351</v>
      </c>
      <c r="BR58" s="44">
        <f t="shared" si="259"/>
        <v>1244</v>
      </c>
      <c r="BS58" s="44">
        <f t="shared" si="259"/>
        <v>999</v>
      </c>
      <c r="BT58" s="38">
        <f t="shared" si="13"/>
        <v>15378</v>
      </c>
      <c r="BU58" s="60">
        <f>SUM(BU10+BU16+BU22+BU28+BU34+BU40+BU46+BU52)</f>
        <v>2388</v>
      </c>
      <c r="BV58" s="60">
        <f t="shared" ref="BV58:CF58" si="260">SUM(BV10+BV16+BV22+BV28+BV34+BV40+BV46+BV52)</f>
        <v>2370</v>
      </c>
      <c r="BW58" s="60">
        <f t="shared" si="260"/>
        <v>2564</v>
      </c>
      <c r="BX58" s="60">
        <f t="shared" si="260"/>
        <v>2145</v>
      </c>
      <c r="BY58" s="60">
        <f t="shared" si="260"/>
        <v>1987</v>
      </c>
      <c r="BZ58" s="60">
        <f t="shared" si="260"/>
        <v>2146</v>
      </c>
      <c r="CA58" s="60">
        <f t="shared" si="260"/>
        <v>2228</v>
      </c>
      <c r="CB58" s="60">
        <f t="shared" si="260"/>
        <v>2090</v>
      </c>
      <c r="CC58" s="60">
        <f t="shared" si="260"/>
        <v>2081</v>
      </c>
      <c r="CD58" s="60">
        <f t="shared" si="260"/>
        <v>2511</v>
      </c>
      <c r="CE58" s="60">
        <f t="shared" si="260"/>
        <v>2246.3333333333335</v>
      </c>
      <c r="CF58" s="60">
        <f t="shared" si="260"/>
        <v>2036.4848484848485</v>
      </c>
      <c r="CG58" s="61">
        <f t="shared" si="14"/>
        <v>26792.81818181818</v>
      </c>
      <c r="CH58" s="57">
        <f t="shared" si="15"/>
        <v>42170.818181818177</v>
      </c>
      <c r="CI58" s="26"/>
      <c r="CJ58" s="44">
        <f>SUM(CJ10+CJ16+CJ22+CJ28+CJ34+CJ40+CJ46+CJ52)</f>
        <v>916</v>
      </c>
      <c r="CK58" s="44">
        <f t="shared" ref="CK58:CU58" si="261">SUM(CK10+CK16+CK22+CK28+CK34+CK40+CK46+CK52)</f>
        <v>856</v>
      </c>
      <c r="CL58" s="44">
        <f t="shared" si="261"/>
        <v>922</v>
      </c>
      <c r="CM58" s="44">
        <f t="shared" si="261"/>
        <v>761</v>
      </c>
      <c r="CN58" s="44">
        <f t="shared" si="261"/>
        <v>454</v>
      </c>
      <c r="CO58" s="44">
        <f t="shared" si="261"/>
        <v>806</v>
      </c>
      <c r="CP58" s="44">
        <f t="shared" si="261"/>
        <v>795</v>
      </c>
      <c r="CQ58" s="44">
        <f t="shared" si="261"/>
        <v>853</v>
      </c>
      <c r="CR58" s="44">
        <f t="shared" si="261"/>
        <v>589</v>
      </c>
      <c r="CS58" s="44">
        <f t="shared" si="261"/>
        <v>685</v>
      </c>
      <c r="CT58" s="44">
        <f t="shared" si="261"/>
        <v>840</v>
      </c>
      <c r="CU58" s="44">
        <f t="shared" si="261"/>
        <v>775</v>
      </c>
      <c r="CV58" s="38">
        <f>SUM(CJ58:CU58)</f>
        <v>9252</v>
      </c>
      <c r="CW58" s="44">
        <f>SUM(CW10+CW16+CW22+CW28+CW34+CW40+CW46+CW52)</f>
        <v>5938</v>
      </c>
      <c r="CX58" s="44">
        <f t="shared" ref="CX58:DH58" si="262">SUM(CX10+CX16+CX22+CX28+CX34+CX40+CX46+CX52)</f>
        <v>5214</v>
      </c>
      <c r="CY58" s="44">
        <f t="shared" si="262"/>
        <v>5518</v>
      </c>
      <c r="CZ58" s="44">
        <f t="shared" si="262"/>
        <v>4402</v>
      </c>
      <c r="DA58" s="44">
        <f t="shared" si="262"/>
        <v>4495</v>
      </c>
      <c r="DB58" s="44">
        <f t="shared" si="262"/>
        <v>4713</v>
      </c>
      <c r="DC58" s="44">
        <f t="shared" si="262"/>
        <v>5449</v>
      </c>
      <c r="DD58" s="44">
        <f t="shared" si="262"/>
        <v>4951</v>
      </c>
      <c r="DE58" s="44">
        <f t="shared" si="262"/>
        <v>4632</v>
      </c>
      <c r="DF58" s="44">
        <f t="shared" si="262"/>
        <v>5552</v>
      </c>
      <c r="DG58" s="44">
        <f t="shared" si="262"/>
        <v>4330</v>
      </c>
      <c r="DH58" s="44">
        <f t="shared" si="262"/>
        <v>4370</v>
      </c>
      <c r="DI58" s="38">
        <f>SUM(CW58:DH58)</f>
        <v>59564</v>
      </c>
      <c r="DJ58" s="36">
        <f t="shared" si="17"/>
        <v>68816</v>
      </c>
      <c r="DK58" s="26"/>
      <c r="DL58" s="7">
        <f>SUM(DL10+DL16+DL22+DL28+DL34+DL40+DL46+DL52)</f>
        <v>310</v>
      </c>
      <c r="DM58" s="7">
        <f t="shared" ref="DM58:DW58" si="263">SUM(DM10+DM16+DM22+DM28+DM34+DM40+DM46+DM52)</f>
        <v>217</v>
      </c>
      <c r="DN58" s="7">
        <f t="shared" si="263"/>
        <v>174</v>
      </c>
      <c r="DO58" s="7">
        <f t="shared" si="263"/>
        <v>227</v>
      </c>
      <c r="DP58" s="7">
        <f t="shared" si="263"/>
        <v>276</v>
      </c>
      <c r="DQ58" s="7">
        <f t="shared" si="263"/>
        <v>274</v>
      </c>
      <c r="DR58" s="7">
        <f t="shared" si="263"/>
        <v>228</v>
      </c>
      <c r="DS58" s="7">
        <f t="shared" si="263"/>
        <v>218</v>
      </c>
      <c r="DT58" s="7">
        <f t="shared" si="263"/>
        <v>171</v>
      </c>
      <c r="DU58" s="7">
        <f t="shared" si="263"/>
        <v>182</v>
      </c>
      <c r="DV58" s="7">
        <f t="shared" si="263"/>
        <v>209</v>
      </c>
      <c r="DW58" s="52">
        <f t="shared" si="263"/>
        <v>229</v>
      </c>
      <c r="DX58" s="38">
        <f t="shared" si="1"/>
        <v>2715</v>
      </c>
      <c r="DY58" s="44">
        <f>SUM(DY10+DY16+DY22+DY28+DY34+DY40+DY46+DY52)</f>
        <v>5196</v>
      </c>
      <c r="DZ58" s="44">
        <f t="shared" ref="DZ58:EJ58" si="264">SUM(DZ10+DZ16+DZ22+DZ28+DZ34+DZ40+DZ46+DZ52)</f>
        <v>3888</v>
      </c>
      <c r="EA58" s="44">
        <f t="shared" si="264"/>
        <v>3976</v>
      </c>
      <c r="EB58" s="44">
        <f t="shared" si="264"/>
        <v>3134</v>
      </c>
      <c r="EC58" s="44">
        <f t="shared" si="264"/>
        <v>3351</v>
      </c>
      <c r="ED58" s="44">
        <f t="shared" si="264"/>
        <v>3545</v>
      </c>
      <c r="EE58" s="44">
        <f t="shared" si="264"/>
        <v>3912</v>
      </c>
      <c r="EF58" s="44">
        <f t="shared" si="264"/>
        <v>3387</v>
      </c>
      <c r="EG58" s="44">
        <f t="shared" si="264"/>
        <v>3288</v>
      </c>
      <c r="EH58" s="44">
        <f t="shared" si="264"/>
        <v>3482</v>
      </c>
      <c r="EI58" s="44">
        <f t="shared" si="264"/>
        <v>3158</v>
      </c>
      <c r="EJ58" s="44">
        <f t="shared" si="264"/>
        <v>3127</v>
      </c>
      <c r="EK58" s="38">
        <f t="shared" si="18"/>
        <v>43444</v>
      </c>
      <c r="EL58" s="36">
        <f t="shared" si="19"/>
        <v>46159</v>
      </c>
      <c r="EM58" s="26"/>
      <c r="EN58" s="44">
        <f>SUM(EN10+EN16+EN22+EN28+EN34+EN40+EN46+EN52)</f>
        <v>6448</v>
      </c>
      <c r="EO58" s="44">
        <f t="shared" ref="EO58:EY58" si="265">SUM(EO10+EO16+EO22+EO28+EO34+EO40+EO46+EO52)</f>
        <v>5619</v>
      </c>
      <c r="EP58" s="44">
        <f t="shared" si="265"/>
        <v>6038</v>
      </c>
      <c r="EQ58" s="44">
        <f t="shared" si="265"/>
        <v>5248</v>
      </c>
      <c r="ER58" s="44">
        <f t="shared" si="265"/>
        <v>4886</v>
      </c>
      <c r="ES58" s="44">
        <f t="shared" si="265"/>
        <v>5251</v>
      </c>
      <c r="ET58" s="44">
        <f t="shared" si="265"/>
        <v>6520</v>
      </c>
      <c r="EU58" s="44">
        <f t="shared" si="265"/>
        <v>6301</v>
      </c>
      <c r="EV58" s="44">
        <f t="shared" si="265"/>
        <v>5641</v>
      </c>
      <c r="EW58" s="44">
        <f t="shared" si="265"/>
        <v>6121</v>
      </c>
      <c r="EX58" s="44">
        <f t="shared" si="265"/>
        <v>5161</v>
      </c>
      <c r="EY58" s="44">
        <f t="shared" si="265"/>
        <v>4544</v>
      </c>
      <c r="EZ58" s="38">
        <f>SUM(EN58:EY58)</f>
        <v>67778</v>
      </c>
      <c r="FA58" s="26"/>
      <c r="FB58" s="44">
        <f>SUM(FB10+FB16+FB22+FB28+FB34+FB40+FB46+FB52)</f>
        <v>4140</v>
      </c>
      <c r="FC58" s="44">
        <f t="shared" ref="FC58:FM58" si="266">SUM(FC10+FC16+FC22+FC28+FC34+FC40+FC46+FC52)</f>
        <v>3425</v>
      </c>
      <c r="FD58" s="44">
        <f t="shared" si="266"/>
        <v>2960</v>
      </c>
      <c r="FE58" s="44">
        <f t="shared" si="266"/>
        <v>3138</v>
      </c>
      <c r="FF58" s="44">
        <f t="shared" si="266"/>
        <v>2991</v>
      </c>
      <c r="FG58" s="44">
        <f t="shared" si="266"/>
        <v>2901</v>
      </c>
      <c r="FH58" s="44">
        <f t="shared" si="266"/>
        <v>2950</v>
      </c>
      <c r="FI58" s="44">
        <f t="shared" si="266"/>
        <v>3349</v>
      </c>
      <c r="FJ58" s="44">
        <f t="shared" si="266"/>
        <v>2886</v>
      </c>
      <c r="FK58" s="44">
        <f t="shared" si="266"/>
        <v>3138</v>
      </c>
      <c r="FL58" s="44">
        <f t="shared" si="266"/>
        <v>3386</v>
      </c>
      <c r="FM58" s="44">
        <f t="shared" si="266"/>
        <v>3349</v>
      </c>
      <c r="FN58" s="38">
        <f t="shared" si="20"/>
        <v>38613</v>
      </c>
      <c r="FO58" s="26"/>
      <c r="FP58" s="44">
        <f>SUM(FP10+FP16+FP22+FP28+FP34+FP40+FP46+FP52)</f>
        <v>2121</v>
      </c>
      <c r="FQ58" s="44">
        <f t="shared" ref="FQ58:GA58" si="267">SUM(FQ10+FQ16+FQ22+FQ28+FQ34+FQ40+FQ46+FQ52)</f>
        <v>1843</v>
      </c>
      <c r="FR58" s="44">
        <f t="shared" si="267"/>
        <v>1761</v>
      </c>
      <c r="FS58" s="44">
        <f t="shared" si="267"/>
        <v>1973</v>
      </c>
      <c r="FT58" s="44">
        <f t="shared" si="267"/>
        <v>1488</v>
      </c>
      <c r="FU58" s="44">
        <f t="shared" si="267"/>
        <v>1696</v>
      </c>
      <c r="FV58" s="44">
        <f t="shared" si="267"/>
        <v>1665</v>
      </c>
      <c r="FW58" s="44">
        <f t="shared" si="267"/>
        <v>1550</v>
      </c>
      <c r="FX58" s="44">
        <f t="shared" si="267"/>
        <v>1336</v>
      </c>
      <c r="FY58" s="44">
        <f t="shared" si="267"/>
        <v>1366</v>
      </c>
      <c r="FZ58" s="44">
        <f t="shared" si="267"/>
        <v>1407</v>
      </c>
      <c r="GA58" s="44">
        <f t="shared" si="267"/>
        <v>1302</v>
      </c>
      <c r="GB58" s="38">
        <f t="shared" si="21"/>
        <v>19508</v>
      </c>
      <c r="GC58" s="26"/>
      <c r="GD58" s="44">
        <f>SUM(GD10+GD16+GD22+GD28+GD34+GD40+GD46+GD52)</f>
        <v>1456</v>
      </c>
      <c r="GE58" s="44">
        <f t="shared" ref="GE58:GO58" si="268">SUM(GE10+GE16+GE22+GE28+GE34+GE40+GE46+GE52)</f>
        <v>1525</v>
      </c>
      <c r="GF58" s="44">
        <f t="shared" si="268"/>
        <v>1335</v>
      </c>
      <c r="GG58" s="44">
        <f t="shared" si="268"/>
        <v>1096</v>
      </c>
      <c r="GH58" s="44">
        <f t="shared" si="268"/>
        <v>1021</v>
      </c>
      <c r="GI58" s="44">
        <f t="shared" si="268"/>
        <v>933</v>
      </c>
      <c r="GJ58" s="44">
        <f t="shared" si="268"/>
        <v>1025</v>
      </c>
      <c r="GK58" s="44">
        <f t="shared" si="268"/>
        <v>1500</v>
      </c>
      <c r="GL58" s="44">
        <f t="shared" si="268"/>
        <v>1114</v>
      </c>
      <c r="GM58" s="44">
        <f t="shared" si="268"/>
        <v>1342</v>
      </c>
      <c r="GN58" s="44">
        <f t="shared" si="268"/>
        <v>1308</v>
      </c>
      <c r="GO58" s="44">
        <f t="shared" si="268"/>
        <v>1384</v>
      </c>
      <c r="GP58" s="38">
        <f t="shared" si="22"/>
        <v>15039</v>
      </c>
      <c r="GQ58" s="26"/>
      <c r="GR58" s="44">
        <f>SUM(GR10+GR16+GR22+GR28+GR34+GR40+GR46+GR52)</f>
        <v>477</v>
      </c>
      <c r="GS58" s="44">
        <f t="shared" ref="GS58:HC58" si="269">SUM(GS10+GS16+GS22+GS28+GS34+GS40+GS46+GS52)</f>
        <v>464</v>
      </c>
      <c r="GT58" s="44">
        <f t="shared" si="269"/>
        <v>613</v>
      </c>
      <c r="GU58" s="44">
        <f t="shared" si="269"/>
        <v>630</v>
      </c>
      <c r="GV58" s="44">
        <f t="shared" si="269"/>
        <v>512</v>
      </c>
      <c r="GW58" s="44">
        <f t="shared" si="269"/>
        <v>561</v>
      </c>
      <c r="GX58" s="44">
        <f t="shared" si="269"/>
        <v>448</v>
      </c>
      <c r="GY58" s="44">
        <f t="shared" si="269"/>
        <v>125</v>
      </c>
      <c r="GZ58" s="44">
        <f t="shared" si="269"/>
        <v>457</v>
      </c>
      <c r="HA58" s="44">
        <f t="shared" si="269"/>
        <v>321</v>
      </c>
      <c r="HB58" s="44">
        <f t="shared" si="269"/>
        <v>285</v>
      </c>
      <c r="HC58" s="44">
        <f t="shared" si="269"/>
        <v>269</v>
      </c>
      <c r="HD58" s="38">
        <f t="shared" si="23"/>
        <v>5162</v>
      </c>
      <c r="HE58" s="26"/>
      <c r="HF58" s="44">
        <f>SUM(HF10+HF16+HF22+HF28+HF34+HF40+HF46+HF52)</f>
        <v>4911</v>
      </c>
      <c r="HG58" s="44">
        <f t="shared" ref="HG58:HQ58" si="270">SUM(HG10+HG16+HG22+HG28+HG34+HG40+HG46+HG52)</f>
        <v>5085</v>
      </c>
      <c r="HH58" s="44">
        <f t="shared" si="270"/>
        <v>4748</v>
      </c>
      <c r="HI58" s="44">
        <f t="shared" si="270"/>
        <v>4457</v>
      </c>
      <c r="HJ58" s="44">
        <f t="shared" si="270"/>
        <v>4334</v>
      </c>
      <c r="HK58" s="44">
        <f t="shared" si="270"/>
        <v>4659</v>
      </c>
      <c r="HL58" s="44">
        <f t="shared" si="270"/>
        <v>4825</v>
      </c>
      <c r="HM58" s="44">
        <f t="shared" si="270"/>
        <v>5068</v>
      </c>
      <c r="HN58" s="44">
        <f t="shared" si="270"/>
        <v>5049</v>
      </c>
      <c r="HO58" s="44">
        <f t="shared" si="270"/>
        <v>5099</v>
      </c>
      <c r="HP58" s="44">
        <f t="shared" si="270"/>
        <v>4076</v>
      </c>
      <c r="HQ58" s="44">
        <f t="shared" si="270"/>
        <v>3623</v>
      </c>
      <c r="HR58" s="38">
        <f t="shared" si="24"/>
        <v>55934</v>
      </c>
      <c r="HS58" s="26"/>
      <c r="HT58" s="44">
        <f>SUM(HT10+HT16+HT22+HT28+HT34+HT40+HT46+HT52)</f>
        <v>2038</v>
      </c>
      <c r="HU58" s="44">
        <f t="shared" ref="HU58:IE58" si="271">SUM(HU10+HU16+HU22+HU28+HU34+HU40+HU46+HU52)</f>
        <v>1798</v>
      </c>
      <c r="HV58" s="44">
        <f t="shared" si="271"/>
        <v>2074</v>
      </c>
      <c r="HW58" s="44">
        <f t="shared" si="271"/>
        <v>1696</v>
      </c>
      <c r="HX58" s="44">
        <f t="shared" si="271"/>
        <v>1726</v>
      </c>
      <c r="HY58" s="44">
        <f t="shared" si="271"/>
        <v>1632</v>
      </c>
      <c r="HZ58" s="44">
        <f t="shared" si="271"/>
        <v>1499</v>
      </c>
      <c r="IA58" s="44">
        <f t="shared" si="271"/>
        <v>1661</v>
      </c>
      <c r="IB58" s="44">
        <f t="shared" si="271"/>
        <v>1674</v>
      </c>
      <c r="IC58" s="44">
        <f t="shared" si="271"/>
        <v>1691</v>
      </c>
      <c r="ID58" s="44">
        <f t="shared" si="271"/>
        <v>1555</v>
      </c>
      <c r="IE58" s="44">
        <f t="shared" si="271"/>
        <v>1241</v>
      </c>
      <c r="IF58" s="38">
        <f>SUM(HT58:IE58)</f>
        <v>20285</v>
      </c>
      <c r="IG58" s="44">
        <f>SUM(IG10+IG16+IG22+IG28+IG34+IG40+IG46+IG52)</f>
        <v>1839</v>
      </c>
      <c r="IH58" s="44">
        <f t="shared" ref="IH58:IR58" si="272">SUM(IH10+IH16+IH22+IH28+IH34+IH40+IH46+IH52)</f>
        <v>1581</v>
      </c>
      <c r="II58" s="44">
        <f t="shared" si="272"/>
        <v>1569</v>
      </c>
      <c r="IJ58" s="44">
        <f t="shared" si="272"/>
        <v>1370</v>
      </c>
      <c r="IK58" s="44">
        <f t="shared" si="272"/>
        <v>1244</v>
      </c>
      <c r="IL58" s="44">
        <f t="shared" si="272"/>
        <v>1847</v>
      </c>
      <c r="IM58" s="44">
        <f t="shared" si="272"/>
        <v>1846</v>
      </c>
      <c r="IN58" s="44">
        <f t="shared" si="272"/>
        <v>1516</v>
      </c>
      <c r="IO58" s="44">
        <f t="shared" si="272"/>
        <v>1427</v>
      </c>
      <c r="IP58" s="44">
        <f t="shared" si="272"/>
        <v>1554</v>
      </c>
      <c r="IQ58" s="44">
        <f t="shared" si="272"/>
        <v>2480</v>
      </c>
      <c r="IR58" s="44">
        <f t="shared" si="272"/>
        <v>1181</v>
      </c>
      <c r="IS58" s="38">
        <f t="shared" si="25"/>
        <v>19454</v>
      </c>
      <c r="IT58" s="36">
        <f t="shared" si="26"/>
        <v>39739</v>
      </c>
      <c r="IU58" s="26"/>
      <c r="IV58" s="44">
        <f>SUM(IV10+IV16+IV22+IV28+IV34+IV40+IV46+IV52)</f>
        <v>1838</v>
      </c>
      <c r="IW58" s="44">
        <f t="shared" ref="IW58:JG58" si="273">SUM(IW10+IW16+IW22+IW28+IW34+IW40+IW46+IW52)</f>
        <v>1639</v>
      </c>
      <c r="IX58" s="44">
        <f t="shared" si="273"/>
        <v>1787</v>
      </c>
      <c r="IY58" s="44">
        <f t="shared" si="273"/>
        <v>1800</v>
      </c>
      <c r="IZ58" s="44">
        <f t="shared" si="273"/>
        <v>1636</v>
      </c>
      <c r="JA58" s="44">
        <f t="shared" si="273"/>
        <v>1702</v>
      </c>
      <c r="JB58" s="44">
        <f t="shared" si="273"/>
        <v>1609</v>
      </c>
      <c r="JC58" s="44">
        <f t="shared" si="273"/>
        <v>1653</v>
      </c>
      <c r="JD58" s="44">
        <f t="shared" si="273"/>
        <v>1654</v>
      </c>
      <c r="JE58" s="44">
        <f t="shared" si="273"/>
        <v>1713</v>
      </c>
      <c r="JF58" s="44">
        <f t="shared" si="273"/>
        <v>1686</v>
      </c>
      <c r="JG58" s="44">
        <f t="shared" si="273"/>
        <v>1621</v>
      </c>
      <c r="JH58" s="38">
        <f t="shared" si="27"/>
        <v>20338</v>
      </c>
      <c r="JI58" s="44">
        <f>SUM(JI10+JI16+JI22+JI28+JI34+JI40+JI46+JI52)</f>
        <v>5870</v>
      </c>
      <c r="JJ58" s="44">
        <f t="shared" ref="JJ58:JT58" si="274">SUM(JJ10+JJ16+JJ22+JJ28+JJ34+JJ40+JJ46+JJ52)</f>
        <v>5072.7999999999993</v>
      </c>
      <c r="JK58" s="44">
        <f t="shared" si="274"/>
        <v>4490.3999999999996</v>
      </c>
      <c r="JL58" s="44">
        <f t="shared" si="274"/>
        <v>4127.3999999999996</v>
      </c>
      <c r="JM58" s="44">
        <f t="shared" si="274"/>
        <v>4151.8</v>
      </c>
      <c r="JN58" s="44">
        <f t="shared" si="274"/>
        <v>4462.2000000000007</v>
      </c>
      <c r="JO58" s="44">
        <f t="shared" si="274"/>
        <v>4645.8</v>
      </c>
      <c r="JP58" s="44">
        <f t="shared" si="274"/>
        <v>4552.2</v>
      </c>
      <c r="JQ58" s="44">
        <f t="shared" si="274"/>
        <v>4451</v>
      </c>
      <c r="JR58" s="44">
        <f t="shared" si="274"/>
        <v>4710.2</v>
      </c>
      <c r="JS58" s="44">
        <f t="shared" si="274"/>
        <v>4367.4000000000005</v>
      </c>
      <c r="JT58" s="44">
        <f t="shared" si="274"/>
        <v>4335.8000000000011</v>
      </c>
      <c r="JU58" s="38">
        <f t="shared" si="4"/>
        <v>55237</v>
      </c>
      <c r="JV58" s="36">
        <f t="shared" si="28"/>
        <v>75575</v>
      </c>
      <c r="JW58" s="26"/>
      <c r="JX58" s="44">
        <f>SUM(JX10+JX16+JX22+JX28+JX34+JX40+JX46+JX52)</f>
        <v>571</v>
      </c>
      <c r="JY58" s="44">
        <f t="shared" ref="JY58:KI58" si="275">SUM(JY10+JY16+JY22+JY28+JY34+JY40+JY46+JY52)</f>
        <v>522</v>
      </c>
      <c r="JZ58" s="44">
        <f t="shared" si="275"/>
        <v>586</v>
      </c>
      <c r="KA58" s="44">
        <f t="shared" si="275"/>
        <v>529</v>
      </c>
      <c r="KB58" s="44">
        <f t="shared" si="275"/>
        <v>424</v>
      </c>
      <c r="KC58" s="44">
        <f t="shared" si="275"/>
        <v>456</v>
      </c>
      <c r="KD58" s="44">
        <f t="shared" si="275"/>
        <v>604</v>
      </c>
      <c r="KE58" s="44">
        <f t="shared" si="275"/>
        <v>555</v>
      </c>
      <c r="KF58" s="44">
        <f t="shared" si="275"/>
        <v>514</v>
      </c>
      <c r="KG58" s="44">
        <f t="shared" si="275"/>
        <v>578</v>
      </c>
      <c r="KH58" s="44">
        <f t="shared" si="275"/>
        <v>461</v>
      </c>
      <c r="KI58" s="44">
        <f t="shared" si="275"/>
        <v>452</v>
      </c>
      <c r="KJ58" s="38">
        <f t="shared" si="29"/>
        <v>6252</v>
      </c>
      <c r="KK58" s="44">
        <f>SUM(KK10+KK16+KK22+KK28+KK34+KK40+KK46+KK52)</f>
        <v>4811</v>
      </c>
      <c r="KL58" s="44">
        <f t="shared" ref="KL58:KV58" si="276">SUM(KL10+KL16+KL22+KL28+KL34+KL40+KL46+KL52)</f>
        <v>3968</v>
      </c>
      <c r="KM58" s="44">
        <f t="shared" si="276"/>
        <v>4560</v>
      </c>
      <c r="KN58" s="44">
        <f t="shared" si="276"/>
        <v>4101</v>
      </c>
      <c r="KO58" s="44">
        <f t="shared" si="276"/>
        <v>3578</v>
      </c>
      <c r="KP58" s="44">
        <f t="shared" si="276"/>
        <v>3745</v>
      </c>
      <c r="KQ58" s="44">
        <f t="shared" si="276"/>
        <v>4313</v>
      </c>
      <c r="KR58" s="44">
        <f t="shared" si="276"/>
        <v>3893</v>
      </c>
      <c r="KS58" s="44">
        <f t="shared" si="276"/>
        <v>4244</v>
      </c>
      <c r="KT58" s="44">
        <f t="shared" si="276"/>
        <v>3945</v>
      </c>
      <c r="KU58" s="44">
        <f t="shared" si="276"/>
        <v>3502</v>
      </c>
      <c r="KV58" s="44">
        <f t="shared" si="276"/>
        <v>3572</v>
      </c>
      <c r="KW58" s="38">
        <f t="shared" si="5"/>
        <v>48232</v>
      </c>
      <c r="KX58" s="36">
        <f t="shared" si="30"/>
        <v>54484</v>
      </c>
      <c r="KY58" s="26"/>
      <c r="KZ58" s="44">
        <f>SUM(KZ10+KZ16+KZ22+KZ28+KZ34+KZ40+KZ46+KZ52)</f>
        <v>1586</v>
      </c>
      <c r="LA58" s="44">
        <f t="shared" ref="LA58:LK58" si="277">SUM(LA10+LA16+LA22+LA28+LA34+LA40+LA46+LA52)</f>
        <v>1374</v>
      </c>
      <c r="LB58" s="44">
        <f t="shared" si="277"/>
        <v>1647</v>
      </c>
      <c r="LC58" s="44">
        <f t="shared" si="277"/>
        <v>1738</v>
      </c>
      <c r="LD58" s="44">
        <f t="shared" si="277"/>
        <v>1461</v>
      </c>
      <c r="LE58" s="44">
        <f t="shared" si="277"/>
        <v>1464</v>
      </c>
      <c r="LF58" s="44">
        <f t="shared" si="277"/>
        <v>1344</v>
      </c>
      <c r="LG58" s="44">
        <f t="shared" si="277"/>
        <v>1486</v>
      </c>
      <c r="LH58" s="44">
        <f t="shared" si="277"/>
        <v>1470</v>
      </c>
      <c r="LI58" s="44">
        <f t="shared" si="277"/>
        <v>1335</v>
      </c>
      <c r="LJ58" s="44">
        <f t="shared" si="277"/>
        <v>1228</v>
      </c>
      <c r="LK58" s="44">
        <f t="shared" si="277"/>
        <v>1183</v>
      </c>
      <c r="LL58" s="38">
        <f>SUM(KZ58:LK58)</f>
        <v>17316</v>
      </c>
      <c r="LM58" s="26"/>
      <c r="LN58" s="44">
        <f>SUM(LN10+LN16+LN22+LN28+LN34+LN40+LN46+LN52)</f>
        <v>6873</v>
      </c>
      <c r="LO58" s="44">
        <f t="shared" ref="LO58:LY58" si="278">SUM(LO10+LO16+LO22+LO28+LO34+LO40+LO46+LO52)</f>
        <v>6958</v>
      </c>
      <c r="LP58" s="44">
        <f t="shared" si="278"/>
        <v>6990</v>
      </c>
      <c r="LQ58" s="44">
        <f t="shared" si="278"/>
        <v>6426</v>
      </c>
      <c r="LR58" s="44">
        <f t="shared" si="278"/>
        <v>5649</v>
      </c>
      <c r="LS58" s="44">
        <f t="shared" si="278"/>
        <v>5739</v>
      </c>
      <c r="LT58" s="44">
        <f t="shared" si="278"/>
        <v>6319</v>
      </c>
      <c r="LU58" s="44">
        <f t="shared" si="278"/>
        <v>6902</v>
      </c>
      <c r="LV58" s="44">
        <f t="shared" si="278"/>
        <v>5650</v>
      </c>
      <c r="LW58" s="44">
        <f t="shared" si="278"/>
        <v>5978</v>
      </c>
      <c r="LX58" s="44">
        <f t="shared" si="278"/>
        <v>4941</v>
      </c>
      <c r="LY58" s="44">
        <f t="shared" si="278"/>
        <v>5004</v>
      </c>
      <c r="LZ58" s="38">
        <f t="shared" si="31"/>
        <v>73429</v>
      </c>
      <c r="MA58" s="26"/>
      <c r="MB58" s="44">
        <f>SUM(MB10+MB16+MB22+MB28+MB34+MB40+MB46+MB52)</f>
        <v>10911</v>
      </c>
      <c r="MC58" s="44">
        <f t="shared" ref="MC58:MM58" si="279">SUM(MC10+MC16+MC22+MC28+MC34+MC40+MC46+MC52)</f>
        <v>9346</v>
      </c>
      <c r="MD58" s="44">
        <f t="shared" si="279"/>
        <v>9715</v>
      </c>
      <c r="ME58" s="44">
        <f t="shared" si="279"/>
        <v>9200</v>
      </c>
      <c r="MF58" s="44">
        <f t="shared" si="279"/>
        <v>8293</v>
      </c>
      <c r="MG58" s="44">
        <f t="shared" si="279"/>
        <v>6795</v>
      </c>
      <c r="MH58" s="44">
        <f t="shared" si="279"/>
        <v>8729</v>
      </c>
      <c r="MI58" s="44">
        <f t="shared" si="279"/>
        <v>9942</v>
      </c>
      <c r="MJ58" s="44">
        <f t="shared" si="279"/>
        <v>8815</v>
      </c>
      <c r="MK58" s="44">
        <f t="shared" si="279"/>
        <v>9358</v>
      </c>
      <c r="ML58" s="44">
        <f t="shared" si="279"/>
        <v>9084</v>
      </c>
      <c r="MM58" s="44">
        <f t="shared" si="279"/>
        <v>6830</v>
      </c>
      <c r="MN58" s="38">
        <f>SUM(MB58:MM58)</f>
        <v>107018</v>
      </c>
      <c r="MO58" s="44">
        <f>SUM(MO10+MO16+MO22+MO28+MO34+MO40+MO46+MO52)</f>
        <v>6296</v>
      </c>
      <c r="MP58" s="44">
        <f t="shared" ref="MP58:MZ58" si="280">SUM(MP10+MP16+MP22+MP28+MP34+MP40+MP46+MP52)</f>
        <v>4404</v>
      </c>
      <c r="MQ58" s="44">
        <f t="shared" si="280"/>
        <v>4521</v>
      </c>
      <c r="MR58" s="44">
        <f t="shared" si="280"/>
        <v>4129</v>
      </c>
      <c r="MS58" s="44">
        <f t="shared" si="280"/>
        <v>4006</v>
      </c>
      <c r="MT58" s="44">
        <f t="shared" si="280"/>
        <v>4204</v>
      </c>
      <c r="MU58" s="44">
        <f t="shared" si="280"/>
        <v>5969</v>
      </c>
      <c r="MV58" s="44">
        <f t="shared" si="280"/>
        <v>5595</v>
      </c>
      <c r="MW58" s="44">
        <f t="shared" si="280"/>
        <v>6562</v>
      </c>
      <c r="MX58" s="44">
        <f t="shared" si="280"/>
        <v>6753</v>
      </c>
      <c r="MY58" s="44">
        <f t="shared" si="280"/>
        <v>5449</v>
      </c>
      <c r="MZ58" s="44">
        <f t="shared" si="280"/>
        <v>4187</v>
      </c>
      <c r="NA58" s="38">
        <f t="shared" si="33"/>
        <v>62075</v>
      </c>
      <c r="NB58" s="36">
        <f t="shared" si="34"/>
        <v>169093</v>
      </c>
      <c r="NC58" s="26"/>
      <c r="ND58" s="44">
        <f>SUM(ND10+ND16+ND22+ND28+ND34+ND40+ND46+ND52)</f>
        <v>1373</v>
      </c>
      <c r="NE58" s="44">
        <f t="shared" ref="NE58:NO58" si="281">SUM(NE10+NE16+NE22+NE28+NE34+NE40+NE46+NE52)</f>
        <v>1277</v>
      </c>
      <c r="NF58" s="44">
        <f t="shared" si="281"/>
        <v>1148</v>
      </c>
      <c r="NG58" s="44">
        <f t="shared" si="281"/>
        <v>1055</v>
      </c>
      <c r="NH58" s="44">
        <f t="shared" si="281"/>
        <v>961</v>
      </c>
      <c r="NI58" s="44">
        <f t="shared" si="281"/>
        <v>1075</v>
      </c>
      <c r="NJ58" s="44">
        <f t="shared" si="281"/>
        <v>1277</v>
      </c>
      <c r="NK58" s="44">
        <f t="shared" si="281"/>
        <v>1272</v>
      </c>
      <c r="NL58" s="44">
        <f t="shared" si="281"/>
        <v>1263</v>
      </c>
      <c r="NM58" s="44">
        <f t="shared" si="281"/>
        <v>1422</v>
      </c>
      <c r="NN58" s="44">
        <f t="shared" si="281"/>
        <v>844</v>
      </c>
      <c r="NO58" s="44">
        <f t="shared" si="281"/>
        <v>974</v>
      </c>
      <c r="NP58" s="38">
        <f t="shared" si="35"/>
        <v>13941</v>
      </c>
      <c r="NQ58" s="36">
        <f t="shared" si="36"/>
        <v>195762.87878787878</v>
      </c>
      <c r="NR58" s="36">
        <f t="shared" si="37"/>
        <v>637175.81818181812</v>
      </c>
      <c r="NS58" s="36">
        <f t="shared" si="38"/>
        <v>219062</v>
      </c>
      <c r="NT58" s="36">
        <f t="shared" si="39"/>
        <v>1052000.6969696968</v>
      </c>
      <c r="NU58" s="21"/>
      <c r="NV58" s="21"/>
      <c r="NW58" s="21"/>
      <c r="NX58" s="21"/>
      <c r="NY58" s="21"/>
      <c r="NZ58" s="21"/>
      <c r="OA58" s="21"/>
      <c r="OB58" s="21"/>
      <c r="OC58" s="21"/>
      <c r="OD58" s="21"/>
      <c r="OE58" s="21"/>
      <c r="OF58" s="21"/>
      <c r="OG58" s="21"/>
      <c r="OH58" s="21"/>
      <c r="OI58" s="21"/>
      <c r="OJ58" s="21"/>
      <c r="OK58" s="21"/>
      <c r="OL58" s="21"/>
      <c r="OM58" s="21"/>
      <c r="ON58" s="21"/>
      <c r="OO58" s="21"/>
      <c r="OP58" s="21"/>
      <c r="OQ58" s="21"/>
      <c r="OR58" s="21"/>
      <c r="OS58" s="21"/>
      <c r="OT58" s="21"/>
      <c r="OU58" s="21"/>
      <c r="OV58" s="21"/>
      <c r="OW58" s="21"/>
      <c r="OX58" s="21"/>
      <c r="OY58" s="21"/>
      <c r="OZ58" s="21"/>
      <c r="PA58" s="21"/>
      <c r="PB58" s="21"/>
      <c r="PC58" s="21"/>
      <c r="PD58" s="21"/>
      <c r="PE58" s="21"/>
      <c r="PF58" s="21"/>
      <c r="PG58" s="21"/>
      <c r="PH58" s="21"/>
      <c r="PI58" s="21"/>
      <c r="PJ58" s="21"/>
      <c r="PK58" s="21"/>
      <c r="PL58" s="21"/>
      <c r="PM58" s="21"/>
      <c r="PN58" s="21"/>
      <c r="PO58" s="21"/>
      <c r="PP58" s="21"/>
      <c r="PQ58" s="21"/>
      <c r="PR58" s="21"/>
      <c r="PS58" s="21"/>
      <c r="PT58" s="21"/>
      <c r="PU58" s="21"/>
      <c r="PV58" s="21"/>
      <c r="PW58" s="21"/>
      <c r="PX58" s="21"/>
      <c r="PY58" s="21"/>
      <c r="PZ58" s="21"/>
      <c r="QA58" s="21"/>
      <c r="QB58" s="21"/>
      <c r="QC58" s="21"/>
      <c r="QD58" s="21"/>
      <c r="QE58" s="21"/>
      <c r="QF58" s="21"/>
      <c r="QG58" s="21"/>
      <c r="QH58" s="21"/>
      <c r="QI58" s="21"/>
      <c r="QJ58" s="21"/>
      <c r="QK58" s="21"/>
      <c r="QL58" s="21"/>
      <c r="QM58" s="21"/>
      <c r="QN58" s="21"/>
      <c r="QO58" s="21"/>
      <c r="QP58" s="21"/>
    </row>
    <row r="59" spans="1:458" ht="50.1" customHeight="1" x14ac:dyDescent="0.25">
      <c r="A59" s="131"/>
      <c r="B59" s="6" t="s">
        <v>18</v>
      </c>
      <c r="C59" s="25"/>
      <c r="D59" s="44">
        <f t="shared" ref="D59:O59" si="282">SUM(D11+D17+D23+D29+D35+D41+D47+D53)</f>
        <v>743.90909090909088</v>
      </c>
      <c r="E59" s="44">
        <f t="shared" si="282"/>
        <v>661</v>
      </c>
      <c r="F59" s="44">
        <f t="shared" si="282"/>
        <v>627.88888888888891</v>
      </c>
      <c r="G59" s="44">
        <f t="shared" si="282"/>
        <v>509</v>
      </c>
      <c r="H59" s="44">
        <f t="shared" si="282"/>
        <v>445</v>
      </c>
      <c r="I59" s="44">
        <f t="shared" si="282"/>
        <v>302</v>
      </c>
      <c r="J59" s="44">
        <f t="shared" si="282"/>
        <v>354</v>
      </c>
      <c r="K59" s="44">
        <f t="shared" si="282"/>
        <v>468</v>
      </c>
      <c r="L59" s="44">
        <f t="shared" si="282"/>
        <v>481</v>
      </c>
      <c r="M59" s="44">
        <f t="shared" si="282"/>
        <v>502</v>
      </c>
      <c r="N59" s="44">
        <f t="shared" si="282"/>
        <v>419</v>
      </c>
      <c r="O59" s="44">
        <f t="shared" si="282"/>
        <v>339</v>
      </c>
      <c r="P59" s="38">
        <f t="shared" si="7"/>
        <v>5851.7979797979797</v>
      </c>
      <c r="Q59" s="37">
        <f t="shared" ref="Q59:AB59" si="283">SUM(Q11+Q17+Q23+Q29+Q35+Q41+Q47+Q53)</f>
        <v>4476</v>
      </c>
      <c r="R59" s="37">
        <f t="shared" si="283"/>
        <v>3684</v>
      </c>
      <c r="S59" s="37">
        <f t="shared" si="283"/>
        <v>2804</v>
      </c>
      <c r="T59" s="37">
        <f t="shared" si="283"/>
        <v>2409</v>
      </c>
      <c r="U59" s="37">
        <f t="shared" si="283"/>
        <v>2093</v>
      </c>
      <c r="V59" s="37">
        <f t="shared" si="283"/>
        <v>2628</v>
      </c>
      <c r="W59" s="37">
        <f t="shared" si="283"/>
        <v>2730</v>
      </c>
      <c r="X59" s="37">
        <f t="shared" si="283"/>
        <v>2456</v>
      </c>
      <c r="Y59" s="37">
        <f t="shared" si="283"/>
        <v>2051</v>
      </c>
      <c r="Z59" s="37">
        <f t="shared" si="283"/>
        <v>2018</v>
      </c>
      <c r="AA59" s="37">
        <f t="shared" si="283"/>
        <v>1865</v>
      </c>
      <c r="AB59" s="37">
        <f t="shared" si="283"/>
        <v>2408</v>
      </c>
      <c r="AC59" s="38">
        <f t="shared" si="8"/>
        <v>31622</v>
      </c>
      <c r="AD59" s="36">
        <f t="shared" si="9"/>
        <v>37473.797979797979</v>
      </c>
      <c r="AE59" s="26"/>
      <c r="AF59" s="44">
        <f t="shared" ref="AF59:AQ59" si="284">SUM(AF11+AF17+AF23+AF29+AF35+AF41+AF47+AF53)</f>
        <v>43</v>
      </c>
      <c r="AG59" s="44">
        <f t="shared" si="284"/>
        <v>31</v>
      </c>
      <c r="AH59" s="44">
        <f t="shared" si="284"/>
        <v>15</v>
      </c>
      <c r="AI59" s="44">
        <f t="shared" si="284"/>
        <v>21</v>
      </c>
      <c r="AJ59" s="44">
        <f t="shared" si="284"/>
        <v>24</v>
      </c>
      <c r="AK59" s="44">
        <f t="shared" si="284"/>
        <v>12</v>
      </c>
      <c r="AL59" s="44">
        <f t="shared" si="284"/>
        <v>21</v>
      </c>
      <c r="AM59" s="44">
        <f t="shared" si="284"/>
        <v>100</v>
      </c>
      <c r="AN59" s="44">
        <f t="shared" si="284"/>
        <v>116</v>
      </c>
      <c r="AO59" s="44">
        <f t="shared" si="284"/>
        <v>147</v>
      </c>
      <c r="AP59" s="44">
        <f t="shared" si="284"/>
        <v>138</v>
      </c>
      <c r="AQ59" s="44">
        <f t="shared" si="284"/>
        <v>97</v>
      </c>
      <c r="AR59" s="38">
        <f t="shared" si="10"/>
        <v>765</v>
      </c>
      <c r="AS59" s="44">
        <f t="shared" ref="AS59:BD59" si="285">SUM(AS11+AS17+AS23+AS29+AS35+AS41+AS47+AS53)</f>
        <v>218</v>
      </c>
      <c r="AT59" s="44">
        <f t="shared" si="285"/>
        <v>136</v>
      </c>
      <c r="AU59" s="44">
        <f t="shared" si="285"/>
        <v>126</v>
      </c>
      <c r="AV59" s="44">
        <f t="shared" si="285"/>
        <v>134</v>
      </c>
      <c r="AW59" s="44">
        <f t="shared" si="285"/>
        <v>195</v>
      </c>
      <c r="AX59" s="44">
        <f t="shared" si="285"/>
        <v>150</v>
      </c>
      <c r="AY59" s="44">
        <f t="shared" si="285"/>
        <v>228</v>
      </c>
      <c r="AZ59" s="44">
        <f t="shared" si="285"/>
        <v>110</v>
      </c>
      <c r="BA59" s="44">
        <f t="shared" si="285"/>
        <v>96</v>
      </c>
      <c r="BB59" s="44">
        <f t="shared" si="285"/>
        <v>72</v>
      </c>
      <c r="BC59" s="44">
        <f t="shared" si="285"/>
        <v>104</v>
      </c>
      <c r="BD59" s="44">
        <f t="shared" si="285"/>
        <v>56</v>
      </c>
      <c r="BE59" s="38">
        <f t="shared" si="11"/>
        <v>1625</v>
      </c>
      <c r="BF59" s="36">
        <f t="shared" si="12"/>
        <v>2390</v>
      </c>
      <c r="BG59" s="26"/>
      <c r="BH59" s="44">
        <f t="shared" ref="BH59:BS59" si="286">SUM(BH11+BH17+BH23+BH29+BH35+BH41+BH47+BH53)</f>
        <v>218</v>
      </c>
      <c r="BI59" s="44">
        <f t="shared" si="286"/>
        <v>208</v>
      </c>
      <c r="BJ59" s="44">
        <f t="shared" si="286"/>
        <v>172</v>
      </c>
      <c r="BK59" s="44">
        <f t="shared" si="286"/>
        <v>176</v>
      </c>
      <c r="BL59" s="44">
        <f t="shared" si="286"/>
        <v>143</v>
      </c>
      <c r="BM59" s="44">
        <f t="shared" si="286"/>
        <v>120</v>
      </c>
      <c r="BN59" s="44">
        <f t="shared" si="286"/>
        <v>137</v>
      </c>
      <c r="BO59" s="44">
        <f t="shared" si="286"/>
        <v>146</v>
      </c>
      <c r="BP59" s="44">
        <f t="shared" si="286"/>
        <v>108</v>
      </c>
      <c r="BQ59" s="44">
        <f t="shared" si="286"/>
        <v>158</v>
      </c>
      <c r="BR59" s="44">
        <f t="shared" si="286"/>
        <v>147</v>
      </c>
      <c r="BS59" s="44">
        <f t="shared" si="286"/>
        <v>76</v>
      </c>
      <c r="BT59" s="38">
        <f t="shared" si="13"/>
        <v>1809</v>
      </c>
      <c r="BU59" s="60">
        <f t="shared" ref="BU59:CF59" si="287">SUM(BU11+BU17+BU23+BU29+BU35+BU41+BU47+BU53)</f>
        <v>226</v>
      </c>
      <c r="BV59" s="60">
        <f t="shared" si="287"/>
        <v>245</v>
      </c>
      <c r="BW59" s="60">
        <f t="shared" si="287"/>
        <v>271</v>
      </c>
      <c r="BX59" s="60">
        <f t="shared" si="287"/>
        <v>213</v>
      </c>
      <c r="BY59" s="60">
        <f t="shared" si="287"/>
        <v>230</v>
      </c>
      <c r="BZ59" s="60">
        <f t="shared" si="287"/>
        <v>158</v>
      </c>
      <c r="CA59" s="60">
        <f t="shared" si="287"/>
        <v>145</v>
      </c>
      <c r="CB59" s="60">
        <f t="shared" si="287"/>
        <v>170</v>
      </c>
      <c r="CC59" s="60">
        <f t="shared" si="287"/>
        <v>186</v>
      </c>
      <c r="CD59" s="60">
        <f t="shared" si="287"/>
        <v>209</v>
      </c>
      <c r="CE59" s="60">
        <f t="shared" si="287"/>
        <v>162.66666666666669</v>
      </c>
      <c r="CF59" s="60">
        <f t="shared" si="287"/>
        <v>205.15151515151516</v>
      </c>
      <c r="CG59" s="61">
        <f t="shared" si="14"/>
        <v>2420.8181818181815</v>
      </c>
      <c r="CH59" s="57">
        <f t="shared" si="15"/>
        <v>4229.818181818182</v>
      </c>
      <c r="CI59" s="26"/>
      <c r="CJ59" s="44">
        <f t="shared" ref="CJ59:CU59" si="288">SUM(CJ11+CJ17+CJ23+CJ29+CJ35+CJ41+CJ47+CJ53)</f>
        <v>112</v>
      </c>
      <c r="CK59" s="44">
        <f t="shared" si="288"/>
        <v>81</v>
      </c>
      <c r="CL59" s="44">
        <f t="shared" si="288"/>
        <v>145</v>
      </c>
      <c r="CM59" s="44">
        <f t="shared" si="288"/>
        <v>127</v>
      </c>
      <c r="CN59" s="44">
        <f t="shared" si="288"/>
        <v>95</v>
      </c>
      <c r="CO59" s="44">
        <f t="shared" si="288"/>
        <v>95</v>
      </c>
      <c r="CP59" s="44">
        <f t="shared" si="288"/>
        <v>65</v>
      </c>
      <c r="CQ59" s="44">
        <f t="shared" si="288"/>
        <v>93</v>
      </c>
      <c r="CR59" s="44">
        <f t="shared" si="288"/>
        <v>90</v>
      </c>
      <c r="CS59" s="44">
        <f t="shared" si="288"/>
        <v>91</v>
      </c>
      <c r="CT59" s="44">
        <f t="shared" si="288"/>
        <v>81</v>
      </c>
      <c r="CU59" s="44">
        <f t="shared" si="288"/>
        <v>65</v>
      </c>
      <c r="CV59" s="38">
        <f t="shared" si="16"/>
        <v>1140</v>
      </c>
      <c r="CW59" s="44">
        <f t="shared" ref="CW59:DH59" si="289">SUM(CW11+CW17+CW23+CW29+CW35+CW41+CW47+CW53)</f>
        <v>760</v>
      </c>
      <c r="CX59" s="44">
        <f t="shared" si="289"/>
        <v>781</v>
      </c>
      <c r="CY59" s="44">
        <f t="shared" si="289"/>
        <v>838</v>
      </c>
      <c r="CZ59" s="44">
        <f t="shared" si="289"/>
        <v>742</v>
      </c>
      <c r="DA59" s="44">
        <f t="shared" si="289"/>
        <v>747</v>
      </c>
      <c r="DB59" s="44">
        <f t="shared" si="289"/>
        <v>698</v>
      </c>
      <c r="DC59" s="44">
        <f t="shared" si="289"/>
        <v>608</v>
      </c>
      <c r="DD59" s="44">
        <f t="shared" si="289"/>
        <v>798</v>
      </c>
      <c r="DE59" s="44">
        <f t="shared" si="289"/>
        <v>579</v>
      </c>
      <c r="DF59" s="44">
        <f t="shared" si="289"/>
        <v>592</v>
      </c>
      <c r="DG59" s="44">
        <f t="shared" si="289"/>
        <v>532</v>
      </c>
      <c r="DH59" s="44">
        <f t="shared" si="289"/>
        <v>515</v>
      </c>
      <c r="DI59" s="38">
        <f t="shared" si="0"/>
        <v>8190</v>
      </c>
      <c r="DJ59" s="36">
        <f t="shared" si="17"/>
        <v>9330</v>
      </c>
      <c r="DK59" s="26"/>
      <c r="DL59" s="7">
        <f t="shared" ref="DL59:DW59" si="290">SUM(DL11+DL17+DL23+DL29+DL35+DL41+DL47+DL53)</f>
        <v>14</v>
      </c>
      <c r="DM59" s="7">
        <f t="shared" si="290"/>
        <v>13</v>
      </c>
      <c r="DN59" s="7">
        <f t="shared" si="290"/>
        <v>6</v>
      </c>
      <c r="DO59" s="7">
        <f t="shared" si="290"/>
        <v>11</v>
      </c>
      <c r="DP59" s="7">
        <f t="shared" si="290"/>
        <v>6</v>
      </c>
      <c r="DQ59" s="7">
        <f t="shared" si="290"/>
        <v>2</v>
      </c>
      <c r="DR59" s="7">
        <f t="shared" si="290"/>
        <v>2</v>
      </c>
      <c r="DS59" s="7">
        <f t="shared" si="290"/>
        <v>2</v>
      </c>
      <c r="DT59" s="7">
        <f t="shared" si="290"/>
        <v>1</v>
      </c>
      <c r="DU59" s="7">
        <f t="shared" si="290"/>
        <v>63</v>
      </c>
      <c r="DV59" s="7">
        <f t="shared" si="290"/>
        <v>6</v>
      </c>
      <c r="DW59" s="52">
        <f t="shared" si="290"/>
        <v>5</v>
      </c>
      <c r="DX59" s="38">
        <f t="shared" si="1"/>
        <v>131</v>
      </c>
      <c r="DY59" s="44">
        <f t="shared" ref="DY59:EJ59" si="291">SUM(DY11+DY17+DY23+DY29+DY35+DY41+DY47+DY53)</f>
        <v>326</v>
      </c>
      <c r="DZ59" s="44">
        <f t="shared" si="291"/>
        <v>303</v>
      </c>
      <c r="EA59" s="44">
        <f t="shared" si="291"/>
        <v>464</v>
      </c>
      <c r="EB59" s="44">
        <f t="shared" si="291"/>
        <v>337</v>
      </c>
      <c r="EC59" s="44">
        <f t="shared" si="291"/>
        <v>371</v>
      </c>
      <c r="ED59" s="44">
        <f t="shared" si="291"/>
        <v>321</v>
      </c>
      <c r="EE59" s="44">
        <f t="shared" si="291"/>
        <v>348</v>
      </c>
      <c r="EF59" s="44">
        <f t="shared" si="291"/>
        <v>282</v>
      </c>
      <c r="EG59" s="44">
        <f t="shared" si="291"/>
        <v>281</v>
      </c>
      <c r="EH59" s="44">
        <f t="shared" si="291"/>
        <v>254</v>
      </c>
      <c r="EI59" s="44">
        <f t="shared" si="291"/>
        <v>227</v>
      </c>
      <c r="EJ59" s="44">
        <f t="shared" si="291"/>
        <v>214</v>
      </c>
      <c r="EK59" s="38">
        <f t="shared" si="18"/>
        <v>3728</v>
      </c>
      <c r="EL59" s="36">
        <f t="shared" si="19"/>
        <v>3859</v>
      </c>
      <c r="EM59" s="26"/>
      <c r="EN59" s="44">
        <f t="shared" ref="EN59:EY59" si="292">SUM(EN11+EN17+EN23+EN29+EN35+EN41+EN47+EN53)</f>
        <v>714</v>
      </c>
      <c r="EO59" s="44">
        <f t="shared" si="292"/>
        <v>627</v>
      </c>
      <c r="EP59" s="44">
        <f t="shared" si="292"/>
        <v>796</v>
      </c>
      <c r="EQ59" s="44">
        <f t="shared" si="292"/>
        <v>683</v>
      </c>
      <c r="ER59" s="44">
        <f t="shared" si="292"/>
        <v>605</v>
      </c>
      <c r="ES59" s="44">
        <f t="shared" si="292"/>
        <v>446</v>
      </c>
      <c r="ET59" s="44">
        <f t="shared" si="292"/>
        <v>456</v>
      </c>
      <c r="EU59" s="44">
        <f t="shared" si="292"/>
        <v>470</v>
      </c>
      <c r="EV59" s="44">
        <f t="shared" si="292"/>
        <v>579</v>
      </c>
      <c r="EW59" s="44">
        <f t="shared" si="292"/>
        <v>804</v>
      </c>
      <c r="EX59" s="44">
        <f t="shared" si="292"/>
        <v>504</v>
      </c>
      <c r="EY59" s="44">
        <f t="shared" si="292"/>
        <v>608</v>
      </c>
      <c r="EZ59" s="38">
        <f t="shared" ref="EZ59:EZ62" si="293">SUM(EN59:EY59)</f>
        <v>7292</v>
      </c>
      <c r="FA59" s="26"/>
      <c r="FB59" s="44">
        <f t="shared" ref="FB59:FM59" si="294">SUM(FB11+FB17+FB23+FB29+FB35+FB41+FB47+FB53)</f>
        <v>708</v>
      </c>
      <c r="FC59" s="44">
        <f t="shared" si="294"/>
        <v>655</v>
      </c>
      <c r="FD59" s="44">
        <f t="shared" si="294"/>
        <v>590</v>
      </c>
      <c r="FE59" s="44">
        <f t="shared" si="294"/>
        <v>553</v>
      </c>
      <c r="FF59" s="44">
        <f t="shared" si="294"/>
        <v>418</v>
      </c>
      <c r="FG59" s="44">
        <f t="shared" si="294"/>
        <v>385</v>
      </c>
      <c r="FH59" s="44">
        <f t="shared" si="294"/>
        <v>381</v>
      </c>
      <c r="FI59" s="44">
        <f t="shared" si="294"/>
        <v>394</v>
      </c>
      <c r="FJ59" s="44">
        <f t="shared" si="294"/>
        <v>528</v>
      </c>
      <c r="FK59" s="44">
        <f t="shared" si="294"/>
        <v>519</v>
      </c>
      <c r="FL59" s="44">
        <f t="shared" si="294"/>
        <v>618</v>
      </c>
      <c r="FM59" s="44">
        <f t="shared" si="294"/>
        <v>633</v>
      </c>
      <c r="FN59" s="38">
        <f t="shared" si="20"/>
        <v>6382</v>
      </c>
      <c r="FO59" s="26"/>
      <c r="FP59" s="44">
        <f t="shared" ref="FP59:GA59" si="295">SUM(FP11+FP17+FP23+FP29+FP35+FP41+FP47+FP53)</f>
        <v>205</v>
      </c>
      <c r="FQ59" s="44">
        <f t="shared" si="295"/>
        <v>165</v>
      </c>
      <c r="FR59" s="44">
        <f t="shared" si="295"/>
        <v>148</v>
      </c>
      <c r="FS59" s="44">
        <f t="shared" si="295"/>
        <v>297</v>
      </c>
      <c r="FT59" s="44">
        <f t="shared" si="295"/>
        <v>142</v>
      </c>
      <c r="FU59" s="44">
        <f t="shared" si="295"/>
        <v>201</v>
      </c>
      <c r="FV59" s="44">
        <f t="shared" si="295"/>
        <v>146</v>
      </c>
      <c r="FW59" s="44">
        <f t="shared" si="295"/>
        <v>127</v>
      </c>
      <c r="FX59" s="44">
        <f t="shared" si="295"/>
        <v>131</v>
      </c>
      <c r="FY59" s="44">
        <f t="shared" si="295"/>
        <v>151</v>
      </c>
      <c r="FZ59" s="44">
        <f t="shared" si="295"/>
        <v>109</v>
      </c>
      <c r="GA59" s="44">
        <f t="shared" si="295"/>
        <v>90</v>
      </c>
      <c r="GB59" s="38">
        <f t="shared" si="21"/>
        <v>1912</v>
      </c>
      <c r="GC59" s="26"/>
      <c r="GD59" s="44">
        <f t="shared" ref="GD59:GO59" si="296">SUM(GD11+GD17+GD23+GD29+GD35+GD41+GD47+GD53)</f>
        <v>389</v>
      </c>
      <c r="GE59" s="44">
        <f t="shared" si="296"/>
        <v>303</v>
      </c>
      <c r="GF59" s="44">
        <f t="shared" si="296"/>
        <v>304</v>
      </c>
      <c r="GG59" s="44">
        <f t="shared" si="296"/>
        <v>312</v>
      </c>
      <c r="GH59" s="44">
        <f t="shared" si="296"/>
        <v>364</v>
      </c>
      <c r="GI59" s="44">
        <f t="shared" si="296"/>
        <v>370</v>
      </c>
      <c r="GJ59" s="44">
        <f t="shared" si="296"/>
        <v>262</v>
      </c>
      <c r="GK59" s="44">
        <f t="shared" si="296"/>
        <v>419</v>
      </c>
      <c r="GL59" s="44">
        <f t="shared" si="296"/>
        <v>359</v>
      </c>
      <c r="GM59" s="44">
        <f t="shared" si="296"/>
        <v>375</v>
      </c>
      <c r="GN59" s="44">
        <f t="shared" si="296"/>
        <v>343</v>
      </c>
      <c r="GO59" s="44">
        <f t="shared" si="296"/>
        <v>325</v>
      </c>
      <c r="GP59" s="38">
        <f t="shared" si="22"/>
        <v>4125</v>
      </c>
      <c r="GQ59" s="26"/>
      <c r="GR59" s="44">
        <f t="shared" ref="GR59:HC59" si="297">SUM(GR11+GR17+GR23+GR29+GR35+GR41+GR47+GR53)</f>
        <v>105</v>
      </c>
      <c r="GS59" s="44">
        <f t="shared" si="297"/>
        <v>70</v>
      </c>
      <c r="GT59" s="44">
        <f t="shared" si="297"/>
        <v>75</v>
      </c>
      <c r="GU59" s="44">
        <f t="shared" si="297"/>
        <v>78</v>
      </c>
      <c r="GV59" s="44">
        <f t="shared" si="297"/>
        <v>96</v>
      </c>
      <c r="GW59" s="44">
        <f t="shared" si="297"/>
        <v>56</v>
      </c>
      <c r="GX59" s="44">
        <f t="shared" si="297"/>
        <v>75</v>
      </c>
      <c r="GY59" s="44">
        <f t="shared" si="297"/>
        <v>32</v>
      </c>
      <c r="GZ59" s="44">
        <f t="shared" si="297"/>
        <v>59</v>
      </c>
      <c r="HA59" s="44">
        <f t="shared" si="297"/>
        <v>51</v>
      </c>
      <c r="HB59" s="44">
        <f t="shared" si="297"/>
        <v>62</v>
      </c>
      <c r="HC59" s="44">
        <f t="shared" si="297"/>
        <v>34</v>
      </c>
      <c r="HD59" s="38">
        <f t="shared" si="23"/>
        <v>793</v>
      </c>
      <c r="HE59" s="26"/>
      <c r="HF59" s="44">
        <f t="shared" ref="HF59:HQ59" si="298">SUM(HF11+HF17+HF23+HF29+HF35+HF41+HF47+HF53)</f>
        <v>989</v>
      </c>
      <c r="HG59" s="44">
        <f t="shared" si="298"/>
        <v>1090</v>
      </c>
      <c r="HH59" s="44">
        <f t="shared" si="298"/>
        <v>985</v>
      </c>
      <c r="HI59" s="44">
        <f t="shared" si="298"/>
        <v>922</v>
      </c>
      <c r="HJ59" s="44">
        <f t="shared" si="298"/>
        <v>906</v>
      </c>
      <c r="HK59" s="44">
        <f t="shared" si="298"/>
        <v>912</v>
      </c>
      <c r="HL59" s="44">
        <f t="shared" si="298"/>
        <v>767</v>
      </c>
      <c r="HM59" s="44">
        <f t="shared" si="298"/>
        <v>755</v>
      </c>
      <c r="HN59" s="44">
        <f t="shared" si="298"/>
        <v>810</v>
      </c>
      <c r="HO59" s="44">
        <f t="shared" si="298"/>
        <v>799</v>
      </c>
      <c r="HP59" s="44">
        <f t="shared" si="298"/>
        <v>795</v>
      </c>
      <c r="HQ59" s="44">
        <f t="shared" si="298"/>
        <v>580</v>
      </c>
      <c r="HR59" s="38">
        <f t="shared" si="24"/>
        <v>10310</v>
      </c>
      <c r="HS59" s="26"/>
      <c r="HT59" s="44">
        <f t="shared" ref="HT59:IE59" si="299">SUM(HT11+HT17+HT23+HT29+HT35+HT41+HT47+HT53)</f>
        <v>79</v>
      </c>
      <c r="HU59" s="44">
        <f t="shared" si="299"/>
        <v>50</v>
      </c>
      <c r="HV59" s="44">
        <f t="shared" si="299"/>
        <v>81</v>
      </c>
      <c r="HW59" s="44">
        <f t="shared" si="299"/>
        <v>38</v>
      </c>
      <c r="HX59" s="44">
        <f t="shared" si="299"/>
        <v>51</v>
      </c>
      <c r="HY59" s="44">
        <f t="shared" si="299"/>
        <v>20</v>
      </c>
      <c r="HZ59" s="44">
        <f t="shared" si="299"/>
        <v>39</v>
      </c>
      <c r="IA59" s="44">
        <f t="shared" si="299"/>
        <v>33</v>
      </c>
      <c r="IB59" s="44">
        <f t="shared" si="299"/>
        <v>44</v>
      </c>
      <c r="IC59" s="44">
        <f t="shared" si="299"/>
        <v>57</v>
      </c>
      <c r="ID59" s="44">
        <f t="shared" si="299"/>
        <v>47</v>
      </c>
      <c r="IE59" s="44">
        <f t="shared" si="299"/>
        <v>38</v>
      </c>
      <c r="IF59" s="38">
        <f t="shared" ref="IF59:IF62" si="300">SUM(HT59:IE59)</f>
        <v>577</v>
      </c>
      <c r="IG59" s="44">
        <f t="shared" ref="IG59:IR59" si="301">SUM(IG11+IG17+IG23+IG29+IG35+IG41+IG47+IG53)</f>
        <v>350</v>
      </c>
      <c r="IH59" s="44">
        <f t="shared" si="301"/>
        <v>250</v>
      </c>
      <c r="II59" s="44">
        <f t="shared" si="301"/>
        <v>229</v>
      </c>
      <c r="IJ59" s="44">
        <f t="shared" si="301"/>
        <v>222</v>
      </c>
      <c r="IK59" s="44">
        <f t="shared" si="301"/>
        <v>186</v>
      </c>
      <c r="IL59" s="44">
        <f t="shared" si="301"/>
        <v>168</v>
      </c>
      <c r="IM59" s="44">
        <f t="shared" si="301"/>
        <v>156</v>
      </c>
      <c r="IN59" s="44">
        <f t="shared" si="301"/>
        <v>101</v>
      </c>
      <c r="IO59" s="44">
        <f t="shared" si="301"/>
        <v>136</v>
      </c>
      <c r="IP59" s="44">
        <f t="shared" si="301"/>
        <v>155</v>
      </c>
      <c r="IQ59" s="44">
        <f t="shared" si="301"/>
        <v>188</v>
      </c>
      <c r="IR59" s="44">
        <f t="shared" si="301"/>
        <v>157</v>
      </c>
      <c r="IS59" s="38">
        <f t="shared" si="25"/>
        <v>2298</v>
      </c>
      <c r="IT59" s="36">
        <f t="shared" si="26"/>
        <v>2875</v>
      </c>
      <c r="IU59" s="26"/>
      <c r="IV59" s="44">
        <f t="shared" ref="IV59:JG59" si="302">SUM(IV11+IV17+IV23+IV29+IV35+IV41+IV47+IV53)</f>
        <v>340</v>
      </c>
      <c r="IW59" s="44">
        <f t="shared" si="302"/>
        <v>339</v>
      </c>
      <c r="IX59" s="44">
        <f t="shared" si="302"/>
        <v>339</v>
      </c>
      <c r="IY59" s="44">
        <f t="shared" si="302"/>
        <v>301</v>
      </c>
      <c r="IZ59" s="44">
        <f t="shared" si="302"/>
        <v>268</v>
      </c>
      <c r="JA59" s="44">
        <f t="shared" si="302"/>
        <v>262</v>
      </c>
      <c r="JB59" s="44">
        <f t="shared" si="302"/>
        <v>265</v>
      </c>
      <c r="JC59" s="44">
        <f t="shared" si="302"/>
        <v>343</v>
      </c>
      <c r="JD59" s="44">
        <f t="shared" si="302"/>
        <v>397</v>
      </c>
      <c r="JE59" s="44">
        <f t="shared" si="302"/>
        <v>283</v>
      </c>
      <c r="JF59" s="44">
        <f t="shared" si="302"/>
        <v>296</v>
      </c>
      <c r="JG59" s="44">
        <f t="shared" si="302"/>
        <v>332</v>
      </c>
      <c r="JH59" s="38">
        <f t="shared" si="27"/>
        <v>3765</v>
      </c>
      <c r="JI59" s="44">
        <f t="shared" ref="JI59:JT59" si="303">SUM(JI11+JI17+JI23+JI29+JI35+JI41+JI47+JI53)</f>
        <v>1358.8000000000002</v>
      </c>
      <c r="JJ59" s="44">
        <f t="shared" si="303"/>
        <v>1456.1999999999998</v>
      </c>
      <c r="JK59" s="44">
        <f t="shared" si="303"/>
        <v>1552.2</v>
      </c>
      <c r="JL59" s="44">
        <f t="shared" si="303"/>
        <v>1369.4</v>
      </c>
      <c r="JM59" s="44">
        <f t="shared" si="303"/>
        <v>1197.8</v>
      </c>
      <c r="JN59" s="44">
        <f t="shared" si="303"/>
        <v>1370.8</v>
      </c>
      <c r="JO59" s="44">
        <f t="shared" si="303"/>
        <v>1132.2000000000003</v>
      </c>
      <c r="JP59" s="44">
        <f t="shared" si="303"/>
        <v>1124.4000000000001</v>
      </c>
      <c r="JQ59" s="44">
        <f t="shared" si="303"/>
        <v>1403.6000000000001</v>
      </c>
      <c r="JR59" s="44">
        <f t="shared" si="303"/>
        <v>1332.2</v>
      </c>
      <c r="JS59" s="44">
        <f t="shared" si="303"/>
        <v>1325.6</v>
      </c>
      <c r="JT59" s="44">
        <f t="shared" si="303"/>
        <v>1177.5999999999999</v>
      </c>
      <c r="JU59" s="38">
        <f t="shared" si="4"/>
        <v>15800.800000000003</v>
      </c>
      <c r="JV59" s="36">
        <f t="shared" si="28"/>
        <v>19565.800000000003</v>
      </c>
      <c r="JW59" s="26"/>
      <c r="JX59" s="44">
        <f t="shared" ref="JX59:KI59" si="304">SUM(JX11+JX17+JX23+JX29+JX35+JX41+JX47+JX53)</f>
        <v>66</v>
      </c>
      <c r="JY59" s="44">
        <f t="shared" si="304"/>
        <v>51</v>
      </c>
      <c r="JZ59" s="44">
        <f t="shared" si="304"/>
        <v>58</v>
      </c>
      <c r="KA59" s="44">
        <f t="shared" si="304"/>
        <v>31</v>
      </c>
      <c r="KB59" s="44">
        <f t="shared" si="304"/>
        <v>40</v>
      </c>
      <c r="KC59" s="44">
        <f t="shared" si="304"/>
        <v>34</v>
      </c>
      <c r="KD59" s="44">
        <f t="shared" si="304"/>
        <v>41</v>
      </c>
      <c r="KE59" s="44">
        <f t="shared" si="304"/>
        <v>69</v>
      </c>
      <c r="KF59" s="44">
        <f t="shared" si="304"/>
        <v>42</v>
      </c>
      <c r="KG59" s="44">
        <f t="shared" si="304"/>
        <v>53</v>
      </c>
      <c r="KH59" s="44">
        <f t="shared" si="304"/>
        <v>44</v>
      </c>
      <c r="KI59" s="44">
        <f t="shared" si="304"/>
        <v>51</v>
      </c>
      <c r="KJ59" s="38">
        <f t="shared" si="29"/>
        <v>580</v>
      </c>
      <c r="KK59" s="44">
        <f t="shared" ref="KK59:KV59" si="305">SUM(KK11+KK17+KK23+KK29+KK35+KK41+KK47+KK53)</f>
        <v>341</v>
      </c>
      <c r="KL59" s="44">
        <f t="shared" si="305"/>
        <v>233</v>
      </c>
      <c r="KM59" s="44">
        <f t="shared" si="305"/>
        <v>198</v>
      </c>
      <c r="KN59" s="44">
        <f t="shared" si="305"/>
        <v>220</v>
      </c>
      <c r="KO59" s="44">
        <f t="shared" si="305"/>
        <v>221</v>
      </c>
      <c r="KP59" s="44">
        <f t="shared" si="305"/>
        <v>230</v>
      </c>
      <c r="KQ59" s="44">
        <f t="shared" si="305"/>
        <v>276</v>
      </c>
      <c r="KR59" s="44">
        <f t="shared" si="305"/>
        <v>212</v>
      </c>
      <c r="KS59" s="44">
        <f t="shared" si="305"/>
        <v>262</v>
      </c>
      <c r="KT59" s="44">
        <f t="shared" si="305"/>
        <v>125</v>
      </c>
      <c r="KU59" s="44">
        <f t="shared" si="305"/>
        <v>160</v>
      </c>
      <c r="KV59" s="44">
        <f t="shared" si="305"/>
        <v>493</v>
      </c>
      <c r="KW59" s="38">
        <f t="shared" si="5"/>
        <v>2971</v>
      </c>
      <c r="KX59" s="36">
        <f t="shared" si="30"/>
        <v>3551</v>
      </c>
      <c r="KY59" s="26"/>
      <c r="KZ59" s="44">
        <f t="shared" ref="KZ59:LK59" si="306">SUM(KZ11+KZ17+KZ23+KZ29+KZ35+KZ41+KZ47+KZ53)</f>
        <v>571</v>
      </c>
      <c r="LA59" s="44">
        <f t="shared" si="306"/>
        <v>197</v>
      </c>
      <c r="LB59" s="44">
        <f t="shared" si="306"/>
        <v>164</v>
      </c>
      <c r="LC59" s="44">
        <f t="shared" si="306"/>
        <v>198</v>
      </c>
      <c r="LD59" s="44">
        <f t="shared" si="306"/>
        <v>127</v>
      </c>
      <c r="LE59" s="44">
        <f t="shared" si="306"/>
        <v>91</v>
      </c>
      <c r="LF59" s="44">
        <f t="shared" si="306"/>
        <v>100</v>
      </c>
      <c r="LG59" s="44">
        <f t="shared" si="306"/>
        <v>115</v>
      </c>
      <c r="LH59" s="44">
        <f t="shared" si="306"/>
        <v>69</v>
      </c>
      <c r="LI59" s="44">
        <f t="shared" si="306"/>
        <v>90</v>
      </c>
      <c r="LJ59" s="44">
        <f t="shared" si="306"/>
        <v>96</v>
      </c>
      <c r="LK59" s="44">
        <f t="shared" si="306"/>
        <v>84</v>
      </c>
      <c r="LL59" s="38">
        <f t="shared" ref="LL59:LL62" si="307">SUM(KZ59:LK59)</f>
        <v>1902</v>
      </c>
      <c r="LM59" s="26"/>
      <c r="LN59" s="44">
        <f t="shared" ref="LN59:LY59" si="308">SUM(LN11+LN17+LN23+LN29+LN35+LN41+LN47+LN53)</f>
        <v>806</v>
      </c>
      <c r="LO59" s="44">
        <f t="shared" si="308"/>
        <v>1016</v>
      </c>
      <c r="LP59" s="44">
        <f t="shared" si="308"/>
        <v>893</v>
      </c>
      <c r="LQ59" s="44">
        <f t="shared" si="308"/>
        <v>766</v>
      </c>
      <c r="LR59" s="44">
        <f t="shared" si="308"/>
        <v>814</v>
      </c>
      <c r="LS59" s="44">
        <f t="shared" si="308"/>
        <v>653</v>
      </c>
      <c r="LT59" s="44">
        <f t="shared" si="308"/>
        <v>614</v>
      </c>
      <c r="LU59" s="44">
        <f t="shared" si="308"/>
        <v>809</v>
      </c>
      <c r="LV59" s="44">
        <f t="shared" si="308"/>
        <v>564</v>
      </c>
      <c r="LW59" s="44">
        <f t="shared" si="308"/>
        <v>581</v>
      </c>
      <c r="LX59" s="44">
        <f t="shared" si="308"/>
        <v>470</v>
      </c>
      <c r="LY59" s="44">
        <f t="shared" si="308"/>
        <v>506</v>
      </c>
      <c r="LZ59" s="38">
        <f t="shared" si="31"/>
        <v>8492</v>
      </c>
      <c r="MA59" s="26"/>
      <c r="MB59" s="44">
        <f t="shared" ref="MB59:MM59" si="309">SUM(MB11+MB17+MB23+MB29+MB35+MB41+MB47+MB53)</f>
        <v>1457</v>
      </c>
      <c r="MC59" s="44">
        <f t="shared" si="309"/>
        <v>1721</v>
      </c>
      <c r="MD59" s="44">
        <f t="shared" si="309"/>
        <v>1384</v>
      </c>
      <c r="ME59" s="44">
        <f t="shared" si="309"/>
        <v>1347</v>
      </c>
      <c r="MF59" s="44">
        <f t="shared" si="309"/>
        <v>1395</v>
      </c>
      <c r="MG59" s="44">
        <f t="shared" si="309"/>
        <v>1343</v>
      </c>
      <c r="MH59" s="44">
        <f t="shared" si="309"/>
        <v>1246</v>
      </c>
      <c r="MI59" s="44">
        <f t="shared" si="309"/>
        <v>1297</v>
      </c>
      <c r="MJ59" s="44">
        <f t="shared" si="309"/>
        <v>1187</v>
      </c>
      <c r="MK59" s="44">
        <f t="shared" si="309"/>
        <v>1481</v>
      </c>
      <c r="ML59" s="44">
        <f t="shared" si="309"/>
        <v>1263</v>
      </c>
      <c r="MM59" s="44">
        <f t="shared" si="309"/>
        <v>1179</v>
      </c>
      <c r="MN59" s="38">
        <f t="shared" ref="MN59:MN62" si="310">SUM(MB59:MM59)</f>
        <v>16300</v>
      </c>
      <c r="MO59" s="44">
        <f t="shared" ref="MO59:MZ59" si="311">SUM(MO11+MO17+MO23+MO29+MO35+MO41+MO47+MO53)</f>
        <v>2663</v>
      </c>
      <c r="MP59" s="44">
        <f t="shared" si="311"/>
        <v>2121</v>
      </c>
      <c r="MQ59" s="44">
        <f t="shared" si="311"/>
        <v>2254</v>
      </c>
      <c r="MR59" s="44">
        <f t="shared" si="311"/>
        <v>2229</v>
      </c>
      <c r="MS59" s="44">
        <f t="shared" si="311"/>
        <v>2092</v>
      </c>
      <c r="MT59" s="44">
        <f t="shared" si="311"/>
        <v>2288</v>
      </c>
      <c r="MU59" s="44">
        <f t="shared" si="311"/>
        <v>2517</v>
      </c>
      <c r="MV59" s="44">
        <f t="shared" si="311"/>
        <v>2152</v>
      </c>
      <c r="MW59" s="44">
        <f t="shared" si="311"/>
        <v>2431</v>
      </c>
      <c r="MX59" s="44">
        <f t="shared" si="311"/>
        <v>2382</v>
      </c>
      <c r="MY59" s="44">
        <f t="shared" si="311"/>
        <v>2142</v>
      </c>
      <c r="MZ59" s="44">
        <f t="shared" si="311"/>
        <v>2015</v>
      </c>
      <c r="NA59" s="38">
        <f t="shared" si="33"/>
        <v>27286</v>
      </c>
      <c r="NB59" s="36">
        <f t="shared" si="34"/>
        <v>43586</v>
      </c>
      <c r="NC59" s="26"/>
      <c r="ND59" s="44">
        <f t="shared" ref="ND59:NO59" si="312">SUM(ND11+ND17+ND23+ND29+ND35+ND41+ND47+ND53)</f>
        <v>167</v>
      </c>
      <c r="NE59" s="44">
        <f t="shared" si="312"/>
        <v>124</v>
      </c>
      <c r="NF59" s="44">
        <f t="shared" si="312"/>
        <v>132</v>
      </c>
      <c r="NG59" s="44">
        <f t="shared" si="312"/>
        <v>170</v>
      </c>
      <c r="NH59" s="44">
        <f t="shared" si="312"/>
        <v>143</v>
      </c>
      <c r="NI59" s="44">
        <f t="shared" si="312"/>
        <v>164</v>
      </c>
      <c r="NJ59" s="44">
        <f t="shared" si="312"/>
        <v>200</v>
      </c>
      <c r="NK59" s="44">
        <f t="shared" si="312"/>
        <v>196</v>
      </c>
      <c r="NL59" s="44">
        <f t="shared" si="312"/>
        <v>231</v>
      </c>
      <c r="NM59" s="44">
        <f t="shared" si="312"/>
        <v>184</v>
      </c>
      <c r="NN59" s="44">
        <f t="shared" si="312"/>
        <v>103</v>
      </c>
      <c r="NO59" s="44">
        <f t="shared" si="312"/>
        <v>125</v>
      </c>
      <c r="NP59" s="38">
        <f t="shared" si="35"/>
        <v>1939</v>
      </c>
      <c r="NQ59" s="36">
        <f t="shared" si="36"/>
        <v>11646.797979797979</v>
      </c>
      <c r="NR59" s="36">
        <f t="shared" si="37"/>
        <v>83651.818181818177</v>
      </c>
      <c r="NS59" s="36">
        <f t="shared" si="38"/>
        <v>74708.800000000003</v>
      </c>
      <c r="NT59" s="36">
        <f t="shared" si="39"/>
        <v>170007.41616161616</v>
      </c>
      <c r="NU59" s="21"/>
      <c r="NV59" s="21"/>
      <c r="NW59" s="21"/>
      <c r="NX59" s="21"/>
      <c r="NY59" s="21"/>
      <c r="NZ59" s="21"/>
      <c r="OA59" s="21"/>
      <c r="OB59" s="21"/>
      <c r="OC59" s="21"/>
      <c r="OD59" s="21"/>
      <c r="OE59" s="21"/>
      <c r="OF59" s="21"/>
      <c r="OG59" s="21"/>
      <c r="OH59" s="21"/>
      <c r="OI59" s="21"/>
      <c r="OJ59" s="21"/>
      <c r="OK59" s="21"/>
      <c r="OL59" s="21"/>
      <c r="OM59" s="21"/>
      <c r="ON59" s="21"/>
      <c r="OO59" s="21"/>
      <c r="OP59" s="22"/>
      <c r="OQ59" s="21"/>
      <c r="OR59" s="21"/>
      <c r="OS59" s="21"/>
      <c r="OT59" s="21"/>
      <c r="OU59" s="21"/>
      <c r="OV59" s="21"/>
      <c r="OW59" s="21"/>
      <c r="OX59" s="21"/>
      <c r="OY59" s="21"/>
      <c r="OZ59" s="21"/>
      <c r="PA59" s="21"/>
      <c r="PB59" s="21"/>
      <c r="PC59" s="21"/>
      <c r="PD59" s="21"/>
      <c r="PE59" s="21"/>
      <c r="PF59" s="21"/>
      <c r="PG59" s="21"/>
      <c r="PH59" s="21"/>
      <c r="PI59" s="21"/>
      <c r="PJ59" s="21"/>
      <c r="PK59" s="21"/>
      <c r="PL59" s="21"/>
      <c r="PM59" s="21"/>
      <c r="PN59" s="21"/>
      <c r="PO59" s="21"/>
      <c r="PP59" s="22"/>
      <c r="PQ59" s="21"/>
      <c r="PR59" s="21"/>
      <c r="PS59" s="21"/>
      <c r="PT59" s="21"/>
      <c r="PU59" s="21"/>
      <c r="PV59" s="21"/>
      <c r="PW59" s="21"/>
      <c r="PX59" s="21"/>
      <c r="PY59" s="21"/>
      <c r="PZ59" s="21"/>
      <c r="QA59" s="21"/>
      <c r="QB59" s="21"/>
      <c r="QC59" s="21"/>
      <c r="QD59" s="21"/>
      <c r="QE59" s="21"/>
      <c r="QF59" s="21"/>
      <c r="QG59" s="21"/>
      <c r="QH59" s="21"/>
      <c r="QI59" s="21"/>
      <c r="QJ59" s="21"/>
      <c r="QK59" s="21"/>
      <c r="QL59" s="21"/>
      <c r="QM59" s="21"/>
      <c r="QN59" s="21"/>
      <c r="QO59" s="21"/>
      <c r="QP59" s="22"/>
    </row>
    <row r="60" spans="1:458" ht="50.1" customHeight="1" x14ac:dyDescent="0.25">
      <c r="A60" s="131"/>
      <c r="B60" s="6" t="s">
        <v>19</v>
      </c>
      <c r="C60" s="25"/>
      <c r="D60" s="44">
        <f t="shared" ref="D60:O60" si="313">SUM(D12+D18+D24+D30+D36+D42+D48+D54)</f>
        <v>29.090909090909093</v>
      </c>
      <c r="E60" s="44">
        <f t="shared" si="313"/>
        <v>34</v>
      </c>
      <c r="F60" s="44">
        <f t="shared" si="313"/>
        <v>62</v>
      </c>
      <c r="G60" s="44">
        <f t="shared" si="313"/>
        <v>52</v>
      </c>
      <c r="H60" s="44">
        <f t="shared" si="313"/>
        <v>79</v>
      </c>
      <c r="I60" s="44">
        <f t="shared" si="313"/>
        <v>49</v>
      </c>
      <c r="J60" s="44">
        <f t="shared" si="313"/>
        <v>56</v>
      </c>
      <c r="K60" s="44">
        <f t="shared" si="313"/>
        <v>60</v>
      </c>
      <c r="L60" s="44">
        <f t="shared" si="313"/>
        <v>51</v>
      </c>
      <c r="M60" s="44">
        <f t="shared" si="313"/>
        <v>60</v>
      </c>
      <c r="N60" s="44">
        <f t="shared" si="313"/>
        <v>24</v>
      </c>
      <c r="O60" s="44">
        <f t="shared" si="313"/>
        <v>16</v>
      </c>
      <c r="P60" s="38">
        <f t="shared" si="7"/>
        <v>572.09090909090912</v>
      </c>
      <c r="Q60" s="37">
        <f t="shared" ref="Q60:AB60" si="314">SUM(Q12+Q18+Q24+Q30+Q36+Q42+Q48+Q54)</f>
        <v>702</v>
      </c>
      <c r="R60" s="37">
        <f t="shared" si="314"/>
        <v>923</v>
      </c>
      <c r="S60" s="37">
        <f t="shared" si="314"/>
        <v>934</v>
      </c>
      <c r="T60" s="37">
        <f t="shared" si="314"/>
        <v>813</v>
      </c>
      <c r="U60" s="37">
        <f t="shared" si="314"/>
        <v>834</v>
      </c>
      <c r="V60" s="37">
        <f t="shared" si="314"/>
        <v>491</v>
      </c>
      <c r="W60" s="37">
        <f t="shared" si="314"/>
        <v>619</v>
      </c>
      <c r="X60" s="37">
        <f t="shared" si="314"/>
        <v>662</v>
      </c>
      <c r="Y60" s="37">
        <f t="shared" si="314"/>
        <v>545</v>
      </c>
      <c r="Z60" s="37">
        <f t="shared" si="314"/>
        <v>529</v>
      </c>
      <c r="AA60" s="37">
        <f t="shared" si="314"/>
        <v>383</v>
      </c>
      <c r="AB60" s="37">
        <f t="shared" si="314"/>
        <v>623</v>
      </c>
      <c r="AC60" s="38">
        <f t="shared" si="8"/>
        <v>8058</v>
      </c>
      <c r="AD60" s="36">
        <f t="shared" si="9"/>
        <v>8630.0909090909099</v>
      </c>
      <c r="AE60" s="26"/>
      <c r="AF60" s="44">
        <f t="shared" ref="AF60:AQ60" si="315">SUM(AF12+AF18+AF24+AF30+AF36+AF42+AF48+AF54)</f>
        <v>10</v>
      </c>
      <c r="AG60" s="44">
        <f t="shared" si="315"/>
        <v>3</v>
      </c>
      <c r="AH60" s="44">
        <f t="shared" si="315"/>
        <v>7</v>
      </c>
      <c r="AI60" s="44">
        <f t="shared" si="315"/>
        <v>6</v>
      </c>
      <c r="AJ60" s="44">
        <f t="shared" si="315"/>
        <v>4</v>
      </c>
      <c r="AK60" s="44">
        <f t="shared" si="315"/>
        <v>5</v>
      </c>
      <c r="AL60" s="44">
        <f t="shared" si="315"/>
        <v>8</v>
      </c>
      <c r="AM60" s="44">
        <f t="shared" si="315"/>
        <v>3</v>
      </c>
      <c r="AN60" s="44">
        <f t="shared" si="315"/>
        <v>8</v>
      </c>
      <c r="AO60" s="44">
        <f t="shared" si="315"/>
        <v>8</v>
      </c>
      <c r="AP60" s="44">
        <f t="shared" si="315"/>
        <v>8</v>
      </c>
      <c r="AQ60" s="44">
        <f t="shared" si="315"/>
        <v>1</v>
      </c>
      <c r="AR60" s="38">
        <f t="shared" si="10"/>
        <v>71</v>
      </c>
      <c r="AS60" s="44">
        <f t="shared" ref="AS60:BD60" si="316">SUM(AS12+AS18+AS24+AS30+AS36+AS42+AS48+AS54)</f>
        <v>11</v>
      </c>
      <c r="AT60" s="44">
        <f t="shared" si="316"/>
        <v>9</v>
      </c>
      <c r="AU60" s="44">
        <f t="shared" si="316"/>
        <v>11</v>
      </c>
      <c r="AV60" s="44">
        <f t="shared" si="316"/>
        <v>16</v>
      </c>
      <c r="AW60" s="44">
        <f t="shared" si="316"/>
        <v>6</v>
      </c>
      <c r="AX60" s="44">
        <f t="shared" si="316"/>
        <v>8</v>
      </c>
      <c r="AY60" s="44">
        <f t="shared" si="316"/>
        <v>6</v>
      </c>
      <c r="AZ60" s="44">
        <f t="shared" si="316"/>
        <v>16</v>
      </c>
      <c r="BA60" s="44">
        <f t="shared" si="316"/>
        <v>3</v>
      </c>
      <c r="BB60" s="44">
        <f t="shared" si="316"/>
        <v>10</v>
      </c>
      <c r="BC60" s="44">
        <f t="shared" si="316"/>
        <v>8</v>
      </c>
      <c r="BD60" s="44">
        <f t="shared" si="316"/>
        <v>10</v>
      </c>
      <c r="BE60" s="38">
        <f t="shared" si="11"/>
        <v>114</v>
      </c>
      <c r="BF60" s="36">
        <f t="shared" si="12"/>
        <v>185</v>
      </c>
      <c r="BG60" s="26"/>
      <c r="BH60" s="44">
        <f t="shared" ref="BH60:BS60" si="317">SUM(BH12+BH18+BH24+BH30+BH36+BH42+BH48+BH54)</f>
        <v>117</v>
      </c>
      <c r="BI60" s="44">
        <f t="shared" si="317"/>
        <v>173</v>
      </c>
      <c r="BJ60" s="44">
        <f t="shared" si="317"/>
        <v>100</v>
      </c>
      <c r="BK60" s="44">
        <f t="shared" si="317"/>
        <v>110</v>
      </c>
      <c r="BL60" s="44">
        <f t="shared" si="317"/>
        <v>108</v>
      </c>
      <c r="BM60" s="44">
        <f t="shared" si="317"/>
        <v>95</v>
      </c>
      <c r="BN60" s="44">
        <f t="shared" si="317"/>
        <v>127</v>
      </c>
      <c r="BO60" s="44">
        <f t="shared" si="317"/>
        <v>92</v>
      </c>
      <c r="BP60" s="44">
        <f t="shared" si="317"/>
        <v>191</v>
      </c>
      <c r="BQ60" s="44">
        <f t="shared" si="317"/>
        <v>323</v>
      </c>
      <c r="BR60" s="44">
        <f t="shared" si="317"/>
        <v>329</v>
      </c>
      <c r="BS60" s="44">
        <f t="shared" si="317"/>
        <v>293</v>
      </c>
      <c r="BT60" s="38">
        <f t="shared" si="13"/>
        <v>2058</v>
      </c>
      <c r="BU60" s="60">
        <f t="shared" ref="BU60:CF60" si="318">SUM(BU12+BU18+BU24+BU30+BU36+BU42+BU48+BU54)</f>
        <v>46</v>
      </c>
      <c r="BV60" s="60">
        <f t="shared" si="318"/>
        <v>63</v>
      </c>
      <c r="BW60" s="60">
        <f t="shared" si="318"/>
        <v>41</v>
      </c>
      <c r="BX60" s="60">
        <f t="shared" si="318"/>
        <v>41</v>
      </c>
      <c r="BY60" s="60">
        <f t="shared" si="318"/>
        <v>47</v>
      </c>
      <c r="BZ60" s="60">
        <f t="shared" si="318"/>
        <v>29</v>
      </c>
      <c r="CA60" s="60">
        <f t="shared" si="318"/>
        <v>16</v>
      </c>
      <c r="CB60" s="60">
        <f t="shared" si="318"/>
        <v>29</v>
      </c>
      <c r="CC60" s="60">
        <f t="shared" si="318"/>
        <v>27</v>
      </c>
      <c r="CD60" s="60">
        <f t="shared" si="318"/>
        <v>36</v>
      </c>
      <c r="CE60" s="60">
        <f t="shared" si="318"/>
        <v>39.666666666666664</v>
      </c>
      <c r="CF60" s="60">
        <f t="shared" si="318"/>
        <v>24.242424242424242</v>
      </c>
      <c r="CG60" s="61">
        <f t="shared" si="14"/>
        <v>438.90909090909093</v>
      </c>
      <c r="CH60" s="57">
        <f t="shared" si="15"/>
        <v>2496.909090909091</v>
      </c>
      <c r="CI60" s="26"/>
      <c r="CJ60" s="44">
        <f t="shared" ref="CJ60:CU60" si="319">SUM(CJ12+CJ18+CJ24+CJ30+CJ36+CJ42+CJ48+CJ54)</f>
        <v>9</v>
      </c>
      <c r="CK60" s="44">
        <f t="shared" si="319"/>
        <v>5</v>
      </c>
      <c r="CL60" s="44">
        <f t="shared" si="319"/>
        <v>9</v>
      </c>
      <c r="CM60" s="44">
        <f t="shared" si="319"/>
        <v>23</v>
      </c>
      <c r="CN60" s="44">
        <f t="shared" si="319"/>
        <v>0</v>
      </c>
      <c r="CO60" s="44">
        <f t="shared" si="319"/>
        <v>8</v>
      </c>
      <c r="CP60" s="44">
        <f t="shared" si="319"/>
        <v>3</v>
      </c>
      <c r="CQ60" s="44">
        <f t="shared" si="319"/>
        <v>7</v>
      </c>
      <c r="CR60" s="44">
        <f t="shared" si="319"/>
        <v>3</v>
      </c>
      <c r="CS60" s="44">
        <f t="shared" si="319"/>
        <v>18</v>
      </c>
      <c r="CT60" s="44">
        <f t="shared" si="319"/>
        <v>28</v>
      </c>
      <c r="CU60" s="44">
        <f t="shared" si="319"/>
        <v>9</v>
      </c>
      <c r="CV60" s="38">
        <f t="shared" si="16"/>
        <v>122</v>
      </c>
      <c r="CW60" s="44">
        <f t="shared" ref="CW60:DH60" si="320">SUM(CW12+CW18+CW24+CW30+CW36+CW42+CW48+CW54)</f>
        <v>146</v>
      </c>
      <c r="CX60" s="44">
        <f t="shared" si="320"/>
        <v>304</v>
      </c>
      <c r="CY60" s="44">
        <f t="shared" si="320"/>
        <v>405</v>
      </c>
      <c r="CZ60" s="44">
        <f t="shared" si="320"/>
        <v>343</v>
      </c>
      <c r="DA60" s="44">
        <f t="shared" si="320"/>
        <v>357</v>
      </c>
      <c r="DB60" s="44">
        <f t="shared" si="320"/>
        <v>236</v>
      </c>
      <c r="DC60" s="44">
        <f t="shared" si="320"/>
        <v>177</v>
      </c>
      <c r="DD60" s="44">
        <f t="shared" si="320"/>
        <v>105</v>
      </c>
      <c r="DE60" s="44">
        <f t="shared" si="320"/>
        <v>178</v>
      </c>
      <c r="DF60" s="44">
        <f t="shared" si="320"/>
        <v>161</v>
      </c>
      <c r="DG60" s="44">
        <f t="shared" si="320"/>
        <v>157</v>
      </c>
      <c r="DH60" s="44">
        <f t="shared" si="320"/>
        <v>147</v>
      </c>
      <c r="DI60" s="38">
        <f t="shared" si="0"/>
        <v>2716</v>
      </c>
      <c r="DJ60" s="36">
        <f t="shared" si="17"/>
        <v>2838</v>
      </c>
      <c r="DK60" s="26"/>
      <c r="DL60" s="7">
        <f t="shared" ref="DL60:DW60" si="321">SUM(DL12+DL18+DL24+DL30+DL36+DL42+DL48+DL54)</f>
        <v>4</v>
      </c>
      <c r="DM60" s="7">
        <f t="shared" si="321"/>
        <v>9</v>
      </c>
      <c r="DN60" s="7">
        <f t="shared" si="321"/>
        <v>1</v>
      </c>
      <c r="DO60" s="7">
        <f t="shared" si="321"/>
        <v>2</v>
      </c>
      <c r="DP60" s="7">
        <f t="shared" si="321"/>
        <v>1</v>
      </c>
      <c r="DQ60" s="7">
        <f t="shared" si="321"/>
        <v>0</v>
      </c>
      <c r="DR60" s="7">
        <f t="shared" si="321"/>
        <v>1</v>
      </c>
      <c r="DS60" s="7">
        <f t="shared" si="321"/>
        <v>0</v>
      </c>
      <c r="DT60" s="7">
        <f t="shared" si="321"/>
        <v>0</v>
      </c>
      <c r="DU60" s="7">
        <f t="shared" si="321"/>
        <v>0</v>
      </c>
      <c r="DV60" s="7">
        <f t="shared" si="321"/>
        <v>2</v>
      </c>
      <c r="DW60" s="52">
        <f t="shared" si="321"/>
        <v>1</v>
      </c>
      <c r="DX60" s="38">
        <f t="shared" si="1"/>
        <v>21</v>
      </c>
      <c r="DY60" s="44">
        <f t="shared" ref="DY60:EJ60" si="322">SUM(DY12+DY18+DY24+DY30+DY36+DY42+DY48+DY54)</f>
        <v>27</v>
      </c>
      <c r="DZ60" s="44">
        <f t="shared" si="322"/>
        <v>18</v>
      </c>
      <c r="EA60" s="44">
        <f t="shared" si="322"/>
        <v>34</v>
      </c>
      <c r="EB60" s="44">
        <f t="shared" si="322"/>
        <v>71</v>
      </c>
      <c r="EC60" s="44">
        <f t="shared" si="322"/>
        <v>98</v>
      </c>
      <c r="ED60" s="44">
        <f t="shared" si="322"/>
        <v>58</v>
      </c>
      <c r="EE60" s="44">
        <f t="shared" si="322"/>
        <v>86</v>
      </c>
      <c r="EF60" s="44">
        <f t="shared" si="322"/>
        <v>32</v>
      </c>
      <c r="EG60" s="44">
        <f t="shared" si="322"/>
        <v>61</v>
      </c>
      <c r="EH60" s="44">
        <f t="shared" si="322"/>
        <v>23</v>
      </c>
      <c r="EI60" s="44">
        <f t="shared" si="322"/>
        <v>35</v>
      </c>
      <c r="EJ60" s="44">
        <f t="shared" si="322"/>
        <v>19</v>
      </c>
      <c r="EK60" s="38">
        <f t="shared" si="18"/>
        <v>562</v>
      </c>
      <c r="EL60" s="36">
        <f t="shared" si="19"/>
        <v>583</v>
      </c>
      <c r="EM60" s="26"/>
      <c r="EN60" s="44">
        <f t="shared" ref="EN60:EY60" si="323">SUM(EN12+EN18+EN24+EN30+EN36+EN42+EN48+EN54)</f>
        <v>303</v>
      </c>
      <c r="EO60" s="44">
        <f t="shared" si="323"/>
        <v>338</v>
      </c>
      <c r="EP60" s="44">
        <f t="shared" si="323"/>
        <v>211</v>
      </c>
      <c r="EQ60" s="44">
        <f t="shared" si="323"/>
        <v>237</v>
      </c>
      <c r="ER60" s="44">
        <f t="shared" si="323"/>
        <v>335</v>
      </c>
      <c r="ES60" s="44">
        <f t="shared" si="323"/>
        <v>212</v>
      </c>
      <c r="ET60" s="44">
        <f t="shared" si="323"/>
        <v>138</v>
      </c>
      <c r="EU60" s="44">
        <f t="shared" si="323"/>
        <v>289</v>
      </c>
      <c r="EV60" s="44">
        <f t="shared" si="323"/>
        <v>299</v>
      </c>
      <c r="EW60" s="44">
        <f t="shared" si="323"/>
        <v>260</v>
      </c>
      <c r="EX60" s="44">
        <f t="shared" si="323"/>
        <v>237</v>
      </c>
      <c r="EY60" s="44">
        <f t="shared" si="323"/>
        <v>208</v>
      </c>
      <c r="EZ60" s="38">
        <f t="shared" si="293"/>
        <v>3067</v>
      </c>
      <c r="FA60" s="26"/>
      <c r="FB60" s="44">
        <f t="shared" ref="FB60:FM60" si="324">SUM(FB12+FB18+FB24+FB30+FB36+FB42+FB48+FB54)</f>
        <v>23</v>
      </c>
      <c r="FC60" s="44">
        <f t="shared" si="324"/>
        <v>34</v>
      </c>
      <c r="FD60" s="44">
        <f t="shared" si="324"/>
        <v>43</v>
      </c>
      <c r="FE60" s="44">
        <f t="shared" si="324"/>
        <v>41</v>
      </c>
      <c r="FF60" s="44">
        <f t="shared" si="324"/>
        <v>36</v>
      </c>
      <c r="FG60" s="44">
        <f t="shared" si="324"/>
        <v>20</v>
      </c>
      <c r="FH60" s="44">
        <f t="shared" si="324"/>
        <v>13</v>
      </c>
      <c r="FI60" s="44">
        <f t="shared" si="324"/>
        <v>29</v>
      </c>
      <c r="FJ60" s="44">
        <f t="shared" si="324"/>
        <v>33</v>
      </c>
      <c r="FK60" s="44">
        <f t="shared" si="324"/>
        <v>24</v>
      </c>
      <c r="FL60" s="44">
        <f t="shared" si="324"/>
        <v>14</v>
      </c>
      <c r="FM60" s="44">
        <f t="shared" si="324"/>
        <v>30</v>
      </c>
      <c r="FN60" s="38">
        <f t="shared" si="20"/>
        <v>340</v>
      </c>
      <c r="FO60" s="26"/>
      <c r="FP60" s="44">
        <f t="shared" ref="FP60:GA60" si="325">SUM(FP12+FP18+FP24+FP30+FP36+FP42+FP48+FP54)</f>
        <v>33</v>
      </c>
      <c r="FQ60" s="44">
        <f t="shared" si="325"/>
        <v>29</v>
      </c>
      <c r="FR60" s="44">
        <f t="shared" si="325"/>
        <v>29</v>
      </c>
      <c r="FS60" s="44">
        <f t="shared" si="325"/>
        <v>30</v>
      </c>
      <c r="FT60" s="44">
        <f t="shared" si="325"/>
        <v>36</v>
      </c>
      <c r="FU60" s="44">
        <f t="shared" si="325"/>
        <v>27</v>
      </c>
      <c r="FV60" s="44">
        <f t="shared" si="325"/>
        <v>31</v>
      </c>
      <c r="FW60" s="44">
        <f t="shared" si="325"/>
        <v>24</v>
      </c>
      <c r="FX60" s="44">
        <f t="shared" si="325"/>
        <v>40</v>
      </c>
      <c r="FY60" s="44">
        <f t="shared" si="325"/>
        <v>26</v>
      </c>
      <c r="FZ60" s="44">
        <f t="shared" si="325"/>
        <v>24</v>
      </c>
      <c r="GA60" s="44">
        <f t="shared" si="325"/>
        <v>23</v>
      </c>
      <c r="GB60" s="38">
        <f t="shared" si="21"/>
        <v>352</v>
      </c>
      <c r="GC60" s="26"/>
      <c r="GD60" s="44">
        <f t="shared" ref="GD60:GO60" si="326">SUM(GD12+GD18+GD24+GD30+GD36+GD42+GD48+GD54)</f>
        <v>245</v>
      </c>
      <c r="GE60" s="44">
        <f t="shared" si="326"/>
        <v>211</v>
      </c>
      <c r="GF60" s="44">
        <f t="shared" si="326"/>
        <v>272</v>
      </c>
      <c r="GG60" s="44">
        <f t="shared" si="326"/>
        <v>296</v>
      </c>
      <c r="GH60" s="44">
        <f t="shared" si="326"/>
        <v>284</v>
      </c>
      <c r="GI60" s="44">
        <f t="shared" si="326"/>
        <v>327</v>
      </c>
      <c r="GJ60" s="44">
        <f t="shared" si="326"/>
        <v>256</v>
      </c>
      <c r="GK60" s="44">
        <f t="shared" si="326"/>
        <v>240</v>
      </c>
      <c r="GL60" s="44">
        <f t="shared" si="326"/>
        <v>270</v>
      </c>
      <c r="GM60" s="44">
        <f t="shared" si="326"/>
        <v>259</v>
      </c>
      <c r="GN60" s="44">
        <f t="shared" si="326"/>
        <v>241</v>
      </c>
      <c r="GO60" s="44">
        <f t="shared" si="326"/>
        <v>312</v>
      </c>
      <c r="GP60" s="38">
        <f t="shared" si="22"/>
        <v>3213</v>
      </c>
      <c r="GQ60" s="26"/>
      <c r="GR60" s="44">
        <f t="shared" ref="GR60:HC60" si="327">SUM(GR12+GR18+GR24+GR30+GR36+GR42+GR48+GR54)</f>
        <v>7</v>
      </c>
      <c r="GS60" s="44">
        <f t="shared" si="327"/>
        <v>1</v>
      </c>
      <c r="GT60" s="44">
        <f t="shared" si="327"/>
        <v>0</v>
      </c>
      <c r="GU60" s="44">
        <f t="shared" si="327"/>
        <v>1</v>
      </c>
      <c r="GV60" s="44">
        <f t="shared" si="327"/>
        <v>4</v>
      </c>
      <c r="GW60" s="44">
        <f t="shared" si="327"/>
        <v>0</v>
      </c>
      <c r="GX60" s="44">
        <f t="shared" si="327"/>
        <v>0</v>
      </c>
      <c r="GY60" s="44">
        <f t="shared" si="327"/>
        <v>0</v>
      </c>
      <c r="GZ60" s="44">
        <f t="shared" si="327"/>
        <v>0</v>
      </c>
      <c r="HA60" s="44">
        <f t="shared" si="327"/>
        <v>0</v>
      </c>
      <c r="HB60" s="44">
        <f t="shared" si="327"/>
        <v>0</v>
      </c>
      <c r="HC60" s="44">
        <f t="shared" si="327"/>
        <v>0</v>
      </c>
      <c r="HD60" s="38">
        <f t="shared" si="23"/>
        <v>13</v>
      </c>
      <c r="HE60" s="26"/>
      <c r="HF60" s="44">
        <f t="shared" ref="HF60:HQ60" si="328">SUM(HF12+HF18+HF24+HF30+HF36+HF42+HF48+HF54)</f>
        <v>162</v>
      </c>
      <c r="HG60" s="44">
        <f t="shared" si="328"/>
        <v>198</v>
      </c>
      <c r="HH60" s="44">
        <f t="shared" si="328"/>
        <v>211</v>
      </c>
      <c r="HI60" s="44">
        <f t="shared" si="328"/>
        <v>210</v>
      </c>
      <c r="HJ60" s="44">
        <f t="shared" si="328"/>
        <v>223</v>
      </c>
      <c r="HK60" s="44">
        <f t="shared" si="328"/>
        <v>210</v>
      </c>
      <c r="HL60" s="44">
        <f t="shared" si="328"/>
        <v>210</v>
      </c>
      <c r="HM60" s="44">
        <f t="shared" si="328"/>
        <v>201</v>
      </c>
      <c r="HN60" s="44">
        <f t="shared" si="328"/>
        <v>235</v>
      </c>
      <c r="HO60" s="44">
        <f t="shared" si="328"/>
        <v>197</v>
      </c>
      <c r="HP60" s="44">
        <f t="shared" si="328"/>
        <v>195</v>
      </c>
      <c r="HQ60" s="44">
        <f t="shared" si="328"/>
        <v>161</v>
      </c>
      <c r="HR60" s="38">
        <f t="shared" si="24"/>
        <v>2413</v>
      </c>
      <c r="HS60" s="26"/>
      <c r="HT60" s="44">
        <f t="shared" ref="HT60:IE60" si="329">SUM(HT12+HT18+HT24+HT30+HT36+HT42+HT48+HT54)</f>
        <v>11</v>
      </c>
      <c r="HU60" s="44">
        <f t="shared" si="329"/>
        <v>8</v>
      </c>
      <c r="HV60" s="44">
        <f t="shared" si="329"/>
        <v>18</v>
      </c>
      <c r="HW60" s="44">
        <f t="shared" si="329"/>
        <v>12</v>
      </c>
      <c r="HX60" s="44">
        <f t="shared" si="329"/>
        <v>8</v>
      </c>
      <c r="HY60" s="44">
        <f t="shared" si="329"/>
        <v>4</v>
      </c>
      <c r="HZ60" s="44">
        <f t="shared" si="329"/>
        <v>10</v>
      </c>
      <c r="IA60" s="44">
        <f t="shared" si="329"/>
        <v>8</v>
      </c>
      <c r="IB60" s="44">
        <f t="shared" si="329"/>
        <v>15</v>
      </c>
      <c r="IC60" s="44">
        <f t="shared" si="329"/>
        <v>13</v>
      </c>
      <c r="ID60" s="44">
        <f t="shared" si="329"/>
        <v>15</v>
      </c>
      <c r="IE60" s="44">
        <f t="shared" si="329"/>
        <v>13</v>
      </c>
      <c r="IF60" s="38">
        <f t="shared" si="300"/>
        <v>135</v>
      </c>
      <c r="IG60" s="44">
        <f t="shared" ref="IG60:IR60" si="330">SUM(IG12+IG18+IG24+IG30+IG36+IG42+IG48+IG54)</f>
        <v>110</v>
      </c>
      <c r="IH60" s="44">
        <f t="shared" si="330"/>
        <v>154</v>
      </c>
      <c r="II60" s="44">
        <f t="shared" si="330"/>
        <v>187</v>
      </c>
      <c r="IJ60" s="44">
        <f t="shared" si="330"/>
        <v>183</v>
      </c>
      <c r="IK60" s="44">
        <f t="shared" si="330"/>
        <v>81</v>
      </c>
      <c r="IL60" s="44">
        <f t="shared" si="330"/>
        <v>45</v>
      </c>
      <c r="IM60" s="44">
        <f t="shared" si="330"/>
        <v>83</v>
      </c>
      <c r="IN60" s="44">
        <f t="shared" si="330"/>
        <v>54</v>
      </c>
      <c r="IO60" s="44">
        <f t="shared" si="330"/>
        <v>46</v>
      </c>
      <c r="IP60" s="44">
        <f t="shared" si="330"/>
        <v>81</v>
      </c>
      <c r="IQ60" s="44">
        <f t="shared" si="330"/>
        <v>187</v>
      </c>
      <c r="IR60" s="44">
        <f t="shared" si="330"/>
        <v>73</v>
      </c>
      <c r="IS60" s="38">
        <f t="shared" si="25"/>
        <v>1284</v>
      </c>
      <c r="IT60" s="36">
        <f t="shared" si="26"/>
        <v>1419</v>
      </c>
      <c r="IU60" s="26"/>
      <c r="IV60" s="44">
        <f t="shared" ref="IV60:JG60" si="331">SUM(IV12+IV18+IV24+IV30+IV36+IV42+IV48+IV54)</f>
        <v>230</v>
      </c>
      <c r="IW60" s="44">
        <f t="shared" si="331"/>
        <v>240</v>
      </c>
      <c r="IX60" s="44">
        <f t="shared" si="331"/>
        <v>215</v>
      </c>
      <c r="IY60" s="44">
        <f t="shared" si="331"/>
        <v>226</v>
      </c>
      <c r="IZ60" s="44">
        <f t="shared" si="331"/>
        <v>190</v>
      </c>
      <c r="JA60" s="44">
        <f t="shared" si="331"/>
        <v>187</v>
      </c>
      <c r="JB60" s="44">
        <f t="shared" si="331"/>
        <v>223</v>
      </c>
      <c r="JC60" s="44">
        <f t="shared" si="331"/>
        <v>210</v>
      </c>
      <c r="JD60" s="44">
        <f t="shared" si="331"/>
        <v>204</v>
      </c>
      <c r="JE60" s="44">
        <f t="shared" si="331"/>
        <v>192</v>
      </c>
      <c r="JF60" s="44">
        <f t="shared" si="331"/>
        <v>183</v>
      </c>
      <c r="JG60" s="44">
        <f t="shared" si="331"/>
        <v>183</v>
      </c>
      <c r="JH60" s="38">
        <f t="shared" si="27"/>
        <v>2483</v>
      </c>
      <c r="JI60" s="44">
        <f t="shared" ref="JI60:JT60" si="332">SUM(JI12+JI18+JI24+JI30+JI36+JI42+JI48+JI54)</f>
        <v>279.2</v>
      </c>
      <c r="JJ60" s="44">
        <f t="shared" si="332"/>
        <v>498.4</v>
      </c>
      <c r="JK60" s="44">
        <f t="shared" si="332"/>
        <v>533</v>
      </c>
      <c r="JL60" s="44">
        <f t="shared" si="332"/>
        <v>537.00000000000011</v>
      </c>
      <c r="JM60" s="44">
        <f t="shared" si="332"/>
        <v>407.20000000000005</v>
      </c>
      <c r="JN60" s="44">
        <f t="shared" si="332"/>
        <v>308.80000000000007</v>
      </c>
      <c r="JO60" s="44">
        <f t="shared" si="332"/>
        <v>297.39999999999998</v>
      </c>
      <c r="JP60" s="44">
        <f t="shared" si="332"/>
        <v>338.8</v>
      </c>
      <c r="JQ60" s="44">
        <f t="shared" si="332"/>
        <v>540</v>
      </c>
      <c r="JR60" s="44">
        <f t="shared" si="332"/>
        <v>404.8</v>
      </c>
      <c r="JS60" s="44">
        <f t="shared" si="332"/>
        <v>386.20000000000005</v>
      </c>
      <c r="JT60" s="44">
        <f t="shared" si="332"/>
        <v>373.40000000000003</v>
      </c>
      <c r="JU60" s="38">
        <f t="shared" si="4"/>
        <v>4904.2</v>
      </c>
      <c r="JV60" s="36">
        <f t="shared" si="28"/>
        <v>7387.2</v>
      </c>
      <c r="JW60" s="26"/>
      <c r="JX60" s="44">
        <f t="shared" ref="JX60:KI60" si="333">SUM(JX12+JX18+JX24+JX30+JX36+JX42+JX48+JX54)</f>
        <v>79</v>
      </c>
      <c r="JY60" s="44">
        <f t="shared" si="333"/>
        <v>115</v>
      </c>
      <c r="JZ60" s="44">
        <f t="shared" si="333"/>
        <v>105</v>
      </c>
      <c r="KA60" s="44">
        <f t="shared" si="333"/>
        <v>116</v>
      </c>
      <c r="KB60" s="44">
        <f t="shared" si="333"/>
        <v>155</v>
      </c>
      <c r="KC60" s="44">
        <f t="shared" si="333"/>
        <v>185</v>
      </c>
      <c r="KD60" s="44">
        <f t="shared" si="333"/>
        <v>131</v>
      </c>
      <c r="KE60" s="44">
        <f t="shared" si="333"/>
        <v>190</v>
      </c>
      <c r="KF60" s="44">
        <f t="shared" si="333"/>
        <v>150</v>
      </c>
      <c r="KG60" s="44">
        <f t="shared" si="333"/>
        <v>118</v>
      </c>
      <c r="KH60" s="44">
        <f t="shared" si="333"/>
        <v>76</v>
      </c>
      <c r="KI60" s="44">
        <f t="shared" si="333"/>
        <v>70</v>
      </c>
      <c r="KJ60" s="38">
        <f t="shared" si="29"/>
        <v>1490</v>
      </c>
      <c r="KK60" s="44">
        <f t="shared" ref="KK60:KV60" si="334">SUM(KK12+KK18+KK24+KK30+KK36+KK42+KK48+KK54)</f>
        <v>38</v>
      </c>
      <c r="KL60" s="44">
        <f t="shared" si="334"/>
        <v>49</v>
      </c>
      <c r="KM60" s="44">
        <f t="shared" si="334"/>
        <v>28</v>
      </c>
      <c r="KN60" s="44">
        <f t="shared" si="334"/>
        <v>631</v>
      </c>
      <c r="KO60" s="44">
        <f t="shared" si="334"/>
        <v>60</v>
      </c>
      <c r="KP60" s="44">
        <f t="shared" si="334"/>
        <v>51</v>
      </c>
      <c r="KQ60" s="44">
        <f t="shared" si="334"/>
        <v>29</v>
      </c>
      <c r="KR60" s="44">
        <f t="shared" si="334"/>
        <v>47</v>
      </c>
      <c r="KS60" s="44">
        <f t="shared" si="334"/>
        <v>27</v>
      </c>
      <c r="KT60" s="44">
        <f t="shared" si="334"/>
        <v>24</v>
      </c>
      <c r="KU60" s="44">
        <f t="shared" si="334"/>
        <v>27</v>
      </c>
      <c r="KV60" s="44">
        <f t="shared" si="334"/>
        <v>55</v>
      </c>
      <c r="KW60" s="38">
        <f t="shared" si="5"/>
        <v>1066</v>
      </c>
      <c r="KX60" s="36">
        <f t="shared" si="30"/>
        <v>2556</v>
      </c>
      <c r="KY60" s="26"/>
      <c r="KZ60" s="44">
        <f t="shared" ref="KZ60:LK60" si="335">SUM(KZ12+KZ18+KZ24+KZ30+KZ36+KZ42+KZ48+KZ54)</f>
        <v>33</v>
      </c>
      <c r="LA60" s="44">
        <f t="shared" si="335"/>
        <v>43</v>
      </c>
      <c r="LB60" s="44">
        <f t="shared" si="335"/>
        <v>20</v>
      </c>
      <c r="LC60" s="44">
        <f t="shared" si="335"/>
        <v>85</v>
      </c>
      <c r="LD60" s="44">
        <f t="shared" si="335"/>
        <v>18</v>
      </c>
      <c r="LE60" s="44">
        <f t="shared" si="335"/>
        <v>44</v>
      </c>
      <c r="LF60" s="44">
        <f t="shared" si="335"/>
        <v>22</v>
      </c>
      <c r="LG60" s="44">
        <f t="shared" si="335"/>
        <v>23</v>
      </c>
      <c r="LH60" s="44">
        <f t="shared" si="335"/>
        <v>9</v>
      </c>
      <c r="LI60" s="44">
        <f t="shared" si="335"/>
        <v>16</v>
      </c>
      <c r="LJ60" s="44">
        <f t="shared" si="335"/>
        <v>10</v>
      </c>
      <c r="LK60" s="44">
        <f t="shared" si="335"/>
        <v>16</v>
      </c>
      <c r="LL60" s="38">
        <f t="shared" si="307"/>
        <v>339</v>
      </c>
      <c r="LM60" s="26"/>
      <c r="LN60" s="44">
        <f t="shared" ref="LN60:LY60" si="336">SUM(LN12+LN18+LN24+LN30+LN36+LN42+LN48+LN54)</f>
        <v>86</v>
      </c>
      <c r="LO60" s="44">
        <f t="shared" si="336"/>
        <v>92</v>
      </c>
      <c r="LP60" s="44">
        <f t="shared" si="336"/>
        <v>79</v>
      </c>
      <c r="LQ60" s="44">
        <f t="shared" si="336"/>
        <v>54</v>
      </c>
      <c r="LR60" s="44">
        <f t="shared" si="336"/>
        <v>69</v>
      </c>
      <c r="LS60" s="44">
        <f t="shared" si="336"/>
        <v>52</v>
      </c>
      <c r="LT60" s="44">
        <f t="shared" si="336"/>
        <v>42</v>
      </c>
      <c r="LU60" s="44">
        <f t="shared" si="336"/>
        <v>54</v>
      </c>
      <c r="LV60" s="44">
        <f t="shared" si="336"/>
        <v>54</v>
      </c>
      <c r="LW60" s="44">
        <f t="shared" si="336"/>
        <v>55</v>
      </c>
      <c r="LX60" s="44">
        <f t="shared" si="336"/>
        <v>36</v>
      </c>
      <c r="LY60" s="44">
        <f t="shared" si="336"/>
        <v>52</v>
      </c>
      <c r="LZ60" s="38">
        <f t="shared" si="31"/>
        <v>725</v>
      </c>
      <c r="MA60" s="26"/>
      <c r="MB60" s="44">
        <f t="shared" ref="MB60:MM60" si="337">SUM(MB12+MB18+MB24+MB30+MB36+MB42+MB48+MB54)</f>
        <v>242</v>
      </c>
      <c r="MC60" s="44">
        <f t="shared" si="337"/>
        <v>250</v>
      </c>
      <c r="MD60" s="44">
        <f t="shared" si="337"/>
        <v>233</v>
      </c>
      <c r="ME60" s="44">
        <f t="shared" si="337"/>
        <v>199</v>
      </c>
      <c r="MF60" s="44">
        <f t="shared" si="337"/>
        <v>453</v>
      </c>
      <c r="MG60" s="44">
        <f t="shared" si="337"/>
        <v>318</v>
      </c>
      <c r="MH60" s="44">
        <f t="shared" si="337"/>
        <v>309</v>
      </c>
      <c r="MI60" s="44">
        <f t="shared" si="337"/>
        <v>219</v>
      </c>
      <c r="MJ60" s="44">
        <f t="shared" si="337"/>
        <v>224</v>
      </c>
      <c r="MK60" s="44">
        <f t="shared" si="337"/>
        <v>206</v>
      </c>
      <c r="ML60" s="44">
        <f t="shared" si="337"/>
        <v>187</v>
      </c>
      <c r="MM60" s="44">
        <f t="shared" si="337"/>
        <v>202</v>
      </c>
      <c r="MN60" s="38">
        <f t="shared" si="310"/>
        <v>3042</v>
      </c>
      <c r="MO60" s="44">
        <f t="shared" ref="MO60:MZ60" si="338">SUM(MO12+MO18+MO24+MO30+MO36+MO42+MO48+MO54)</f>
        <v>936</v>
      </c>
      <c r="MP60" s="44">
        <f t="shared" si="338"/>
        <v>887</v>
      </c>
      <c r="MQ60" s="44">
        <f t="shared" si="338"/>
        <v>1238</v>
      </c>
      <c r="MR60" s="44">
        <f t="shared" si="338"/>
        <v>1048</v>
      </c>
      <c r="MS60" s="44">
        <f t="shared" si="338"/>
        <v>1150</v>
      </c>
      <c r="MT60" s="44">
        <f t="shared" si="338"/>
        <v>1117</v>
      </c>
      <c r="MU60" s="44">
        <f t="shared" si="338"/>
        <v>944</v>
      </c>
      <c r="MV60" s="44">
        <f t="shared" si="338"/>
        <v>764</v>
      </c>
      <c r="MW60" s="44">
        <f t="shared" si="338"/>
        <v>832</v>
      </c>
      <c r="MX60" s="44">
        <f t="shared" si="338"/>
        <v>898</v>
      </c>
      <c r="MY60" s="44">
        <f t="shared" si="338"/>
        <v>1021</v>
      </c>
      <c r="MZ60" s="44">
        <f t="shared" si="338"/>
        <v>826</v>
      </c>
      <c r="NA60" s="38">
        <f t="shared" si="33"/>
        <v>11661</v>
      </c>
      <c r="NB60" s="36">
        <f t="shared" si="34"/>
        <v>14703</v>
      </c>
      <c r="NC60" s="26"/>
      <c r="ND60" s="44">
        <f t="shared" ref="ND60:NO60" si="339">SUM(ND12+ND18+ND24+ND30+ND36+ND42+ND48+ND54)</f>
        <v>36</v>
      </c>
      <c r="NE60" s="44">
        <f t="shared" si="339"/>
        <v>46</v>
      </c>
      <c r="NF60" s="44">
        <f t="shared" si="339"/>
        <v>33</v>
      </c>
      <c r="NG60" s="44">
        <f t="shared" si="339"/>
        <v>51</v>
      </c>
      <c r="NH60" s="44">
        <f t="shared" si="339"/>
        <v>54</v>
      </c>
      <c r="NI60" s="44">
        <f t="shared" si="339"/>
        <v>52</v>
      </c>
      <c r="NJ60" s="44">
        <f t="shared" si="339"/>
        <v>82</v>
      </c>
      <c r="NK60" s="44">
        <f t="shared" si="339"/>
        <v>54</v>
      </c>
      <c r="NL60" s="44">
        <f t="shared" si="339"/>
        <v>59</v>
      </c>
      <c r="NM60" s="44">
        <f t="shared" si="339"/>
        <v>51</v>
      </c>
      <c r="NN60" s="44">
        <f t="shared" si="339"/>
        <v>33</v>
      </c>
      <c r="NO60" s="44">
        <f t="shared" si="339"/>
        <v>28</v>
      </c>
      <c r="NP60" s="38">
        <f t="shared" si="35"/>
        <v>579</v>
      </c>
      <c r="NQ60" s="36">
        <f t="shared" si="36"/>
        <v>4482.090909090909</v>
      </c>
      <c r="NR60" s="36">
        <f t="shared" si="37"/>
        <v>22733.909090909092</v>
      </c>
      <c r="NS60" s="36">
        <f t="shared" si="38"/>
        <v>24623.200000000001</v>
      </c>
      <c r="NT60" s="36">
        <f t="shared" si="39"/>
        <v>51839.199999999997</v>
      </c>
      <c r="NU60" s="21"/>
      <c r="NV60" s="21"/>
      <c r="NW60" s="21"/>
      <c r="NX60" s="21"/>
      <c r="NY60" s="21"/>
      <c r="NZ60" s="21"/>
      <c r="OA60" s="21"/>
      <c r="OB60" s="21"/>
      <c r="OC60" s="21"/>
      <c r="OD60" s="21"/>
      <c r="OE60" s="21"/>
      <c r="OF60" s="21"/>
      <c r="OG60" s="21"/>
      <c r="OH60" s="21"/>
      <c r="OI60" s="21"/>
      <c r="OJ60" s="21"/>
      <c r="OK60" s="21"/>
      <c r="OL60" s="21"/>
      <c r="OM60" s="21"/>
      <c r="ON60" s="21"/>
      <c r="OO60" s="21"/>
      <c r="OP60" s="22"/>
      <c r="OQ60" s="21"/>
      <c r="OR60" s="21"/>
      <c r="OS60" s="21"/>
      <c r="OT60" s="21"/>
      <c r="OU60" s="21"/>
      <c r="OV60" s="21"/>
      <c r="OW60" s="21"/>
      <c r="OX60" s="21"/>
      <c r="OY60" s="21"/>
      <c r="OZ60" s="21"/>
      <c r="PA60" s="21"/>
      <c r="PB60" s="21"/>
      <c r="PC60" s="21"/>
      <c r="PD60" s="21"/>
      <c r="PE60" s="21"/>
      <c r="PF60" s="21"/>
      <c r="PG60" s="21"/>
      <c r="PH60" s="21"/>
      <c r="PI60" s="21"/>
      <c r="PJ60" s="21"/>
      <c r="PK60" s="21"/>
      <c r="PL60" s="21"/>
      <c r="PM60" s="21"/>
      <c r="PN60" s="21"/>
      <c r="PO60" s="21"/>
      <c r="PP60" s="22"/>
      <c r="PQ60" s="21"/>
      <c r="PR60" s="21"/>
      <c r="PS60" s="21"/>
      <c r="PT60" s="21"/>
      <c r="PU60" s="21"/>
      <c r="PV60" s="21"/>
      <c r="PW60" s="21"/>
      <c r="PX60" s="21"/>
      <c r="PY60" s="21"/>
      <c r="PZ60" s="21"/>
      <c r="QA60" s="21"/>
      <c r="QB60" s="21"/>
      <c r="QC60" s="21"/>
      <c r="QD60" s="21"/>
      <c r="QE60" s="21"/>
      <c r="QF60" s="21"/>
      <c r="QG60" s="21"/>
      <c r="QH60" s="21"/>
      <c r="QI60" s="21"/>
      <c r="QJ60" s="21"/>
      <c r="QK60" s="21"/>
      <c r="QL60" s="21"/>
      <c r="QM60" s="21"/>
      <c r="QN60" s="21"/>
      <c r="QO60" s="21"/>
      <c r="QP60" s="22"/>
    </row>
    <row r="61" spans="1:458" ht="50.1" customHeight="1" x14ac:dyDescent="0.25">
      <c r="A61" s="131"/>
      <c r="B61" s="6" t="s">
        <v>20</v>
      </c>
      <c r="C61" s="25"/>
      <c r="D61" s="44">
        <f>SUM(D13+D19+D25+D31+D37+D43+D49+D55)</f>
        <v>14629.545454545456</v>
      </c>
      <c r="E61" s="44">
        <f t="shared" ref="E61:O61" si="340">SUM(E13+E19+E25+E31+E37+E43+E49+E55)</f>
        <v>13041</v>
      </c>
      <c r="F61" s="44">
        <f t="shared" si="340"/>
        <v>13340.222222222223</v>
      </c>
      <c r="G61" s="44">
        <f t="shared" si="340"/>
        <v>10099</v>
      </c>
      <c r="H61" s="44">
        <f t="shared" si="340"/>
        <v>11087</v>
      </c>
      <c r="I61" s="44">
        <f t="shared" si="340"/>
        <v>11182</v>
      </c>
      <c r="J61" s="44">
        <f t="shared" si="340"/>
        <v>10851</v>
      </c>
      <c r="K61" s="44">
        <f t="shared" si="340"/>
        <v>9790</v>
      </c>
      <c r="L61" s="44">
        <f t="shared" si="340"/>
        <v>10600</v>
      </c>
      <c r="M61" s="44">
        <f t="shared" si="340"/>
        <v>10291</v>
      </c>
      <c r="N61" s="44">
        <f t="shared" si="340"/>
        <v>8139</v>
      </c>
      <c r="O61" s="44">
        <f t="shared" si="340"/>
        <v>8630</v>
      </c>
      <c r="P61" s="38">
        <f t="shared" si="7"/>
        <v>131679.76767676766</v>
      </c>
      <c r="Q61" s="37">
        <f>SUM(Q13+Q19+Q25+Q31+Q37+Q43+Q49+Q55)</f>
        <v>16199</v>
      </c>
      <c r="R61" s="37">
        <f t="shared" ref="R61:AB61" si="341">SUM(R13+R19+R25+R31+R37+R43+R49+R55)</f>
        <v>13527</v>
      </c>
      <c r="S61" s="37">
        <f t="shared" si="341"/>
        <v>12223</v>
      </c>
      <c r="T61" s="37">
        <f t="shared" si="341"/>
        <v>10538</v>
      </c>
      <c r="U61" s="37">
        <f t="shared" si="341"/>
        <v>11721</v>
      </c>
      <c r="V61" s="37">
        <f t="shared" si="341"/>
        <v>9683</v>
      </c>
      <c r="W61" s="37">
        <f t="shared" si="341"/>
        <v>9519</v>
      </c>
      <c r="X61" s="37">
        <f t="shared" si="341"/>
        <v>10917</v>
      </c>
      <c r="Y61" s="37">
        <f t="shared" si="341"/>
        <v>10450</v>
      </c>
      <c r="Z61" s="37">
        <f t="shared" si="341"/>
        <v>12322</v>
      </c>
      <c r="AA61" s="37">
        <f t="shared" si="341"/>
        <v>11096</v>
      </c>
      <c r="AB61" s="37">
        <f t="shared" si="341"/>
        <v>13235</v>
      </c>
      <c r="AC61" s="38">
        <f t="shared" si="8"/>
        <v>141430</v>
      </c>
      <c r="AD61" s="36">
        <f t="shared" si="9"/>
        <v>273109.76767676766</v>
      </c>
      <c r="AE61" s="26"/>
      <c r="AF61" s="44">
        <f t="shared" ref="AF61:AQ61" si="342">SUM(AF13+AF19+AF25+AF31+AF37+AF43+AF49+AF55)</f>
        <v>1059</v>
      </c>
      <c r="AG61" s="44">
        <f t="shared" si="342"/>
        <v>914</v>
      </c>
      <c r="AH61" s="44">
        <f t="shared" si="342"/>
        <v>1006</v>
      </c>
      <c r="AI61" s="44">
        <f t="shared" si="342"/>
        <v>1178</v>
      </c>
      <c r="AJ61" s="44">
        <f t="shared" si="342"/>
        <v>1087</v>
      </c>
      <c r="AK61" s="44">
        <f t="shared" si="342"/>
        <v>928</v>
      </c>
      <c r="AL61" s="44">
        <f t="shared" si="342"/>
        <v>1018</v>
      </c>
      <c r="AM61" s="44">
        <f t="shared" si="342"/>
        <v>1004</v>
      </c>
      <c r="AN61" s="44">
        <f t="shared" si="342"/>
        <v>969</v>
      </c>
      <c r="AO61" s="44">
        <f t="shared" si="342"/>
        <v>1097</v>
      </c>
      <c r="AP61" s="44">
        <f t="shared" si="342"/>
        <v>1112</v>
      </c>
      <c r="AQ61" s="44">
        <f t="shared" si="342"/>
        <v>927</v>
      </c>
      <c r="AR61" s="38">
        <f t="shared" si="10"/>
        <v>12299</v>
      </c>
      <c r="AS61" s="44">
        <f t="shared" ref="AS61:BD61" si="343">SUM(AS13+AS19+AS25+AS31+AS37+AS43+AS49+AS55)</f>
        <v>1116</v>
      </c>
      <c r="AT61" s="44">
        <f t="shared" si="343"/>
        <v>898</v>
      </c>
      <c r="AU61" s="44">
        <f t="shared" si="343"/>
        <v>1163</v>
      </c>
      <c r="AV61" s="44">
        <f t="shared" si="343"/>
        <v>1400</v>
      </c>
      <c r="AW61" s="44">
        <f t="shared" si="343"/>
        <v>1189</v>
      </c>
      <c r="AX61" s="44">
        <f t="shared" si="343"/>
        <v>1041</v>
      </c>
      <c r="AY61" s="44">
        <f t="shared" si="343"/>
        <v>1059</v>
      </c>
      <c r="AZ61" s="44">
        <f t="shared" si="343"/>
        <v>856</v>
      </c>
      <c r="BA61" s="44">
        <f t="shared" si="343"/>
        <v>1039</v>
      </c>
      <c r="BB61" s="44">
        <f t="shared" si="343"/>
        <v>1004</v>
      </c>
      <c r="BC61" s="44">
        <f t="shared" si="343"/>
        <v>955</v>
      </c>
      <c r="BD61" s="44">
        <f t="shared" si="343"/>
        <v>794</v>
      </c>
      <c r="BE61" s="38">
        <f t="shared" si="11"/>
        <v>12514</v>
      </c>
      <c r="BF61" s="36">
        <f t="shared" si="12"/>
        <v>24813</v>
      </c>
      <c r="BG61" s="26"/>
      <c r="BH61" s="44">
        <f t="shared" ref="BH61:BS61" si="344">SUM(BH13+BH19+BH25+BH31+BH37+BH43+BH49+BH55)</f>
        <v>2055</v>
      </c>
      <c r="BI61" s="44">
        <f t="shared" si="344"/>
        <v>1772</v>
      </c>
      <c r="BJ61" s="44">
        <f t="shared" si="344"/>
        <v>1892</v>
      </c>
      <c r="BK61" s="44">
        <f t="shared" si="344"/>
        <v>1524</v>
      </c>
      <c r="BL61" s="44">
        <f t="shared" si="344"/>
        <v>1419</v>
      </c>
      <c r="BM61" s="44">
        <f t="shared" si="344"/>
        <v>1341</v>
      </c>
      <c r="BN61" s="44">
        <f t="shared" si="344"/>
        <v>1560</v>
      </c>
      <c r="BO61" s="44">
        <f t="shared" si="344"/>
        <v>1329</v>
      </c>
      <c r="BP61" s="44">
        <f t="shared" si="344"/>
        <v>1433</v>
      </c>
      <c r="BQ61" s="44">
        <f t="shared" si="344"/>
        <v>1832</v>
      </c>
      <c r="BR61" s="44">
        <f t="shared" si="344"/>
        <v>1720</v>
      </c>
      <c r="BS61" s="44">
        <f t="shared" si="344"/>
        <v>1368</v>
      </c>
      <c r="BT61" s="38">
        <f t="shared" si="13"/>
        <v>19245</v>
      </c>
      <c r="BU61" s="60">
        <f t="shared" ref="BU61:CF61" si="345">SUM(BU13+BU19+BU25+BU31+BU37+BU43+BU49+BU55)</f>
        <v>2660</v>
      </c>
      <c r="BV61" s="60">
        <f t="shared" si="345"/>
        <v>2678</v>
      </c>
      <c r="BW61" s="60">
        <f t="shared" si="345"/>
        <v>2876</v>
      </c>
      <c r="BX61" s="60">
        <f t="shared" si="345"/>
        <v>2399</v>
      </c>
      <c r="BY61" s="60">
        <f t="shared" si="345"/>
        <v>2264</v>
      </c>
      <c r="BZ61" s="60">
        <f t="shared" si="345"/>
        <v>2333</v>
      </c>
      <c r="CA61" s="60">
        <f t="shared" si="345"/>
        <v>2389</v>
      </c>
      <c r="CB61" s="60">
        <f t="shared" si="345"/>
        <v>2289</v>
      </c>
      <c r="CC61" s="60">
        <f t="shared" si="345"/>
        <v>2294</v>
      </c>
      <c r="CD61" s="60">
        <f t="shared" si="345"/>
        <v>2756</v>
      </c>
      <c r="CE61" s="60">
        <f t="shared" si="345"/>
        <v>2448.666666666667</v>
      </c>
      <c r="CF61" s="60">
        <f t="shared" si="345"/>
        <v>2265.878787878788</v>
      </c>
      <c r="CG61" s="61">
        <f t="shared" si="14"/>
        <v>29652.545454545456</v>
      </c>
      <c r="CH61" s="57">
        <f t="shared" si="15"/>
        <v>48897.545454545456</v>
      </c>
      <c r="CI61" s="26"/>
      <c r="CJ61" s="44">
        <f t="shared" ref="CJ61:CU61" si="346">SUM(CJ13+CJ19+CJ25+CJ31+CJ37+CJ43+CJ49+CJ55)</f>
        <v>1037</v>
      </c>
      <c r="CK61" s="44">
        <f t="shared" si="346"/>
        <v>942</v>
      </c>
      <c r="CL61" s="44">
        <f t="shared" si="346"/>
        <v>1076</v>
      </c>
      <c r="CM61" s="44">
        <f t="shared" si="346"/>
        <v>911</v>
      </c>
      <c r="CN61" s="44">
        <f t="shared" si="346"/>
        <v>549</v>
      </c>
      <c r="CO61" s="44">
        <f t="shared" si="346"/>
        <v>909</v>
      </c>
      <c r="CP61" s="44">
        <f t="shared" si="346"/>
        <v>863</v>
      </c>
      <c r="CQ61" s="44">
        <f t="shared" si="346"/>
        <v>953</v>
      </c>
      <c r="CR61" s="44">
        <f t="shared" si="346"/>
        <v>682</v>
      </c>
      <c r="CS61" s="44">
        <f t="shared" si="346"/>
        <v>794</v>
      </c>
      <c r="CT61" s="44">
        <f t="shared" si="346"/>
        <v>949</v>
      </c>
      <c r="CU61" s="44">
        <f t="shared" si="346"/>
        <v>849</v>
      </c>
      <c r="CV61" s="38">
        <f t="shared" si="16"/>
        <v>10514</v>
      </c>
      <c r="CW61" s="44">
        <f t="shared" ref="CW61:DH61" si="347">SUM(CW13+CW19+CW25+CW31+CW37+CW43+CW49+CW55)</f>
        <v>6844</v>
      </c>
      <c r="CX61" s="44">
        <f t="shared" si="347"/>
        <v>6299</v>
      </c>
      <c r="CY61" s="44">
        <f t="shared" si="347"/>
        <v>6761</v>
      </c>
      <c r="CZ61" s="44">
        <f t="shared" si="347"/>
        <v>5487</v>
      </c>
      <c r="DA61" s="44">
        <f t="shared" si="347"/>
        <v>5599</v>
      </c>
      <c r="DB61" s="44">
        <f t="shared" si="347"/>
        <v>5647</v>
      </c>
      <c r="DC61" s="44">
        <f t="shared" si="347"/>
        <v>6234</v>
      </c>
      <c r="DD61" s="44">
        <f t="shared" si="347"/>
        <v>5854</v>
      </c>
      <c r="DE61" s="44">
        <f t="shared" si="347"/>
        <v>5389</v>
      </c>
      <c r="DF61" s="44">
        <f t="shared" si="347"/>
        <v>6305</v>
      </c>
      <c r="DG61" s="44">
        <f t="shared" si="347"/>
        <v>5019</v>
      </c>
      <c r="DH61" s="44">
        <f t="shared" si="347"/>
        <v>5032</v>
      </c>
      <c r="DI61" s="38">
        <f t="shared" si="0"/>
        <v>70470</v>
      </c>
      <c r="DJ61" s="36">
        <f>SUM(CV61+DI61)</f>
        <v>80984</v>
      </c>
      <c r="DK61" s="26"/>
      <c r="DL61" s="7">
        <f t="shared" ref="DL61:DW61" si="348">SUM(DL13+DL19+DL25+DL31+DL37+DL43+DL49+DL55)</f>
        <v>328</v>
      </c>
      <c r="DM61" s="7">
        <f t="shared" si="348"/>
        <v>239</v>
      </c>
      <c r="DN61" s="7">
        <f t="shared" si="348"/>
        <v>181</v>
      </c>
      <c r="DO61" s="7">
        <f t="shared" si="348"/>
        <v>240</v>
      </c>
      <c r="DP61" s="7">
        <f t="shared" si="348"/>
        <v>283</v>
      </c>
      <c r="DQ61" s="7">
        <f t="shared" si="348"/>
        <v>276</v>
      </c>
      <c r="DR61" s="7">
        <f t="shared" si="348"/>
        <v>231</v>
      </c>
      <c r="DS61" s="7">
        <f t="shared" si="348"/>
        <v>220</v>
      </c>
      <c r="DT61" s="7">
        <f t="shared" si="348"/>
        <v>172</v>
      </c>
      <c r="DU61" s="7">
        <f t="shared" si="348"/>
        <v>245</v>
      </c>
      <c r="DV61" s="7">
        <f t="shared" si="348"/>
        <v>217</v>
      </c>
      <c r="DW61" s="52">
        <f t="shared" si="348"/>
        <v>235</v>
      </c>
      <c r="DX61" s="38">
        <f t="shared" si="1"/>
        <v>2867</v>
      </c>
      <c r="DY61" s="44">
        <f t="shared" ref="DY61:EJ61" si="349">SUM(DY13+DY19+DY25+DY31+DY37+DY43+DY49+DY55)</f>
        <v>5549</v>
      </c>
      <c r="DZ61" s="44">
        <f t="shared" si="349"/>
        <v>4209</v>
      </c>
      <c r="EA61" s="44">
        <f t="shared" si="349"/>
        <v>4474</v>
      </c>
      <c r="EB61" s="44">
        <f t="shared" si="349"/>
        <v>3542</v>
      </c>
      <c r="EC61" s="44">
        <f t="shared" si="349"/>
        <v>3820</v>
      </c>
      <c r="ED61" s="44">
        <f t="shared" si="349"/>
        <v>3924</v>
      </c>
      <c r="EE61" s="44">
        <f t="shared" si="349"/>
        <v>4346</v>
      </c>
      <c r="EF61" s="44">
        <f t="shared" si="349"/>
        <v>3701</v>
      </c>
      <c r="EG61" s="44">
        <f t="shared" si="349"/>
        <v>3630</v>
      </c>
      <c r="EH61" s="44">
        <f t="shared" si="349"/>
        <v>3759</v>
      </c>
      <c r="EI61" s="44">
        <f t="shared" si="349"/>
        <v>3420</v>
      </c>
      <c r="EJ61" s="44">
        <f t="shared" si="349"/>
        <v>3360</v>
      </c>
      <c r="EK61" s="38">
        <f t="shared" si="18"/>
        <v>47734</v>
      </c>
      <c r="EL61" s="36">
        <f>SUM(DX61+EK61)</f>
        <v>50601</v>
      </c>
      <c r="EM61" s="26"/>
      <c r="EN61" s="44">
        <f t="shared" ref="EN61:EY61" si="350">SUM(EN13+EN19+EN25+EN31+EN37+EN43+EN49+EN55)</f>
        <v>7465</v>
      </c>
      <c r="EO61" s="44">
        <f t="shared" si="350"/>
        <v>6584</v>
      </c>
      <c r="EP61" s="44">
        <f t="shared" si="350"/>
        <v>7045</v>
      </c>
      <c r="EQ61" s="44">
        <f t="shared" si="350"/>
        <v>6168</v>
      </c>
      <c r="ER61" s="44">
        <f t="shared" si="350"/>
        <v>5826</v>
      </c>
      <c r="ES61" s="44">
        <f t="shared" si="350"/>
        <v>5909</v>
      </c>
      <c r="ET61" s="44">
        <f t="shared" si="350"/>
        <v>7114</v>
      </c>
      <c r="EU61" s="44">
        <f t="shared" si="350"/>
        <v>7060</v>
      </c>
      <c r="EV61" s="44">
        <f t="shared" si="350"/>
        <v>6519</v>
      </c>
      <c r="EW61" s="44">
        <f t="shared" si="350"/>
        <v>7185</v>
      </c>
      <c r="EX61" s="44">
        <f t="shared" si="350"/>
        <v>5902</v>
      </c>
      <c r="EY61" s="44">
        <f t="shared" si="350"/>
        <v>5360</v>
      </c>
      <c r="EZ61" s="38">
        <f t="shared" si="293"/>
        <v>78137</v>
      </c>
      <c r="FA61" s="26"/>
      <c r="FB61" s="44">
        <f t="shared" ref="FB61:FM61" si="351">SUM(FB13+FB19+FB25+FB31+FB37+FB43+FB49+FB55)</f>
        <v>4871</v>
      </c>
      <c r="FC61" s="44">
        <f t="shared" si="351"/>
        <v>4114</v>
      </c>
      <c r="FD61" s="44">
        <f t="shared" si="351"/>
        <v>3593</v>
      </c>
      <c r="FE61" s="44">
        <f t="shared" si="351"/>
        <v>3732</v>
      </c>
      <c r="FF61" s="44">
        <f t="shared" si="351"/>
        <v>3445</v>
      </c>
      <c r="FG61" s="44">
        <f t="shared" si="351"/>
        <v>3306</v>
      </c>
      <c r="FH61" s="44">
        <f t="shared" si="351"/>
        <v>3344</v>
      </c>
      <c r="FI61" s="44">
        <f t="shared" si="351"/>
        <v>3772</v>
      </c>
      <c r="FJ61" s="44">
        <f t="shared" si="351"/>
        <v>3447</v>
      </c>
      <c r="FK61" s="44">
        <f t="shared" si="351"/>
        <v>3681</v>
      </c>
      <c r="FL61" s="44">
        <f t="shared" si="351"/>
        <v>4018</v>
      </c>
      <c r="FM61" s="44">
        <f t="shared" si="351"/>
        <v>4012</v>
      </c>
      <c r="FN61" s="38">
        <f t="shared" si="20"/>
        <v>45335</v>
      </c>
      <c r="FO61" s="26"/>
      <c r="FP61" s="44">
        <f t="shared" ref="FP61:GA61" si="352">SUM(FP13+FP19+FP25+FP31+FP37+FP43+FP49+FP55)</f>
        <v>2359</v>
      </c>
      <c r="FQ61" s="44">
        <f t="shared" si="352"/>
        <v>2037</v>
      </c>
      <c r="FR61" s="44">
        <f t="shared" si="352"/>
        <v>1938</v>
      </c>
      <c r="FS61" s="44">
        <f t="shared" si="352"/>
        <v>2300</v>
      </c>
      <c r="FT61" s="44">
        <f t="shared" si="352"/>
        <v>1666</v>
      </c>
      <c r="FU61" s="44">
        <f t="shared" si="352"/>
        <v>1924</v>
      </c>
      <c r="FV61" s="44">
        <f t="shared" si="352"/>
        <v>1842</v>
      </c>
      <c r="FW61" s="44">
        <f t="shared" si="352"/>
        <v>1701</v>
      </c>
      <c r="FX61" s="44">
        <f t="shared" si="352"/>
        <v>1507</v>
      </c>
      <c r="FY61" s="44">
        <f t="shared" si="352"/>
        <v>1543</v>
      </c>
      <c r="FZ61" s="44">
        <f t="shared" si="352"/>
        <v>1540</v>
      </c>
      <c r="GA61" s="44">
        <f t="shared" si="352"/>
        <v>1415</v>
      </c>
      <c r="GB61" s="38">
        <f t="shared" si="21"/>
        <v>21772</v>
      </c>
      <c r="GC61" s="26"/>
      <c r="GD61" s="44">
        <f t="shared" ref="GD61:GO61" si="353">SUM(GD13+GD19+GD25+GD31+GD37+GD43+GD49+GD55)</f>
        <v>2090</v>
      </c>
      <c r="GE61" s="44">
        <f t="shared" si="353"/>
        <v>2039</v>
      </c>
      <c r="GF61" s="44">
        <f t="shared" si="353"/>
        <v>1911</v>
      </c>
      <c r="GG61" s="44">
        <f t="shared" si="353"/>
        <v>1704</v>
      </c>
      <c r="GH61" s="44">
        <f t="shared" si="353"/>
        <v>1669</v>
      </c>
      <c r="GI61" s="44">
        <f t="shared" si="353"/>
        <v>1630</v>
      </c>
      <c r="GJ61" s="44">
        <f t="shared" si="353"/>
        <v>1543</v>
      </c>
      <c r="GK61" s="44">
        <f t="shared" si="353"/>
        <v>2159</v>
      </c>
      <c r="GL61" s="44">
        <f t="shared" si="353"/>
        <v>1743</v>
      </c>
      <c r="GM61" s="44">
        <f t="shared" si="353"/>
        <v>1976</v>
      </c>
      <c r="GN61" s="44">
        <f t="shared" si="353"/>
        <v>1892</v>
      </c>
      <c r="GO61" s="44">
        <f t="shared" si="353"/>
        <v>2021</v>
      </c>
      <c r="GP61" s="38">
        <f t="shared" si="22"/>
        <v>22377</v>
      </c>
      <c r="GQ61" s="26"/>
      <c r="GR61" s="44">
        <f t="shared" ref="GR61:HC61" si="354">SUM(GR13+GR19+GR25+GR31+GR37+GR43+GR49+GR55)</f>
        <v>589</v>
      </c>
      <c r="GS61" s="44">
        <f t="shared" si="354"/>
        <v>535</v>
      </c>
      <c r="GT61" s="44">
        <f t="shared" si="354"/>
        <v>688</v>
      </c>
      <c r="GU61" s="44">
        <f t="shared" si="354"/>
        <v>709</v>
      </c>
      <c r="GV61" s="44">
        <f t="shared" si="354"/>
        <v>612</v>
      </c>
      <c r="GW61" s="44">
        <f t="shared" si="354"/>
        <v>617</v>
      </c>
      <c r="GX61" s="44">
        <f t="shared" si="354"/>
        <v>523</v>
      </c>
      <c r="GY61" s="44">
        <f t="shared" si="354"/>
        <v>157</v>
      </c>
      <c r="GZ61" s="44">
        <f t="shared" si="354"/>
        <v>516</v>
      </c>
      <c r="HA61" s="44">
        <f t="shared" si="354"/>
        <v>372</v>
      </c>
      <c r="HB61" s="44">
        <f t="shared" si="354"/>
        <v>347</v>
      </c>
      <c r="HC61" s="44">
        <f t="shared" si="354"/>
        <v>303</v>
      </c>
      <c r="HD61" s="38">
        <f t="shared" si="23"/>
        <v>5968</v>
      </c>
      <c r="HE61" s="26"/>
      <c r="HF61" s="44">
        <f t="shared" ref="HF61:HQ61" si="355">SUM(HF13+HF19+HF25+HF31+HF37+HF43+HF49+HF55)</f>
        <v>6062</v>
      </c>
      <c r="HG61" s="44">
        <f t="shared" si="355"/>
        <v>6373</v>
      </c>
      <c r="HH61" s="44">
        <f t="shared" si="355"/>
        <v>5944</v>
      </c>
      <c r="HI61" s="44">
        <f t="shared" si="355"/>
        <v>5589</v>
      </c>
      <c r="HJ61" s="44">
        <f t="shared" si="355"/>
        <v>5463</v>
      </c>
      <c r="HK61" s="44">
        <f t="shared" si="355"/>
        <v>5781</v>
      </c>
      <c r="HL61" s="44">
        <f t="shared" si="355"/>
        <v>5802</v>
      </c>
      <c r="HM61" s="44">
        <f t="shared" si="355"/>
        <v>6024</v>
      </c>
      <c r="HN61" s="44">
        <f t="shared" si="355"/>
        <v>6094</v>
      </c>
      <c r="HO61" s="44">
        <f t="shared" si="355"/>
        <v>6095</v>
      </c>
      <c r="HP61" s="44">
        <f t="shared" si="355"/>
        <v>5066</v>
      </c>
      <c r="HQ61" s="44">
        <f t="shared" si="355"/>
        <v>4364</v>
      </c>
      <c r="HR61" s="38">
        <f t="shared" si="24"/>
        <v>68657</v>
      </c>
      <c r="HS61" s="26"/>
      <c r="HT61" s="44">
        <f t="shared" ref="HT61:IE61" si="356">SUM(HT13+HT19+HT25+HT31+HT37+HT43+HT49+HT55)</f>
        <v>2128</v>
      </c>
      <c r="HU61" s="44">
        <f t="shared" si="356"/>
        <v>1856</v>
      </c>
      <c r="HV61" s="44">
        <f t="shared" si="356"/>
        <v>2173</v>
      </c>
      <c r="HW61" s="44">
        <f t="shared" si="356"/>
        <v>1746</v>
      </c>
      <c r="HX61" s="44">
        <f t="shared" si="356"/>
        <v>1785</v>
      </c>
      <c r="HY61" s="44">
        <f t="shared" si="356"/>
        <v>1656</v>
      </c>
      <c r="HZ61" s="44">
        <f t="shared" si="356"/>
        <v>1548</v>
      </c>
      <c r="IA61" s="44">
        <f t="shared" si="356"/>
        <v>1702</v>
      </c>
      <c r="IB61" s="44">
        <f t="shared" si="356"/>
        <v>1733</v>
      </c>
      <c r="IC61" s="44">
        <f t="shared" si="356"/>
        <v>1761</v>
      </c>
      <c r="ID61" s="44">
        <f t="shared" si="356"/>
        <v>1617</v>
      </c>
      <c r="IE61" s="44">
        <f t="shared" si="356"/>
        <v>1292</v>
      </c>
      <c r="IF61" s="38">
        <f t="shared" si="300"/>
        <v>20997</v>
      </c>
      <c r="IG61" s="44">
        <f t="shared" ref="IG61:IR61" si="357">SUM(IG13+IG19+IG25+IG31+IG37+IG43+IG49+IG55)</f>
        <v>2299</v>
      </c>
      <c r="IH61" s="44">
        <f t="shared" si="357"/>
        <v>1985</v>
      </c>
      <c r="II61" s="44">
        <f t="shared" si="357"/>
        <v>1985</v>
      </c>
      <c r="IJ61" s="44">
        <f t="shared" si="357"/>
        <v>1775</v>
      </c>
      <c r="IK61" s="44">
        <f t="shared" si="357"/>
        <v>1511</v>
      </c>
      <c r="IL61" s="44">
        <f t="shared" si="357"/>
        <v>2060</v>
      </c>
      <c r="IM61" s="44">
        <f t="shared" si="357"/>
        <v>2085</v>
      </c>
      <c r="IN61" s="44">
        <f t="shared" si="357"/>
        <v>1671</v>
      </c>
      <c r="IO61" s="44">
        <f t="shared" si="357"/>
        <v>1609</v>
      </c>
      <c r="IP61" s="44">
        <f t="shared" si="357"/>
        <v>1790</v>
      </c>
      <c r="IQ61" s="44">
        <f t="shared" si="357"/>
        <v>2855</v>
      </c>
      <c r="IR61" s="44">
        <f t="shared" si="357"/>
        <v>1411</v>
      </c>
      <c r="IS61" s="38">
        <f t="shared" si="25"/>
        <v>23036</v>
      </c>
      <c r="IT61" s="36">
        <f t="shared" si="26"/>
        <v>44033</v>
      </c>
      <c r="IU61" s="26"/>
      <c r="IV61" s="44">
        <f t="shared" ref="IV61:JG61" si="358">SUM(IV13+IV19+IV25+IV31+IV37+IV43+IV49+IV55)</f>
        <v>2408</v>
      </c>
      <c r="IW61" s="44">
        <f t="shared" si="358"/>
        <v>2218</v>
      </c>
      <c r="IX61" s="44">
        <f t="shared" si="358"/>
        <v>2341</v>
      </c>
      <c r="IY61" s="44">
        <f t="shared" si="358"/>
        <v>2327</v>
      </c>
      <c r="IZ61" s="44">
        <f t="shared" si="358"/>
        <v>2094</v>
      </c>
      <c r="JA61" s="44">
        <f t="shared" si="358"/>
        <v>2151</v>
      </c>
      <c r="JB61" s="44">
        <f t="shared" si="358"/>
        <v>2097</v>
      </c>
      <c r="JC61" s="44">
        <f t="shared" si="358"/>
        <v>2206</v>
      </c>
      <c r="JD61" s="44">
        <f t="shared" si="358"/>
        <v>2255</v>
      </c>
      <c r="JE61" s="44">
        <f t="shared" si="358"/>
        <v>2188</v>
      </c>
      <c r="JF61" s="44">
        <f t="shared" si="358"/>
        <v>2165</v>
      </c>
      <c r="JG61" s="44">
        <f t="shared" si="358"/>
        <v>2136</v>
      </c>
      <c r="JH61" s="38">
        <f t="shared" si="27"/>
        <v>26586</v>
      </c>
      <c r="JI61" s="44">
        <f t="shared" ref="JI61:JT61" si="359">SUM(JI13+JI19+JI25+JI31+JI37+JI43+JI49+JI55)</f>
        <v>7508</v>
      </c>
      <c r="JJ61" s="44">
        <f t="shared" si="359"/>
        <v>7027.4</v>
      </c>
      <c r="JK61" s="44">
        <f t="shared" si="359"/>
        <v>6575.5999999999995</v>
      </c>
      <c r="JL61" s="44">
        <f t="shared" si="359"/>
        <v>6033.7999999999993</v>
      </c>
      <c r="JM61" s="44">
        <f t="shared" si="359"/>
        <v>5756.8</v>
      </c>
      <c r="JN61" s="44">
        <f t="shared" si="359"/>
        <v>6141.8</v>
      </c>
      <c r="JO61" s="44">
        <f t="shared" si="359"/>
        <v>6075.4000000000005</v>
      </c>
      <c r="JP61" s="44">
        <f t="shared" si="359"/>
        <v>6015.4000000000005</v>
      </c>
      <c r="JQ61" s="44">
        <f t="shared" si="359"/>
        <v>6394.6</v>
      </c>
      <c r="JR61" s="44">
        <f t="shared" si="359"/>
        <v>6447.2</v>
      </c>
      <c r="JS61" s="44">
        <f t="shared" si="359"/>
        <v>6079.2000000000007</v>
      </c>
      <c r="JT61" s="44">
        <f t="shared" si="359"/>
        <v>5886.8</v>
      </c>
      <c r="JU61" s="38">
        <f t="shared" si="4"/>
        <v>75942</v>
      </c>
      <c r="JV61" s="36">
        <f>SUM(JH61+JU61)</f>
        <v>102528</v>
      </c>
      <c r="JW61" s="26"/>
      <c r="JX61" s="44">
        <f t="shared" ref="JX61:KI61" si="360">SUM(JX13+JX19+JX25+JX31+JX37+JX43+JX49+JX55)</f>
        <v>716</v>
      </c>
      <c r="JY61" s="44">
        <f t="shared" si="360"/>
        <v>688</v>
      </c>
      <c r="JZ61" s="44">
        <f t="shared" si="360"/>
        <v>749</v>
      </c>
      <c r="KA61" s="44">
        <f t="shared" si="360"/>
        <v>676</v>
      </c>
      <c r="KB61" s="44">
        <f t="shared" si="360"/>
        <v>619</v>
      </c>
      <c r="KC61" s="44">
        <f t="shared" si="360"/>
        <v>675</v>
      </c>
      <c r="KD61" s="44">
        <f t="shared" si="360"/>
        <v>776</v>
      </c>
      <c r="KE61" s="44">
        <f t="shared" si="360"/>
        <v>814</v>
      </c>
      <c r="KF61" s="44">
        <f t="shared" si="360"/>
        <v>706</v>
      </c>
      <c r="KG61" s="44">
        <f t="shared" si="360"/>
        <v>749</v>
      </c>
      <c r="KH61" s="44">
        <f t="shared" si="360"/>
        <v>581</v>
      </c>
      <c r="KI61" s="44">
        <f t="shared" si="360"/>
        <v>573</v>
      </c>
      <c r="KJ61" s="38">
        <f t="shared" si="29"/>
        <v>8322</v>
      </c>
      <c r="KK61" s="44">
        <f t="shared" ref="KK61:KV61" si="361">SUM(KK13+KK19+KK25+KK31+KK37+KK43+KK49+KK55)</f>
        <v>5190</v>
      </c>
      <c r="KL61" s="44">
        <f t="shared" si="361"/>
        <v>4250</v>
      </c>
      <c r="KM61" s="44">
        <f t="shared" si="361"/>
        <v>4786</v>
      </c>
      <c r="KN61" s="44">
        <f t="shared" si="361"/>
        <v>4952</v>
      </c>
      <c r="KO61" s="44">
        <f t="shared" si="361"/>
        <v>3859</v>
      </c>
      <c r="KP61" s="44">
        <f t="shared" si="361"/>
        <v>4026</v>
      </c>
      <c r="KQ61" s="44">
        <f t="shared" si="361"/>
        <v>4618</v>
      </c>
      <c r="KR61" s="44">
        <f t="shared" si="361"/>
        <v>4152</v>
      </c>
      <c r="KS61" s="44">
        <f t="shared" si="361"/>
        <v>4533</v>
      </c>
      <c r="KT61" s="44">
        <f t="shared" si="361"/>
        <v>4094</v>
      </c>
      <c r="KU61" s="44">
        <f t="shared" si="361"/>
        <v>3689</v>
      </c>
      <c r="KV61" s="44">
        <f t="shared" si="361"/>
        <v>4120</v>
      </c>
      <c r="KW61" s="38">
        <f t="shared" si="5"/>
        <v>52269</v>
      </c>
      <c r="KX61" s="36">
        <f t="shared" si="30"/>
        <v>60591</v>
      </c>
      <c r="KY61" s="26"/>
      <c r="KZ61" s="44">
        <f t="shared" ref="KZ61:LK61" si="362">SUM(KZ13+KZ19+KZ25+KZ31+KZ37+KZ43+KZ49+KZ55)</f>
        <v>2190</v>
      </c>
      <c r="LA61" s="44">
        <f t="shared" si="362"/>
        <v>1614</v>
      </c>
      <c r="LB61" s="44">
        <f t="shared" si="362"/>
        <v>1831</v>
      </c>
      <c r="LC61" s="44">
        <f t="shared" si="362"/>
        <v>2021</v>
      </c>
      <c r="LD61" s="44">
        <f t="shared" si="362"/>
        <v>1606</v>
      </c>
      <c r="LE61" s="44">
        <f t="shared" si="362"/>
        <v>1599</v>
      </c>
      <c r="LF61" s="44">
        <f t="shared" si="362"/>
        <v>1466</v>
      </c>
      <c r="LG61" s="44">
        <f t="shared" si="362"/>
        <v>1624</v>
      </c>
      <c r="LH61" s="44">
        <f t="shared" si="362"/>
        <v>1548</v>
      </c>
      <c r="LI61" s="44">
        <f t="shared" si="362"/>
        <v>1441</v>
      </c>
      <c r="LJ61" s="44">
        <f t="shared" si="362"/>
        <v>1334</v>
      </c>
      <c r="LK61" s="44">
        <f t="shared" si="362"/>
        <v>1283</v>
      </c>
      <c r="LL61" s="38">
        <f t="shared" si="307"/>
        <v>19557</v>
      </c>
      <c r="LM61" s="26"/>
      <c r="LN61" s="44">
        <f t="shared" ref="LN61:LY61" si="363">SUM(LN13+LN19+LN25+LN31+LN37+LN43+LN49+LN55)</f>
        <v>7765</v>
      </c>
      <c r="LO61" s="44">
        <f t="shared" si="363"/>
        <v>8066</v>
      </c>
      <c r="LP61" s="44">
        <f t="shared" si="363"/>
        <v>7962</v>
      </c>
      <c r="LQ61" s="44">
        <f t="shared" si="363"/>
        <v>7246</v>
      </c>
      <c r="LR61" s="44">
        <f t="shared" si="363"/>
        <v>6532</v>
      </c>
      <c r="LS61" s="44">
        <f t="shared" si="363"/>
        <v>6444</v>
      </c>
      <c r="LT61" s="44">
        <f t="shared" si="363"/>
        <v>6975</v>
      </c>
      <c r="LU61" s="44">
        <f t="shared" si="363"/>
        <v>7765</v>
      </c>
      <c r="LV61" s="44">
        <f t="shared" si="363"/>
        <v>6268</v>
      </c>
      <c r="LW61" s="44">
        <f t="shared" si="363"/>
        <v>6614</v>
      </c>
      <c r="LX61" s="44">
        <f t="shared" si="363"/>
        <v>5447</v>
      </c>
      <c r="LY61" s="44">
        <f t="shared" si="363"/>
        <v>5562</v>
      </c>
      <c r="LZ61" s="38">
        <f t="shared" si="31"/>
        <v>82646</v>
      </c>
      <c r="MA61" s="26"/>
      <c r="MB61" s="44">
        <f t="shared" ref="MB61:MM61" si="364">SUM(MB13+MB19+MB25+MB31+MB37+MB43+MB49+MB55)</f>
        <v>12610</v>
      </c>
      <c r="MC61" s="44">
        <f t="shared" si="364"/>
        <v>11317</v>
      </c>
      <c r="MD61" s="44">
        <f t="shared" si="364"/>
        <v>11332</v>
      </c>
      <c r="ME61" s="44">
        <f t="shared" si="364"/>
        <v>10746</v>
      </c>
      <c r="MF61" s="44">
        <f t="shared" si="364"/>
        <v>10141</v>
      </c>
      <c r="MG61" s="44">
        <f t="shared" si="364"/>
        <v>8456</v>
      </c>
      <c r="MH61" s="44">
        <f t="shared" si="364"/>
        <v>10284</v>
      </c>
      <c r="MI61" s="44">
        <f t="shared" si="364"/>
        <v>11458</v>
      </c>
      <c r="MJ61" s="44">
        <f t="shared" si="364"/>
        <v>10226</v>
      </c>
      <c r="MK61" s="44">
        <f t="shared" si="364"/>
        <v>11045</v>
      </c>
      <c r="ML61" s="44">
        <f t="shared" si="364"/>
        <v>10534</v>
      </c>
      <c r="MM61" s="44">
        <f t="shared" si="364"/>
        <v>8211</v>
      </c>
      <c r="MN61" s="38">
        <f t="shared" si="310"/>
        <v>126360</v>
      </c>
      <c r="MO61" s="44">
        <f t="shared" ref="MO61:MZ61" si="365">SUM(MO13+MO19+MO25+MO31+MO37+MO43+MO49+MO55)</f>
        <v>9895</v>
      </c>
      <c r="MP61" s="44">
        <f t="shared" si="365"/>
        <v>7412</v>
      </c>
      <c r="MQ61" s="44">
        <f t="shared" si="365"/>
        <v>8013</v>
      </c>
      <c r="MR61" s="44">
        <f t="shared" si="365"/>
        <v>7406</v>
      </c>
      <c r="MS61" s="44">
        <f t="shared" si="365"/>
        <v>7248</v>
      </c>
      <c r="MT61" s="44">
        <f t="shared" si="365"/>
        <v>7609</v>
      </c>
      <c r="MU61" s="44">
        <f t="shared" si="365"/>
        <v>9430</v>
      </c>
      <c r="MV61" s="44">
        <f t="shared" si="365"/>
        <v>8511</v>
      </c>
      <c r="MW61" s="44">
        <f t="shared" si="365"/>
        <v>9825</v>
      </c>
      <c r="MX61" s="44">
        <f t="shared" si="365"/>
        <v>10033</v>
      </c>
      <c r="MY61" s="44">
        <f t="shared" si="365"/>
        <v>8612</v>
      </c>
      <c r="MZ61" s="44">
        <f t="shared" si="365"/>
        <v>7028</v>
      </c>
      <c r="NA61" s="38">
        <f t="shared" si="33"/>
        <v>101022</v>
      </c>
      <c r="NB61" s="36">
        <f t="shared" si="34"/>
        <v>227382</v>
      </c>
      <c r="NC61" s="26"/>
      <c r="ND61" s="44">
        <f t="shared" ref="ND61:NO61" si="366">SUM(ND13+ND19+ND25+ND31+ND37+ND43+ND49+ND55)</f>
        <v>1576</v>
      </c>
      <c r="NE61" s="44">
        <f t="shared" si="366"/>
        <v>1447</v>
      </c>
      <c r="NF61" s="44">
        <f t="shared" si="366"/>
        <v>1313</v>
      </c>
      <c r="NG61" s="44">
        <f t="shared" si="366"/>
        <v>1276</v>
      </c>
      <c r="NH61" s="44">
        <f t="shared" si="366"/>
        <v>1158</v>
      </c>
      <c r="NI61" s="44">
        <f t="shared" si="366"/>
        <v>1291</v>
      </c>
      <c r="NJ61" s="44">
        <f t="shared" si="366"/>
        <v>1559</v>
      </c>
      <c r="NK61" s="44">
        <f t="shared" si="366"/>
        <v>1522</v>
      </c>
      <c r="NL61" s="44">
        <f t="shared" si="366"/>
        <v>1553</v>
      </c>
      <c r="NM61" s="44">
        <f t="shared" si="366"/>
        <v>1657</v>
      </c>
      <c r="NN61" s="44">
        <f t="shared" si="366"/>
        <v>980</v>
      </c>
      <c r="NO61" s="44">
        <f t="shared" si="366"/>
        <v>1127</v>
      </c>
      <c r="NP61" s="38">
        <f t="shared" si="35"/>
        <v>16459</v>
      </c>
      <c r="NQ61" s="36">
        <f t="shared" si="36"/>
        <v>211891.76767676766</v>
      </c>
      <c r="NR61" s="36">
        <f t="shared" si="37"/>
        <v>743561.54545454541</v>
      </c>
      <c r="NS61" s="36">
        <f t="shared" si="38"/>
        <v>318394</v>
      </c>
      <c r="NT61" s="36">
        <f t="shared" si="39"/>
        <v>1273847.3131313131</v>
      </c>
      <c r="NU61" s="21"/>
      <c r="NV61" s="21"/>
      <c r="NW61" s="21"/>
      <c r="NX61" s="21"/>
      <c r="NY61" s="21"/>
      <c r="NZ61" s="21"/>
      <c r="OA61" s="21"/>
      <c r="OB61" s="21"/>
      <c r="OC61" s="21"/>
      <c r="OD61" s="21"/>
      <c r="OE61" s="21"/>
      <c r="OF61" s="21"/>
      <c r="OG61" s="21"/>
      <c r="OH61" s="21"/>
      <c r="OI61" s="21"/>
      <c r="OJ61" s="21"/>
      <c r="OK61" s="21"/>
      <c r="OL61" s="21"/>
      <c r="OM61" s="21"/>
      <c r="ON61" s="21"/>
      <c r="OO61" s="21"/>
      <c r="OP61" s="22"/>
      <c r="OQ61" s="21"/>
      <c r="OR61" s="21"/>
      <c r="OS61" s="21"/>
      <c r="OT61" s="21"/>
      <c r="OU61" s="21"/>
      <c r="OV61" s="21"/>
      <c r="OW61" s="21"/>
      <c r="OX61" s="21"/>
      <c r="OY61" s="21"/>
      <c r="OZ61" s="21"/>
      <c r="PA61" s="21"/>
      <c r="PB61" s="21"/>
      <c r="PC61" s="21"/>
      <c r="PD61" s="21"/>
      <c r="PE61" s="21"/>
      <c r="PF61" s="21"/>
      <c r="PG61" s="21"/>
      <c r="PH61" s="21"/>
      <c r="PI61" s="21"/>
      <c r="PJ61" s="21"/>
      <c r="PK61" s="21"/>
      <c r="PL61" s="21"/>
      <c r="PM61" s="21"/>
      <c r="PN61" s="21"/>
      <c r="PO61" s="21"/>
      <c r="PP61" s="22"/>
      <c r="PQ61" s="21"/>
      <c r="PR61" s="21"/>
      <c r="PS61" s="21"/>
      <c r="PT61" s="21"/>
      <c r="PU61" s="21"/>
      <c r="PV61" s="21"/>
      <c r="PW61" s="21"/>
      <c r="PX61" s="21"/>
      <c r="PY61" s="21"/>
      <c r="PZ61" s="21"/>
      <c r="QA61" s="21"/>
      <c r="QB61" s="21"/>
      <c r="QC61" s="21"/>
      <c r="QD61" s="21"/>
      <c r="QE61" s="21"/>
      <c r="QF61" s="21"/>
      <c r="QG61" s="21"/>
      <c r="QH61" s="21"/>
      <c r="QI61" s="21"/>
      <c r="QJ61" s="21"/>
      <c r="QK61" s="21"/>
      <c r="QL61" s="21"/>
      <c r="QM61" s="21"/>
      <c r="QN61" s="21"/>
      <c r="QO61" s="21"/>
      <c r="QP61" s="22"/>
    </row>
    <row r="62" spans="1:458" ht="50.1" customHeight="1" x14ac:dyDescent="0.25">
      <c r="A62" s="131"/>
      <c r="B62" s="6" t="s">
        <v>21</v>
      </c>
      <c r="C62" s="25"/>
      <c r="D62" s="44">
        <f t="shared" ref="D62:O62" si="367">SUM(D14+D20+D26+D32+D38+D44+D50+D56)</f>
        <v>0</v>
      </c>
      <c r="E62" s="44">
        <f t="shared" si="367"/>
        <v>0</v>
      </c>
      <c r="F62" s="44">
        <f t="shared" si="367"/>
        <v>0</v>
      </c>
      <c r="G62" s="44">
        <f t="shared" si="367"/>
        <v>0</v>
      </c>
      <c r="H62" s="44">
        <f t="shared" si="367"/>
        <v>0</v>
      </c>
      <c r="I62" s="44">
        <f t="shared" si="367"/>
        <v>0</v>
      </c>
      <c r="J62" s="44">
        <f t="shared" si="367"/>
        <v>0</v>
      </c>
      <c r="K62" s="44">
        <f t="shared" si="367"/>
        <v>0</v>
      </c>
      <c r="L62" s="44">
        <f t="shared" si="367"/>
        <v>0</v>
      </c>
      <c r="M62" s="44">
        <f t="shared" si="367"/>
        <v>0</v>
      </c>
      <c r="N62" s="44">
        <f t="shared" si="367"/>
        <v>0</v>
      </c>
      <c r="O62" s="44">
        <f t="shared" si="367"/>
        <v>0</v>
      </c>
      <c r="P62" s="38">
        <f t="shared" si="7"/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8">
        <f t="shared" ref="AC62" si="368">SUM(Q62:AB62)</f>
        <v>0</v>
      </c>
      <c r="AD62" s="36">
        <f t="shared" si="9"/>
        <v>0</v>
      </c>
      <c r="AE62" s="26"/>
      <c r="AF62" s="44">
        <f t="shared" ref="AF62:AQ62" si="369">SUM(AF14+AF20+AF26+AF32+AF38+AF44+AF50+AF56)</f>
        <v>0</v>
      </c>
      <c r="AG62" s="44">
        <f t="shared" si="369"/>
        <v>0</v>
      </c>
      <c r="AH62" s="44">
        <f t="shared" si="369"/>
        <v>0</v>
      </c>
      <c r="AI62" s="44">
        <f t="shared" si="369"/>
        <v>0</v>
      </c>
      <c r="AJ62" s="44">
        <f t="shared" si="369"/>
        <v>0</v>
      </c>
      <c r="AK62" s="44">
        <f t="shared" si="369"/>
        <v>0</v>
      </c>
      <c r="AL62" s="44">
        <f t="shared" si="369"/>
        <v>0</v>
      </c>
      <c r="AM62" s="44">
        <f t="shared" si="369"/>
        <v>0</v>
      </c>
      <c r="AN62" s="44">
        <f t="shared" si="369"/>
        <v>0</v>
      </c>
      <c r="AO62" s="44">
        <f t="shared" si="369"/>
        <v>0</v>
      </c>
      <c r="AP62" s="44">
        <f t="shared" si="369"/>
        <v>0</v>
      </c>
      <c r="AQ62" s="44">
        <f t="shared" si="369"/>
        <v>0</v>
      </c>
      <c r="AR62" s="38">
        <f t="shared" si="10"/>
        <v>0</v>
      </c>
      <c r="AS62" s="44">
        <f t="shared" ref="AS62:BD62" si="370">SUM(AS14+AS20+AS26+AS32+AS38+AS44+AS50+AS56)</f>
        <v>8</v>
      </c>
      <c r="AT62" s="44">
        <f t="shared" si="370"/>
        <v>7</v>
      </c>
      <c r="AU62" s="44">
        <f t="shared" si="370"/>
        <v>10</v>
      </c>
      <c r="AV62" s="44">
        <f t="shared" si="370"/>
        <v>4</v>
      </c>
      <c r="AW62" s="44">
        <f t="shared" si="370"/>
        <v>7</v>
      </c>
      <c r="AX62" s="44">
        <f t="shared" si="370"/>
        <v>6</v>
      </c>
      <c r="AY62" s="44">
        <f t="shared" si="370"/>
        <v>3</v>
      </c>
      <c r="AZ62" s="44">
        <f t="shared" si="370"/>
        <v>9</v>
      </c>
      <c r="BA62" s="44">
        <f t="shared" si="370"/>
        <v>6</v>
      </c>
      <c r="BB62" s="44">
        <f t="shared" si="370"/>
        <v>0</v>
      </c>
      <c r="BC62" s="44">
        <f t="shared" si="370"/>
        <v>9</v>
      </c>
      <c r="BD62" s="44">
        <f t="shared" si="370"/>
        <v>4</v>
      </c>
      <c r="BE62" s="38">
        <f t="shared" si="11"/>
        <v>73</v>
      </c>
      <c r="BF62" s="36">
        <f t="shared" si="12"/>
        <v>73</v>
      </c>
      <c r="BG62" s="26"/>
      <c r="BH62" s="44">
        <f t="shared" ref="BH62:BS62" si="371">SUM(BH14+BH20+BH26+BH32+BH38+BH44+BH50+BH56)</f>
        <v>0</v>
      </c>
      <c r="BI62" s="44">
        <f t="shared" si="371"/>
        <v>0</v>
      </c>
      <c r="BJ62" s="44">
        <f t="shared" si="371"/>
        <v>0</v>
      </c>
      <c r="BK62" s="44">
        <f t="shared" si="371"/>
        <v>0</v>
      </c>
      <c r="BL62" s="44">
        <f t="shared" si="371"/>
        <v>0</v>
      </c>
      <c r="BM62" s="44">
        <f t="shared" si="371"/>
        <v>0</v>
      </c>
      <c r="BN62" s="44">
        <f t="shared" si="371"/>
        <v>0</v>
      </c>
      <c r="BO62" s="44">
        <f t="shared" si="371"/>
        <v>0</v>
      </c>
      <c r="BP62" s="44">
        <f t="shared" si="371"/>
        <v>0</v>
      </c>
      <c r="BQ62" s="44">
        <f t="shared" si="371"/>
        <v>0</v>
      </c>
      <c r="BR62" s="44">
        <f t="shared" si="371"/>
        <v>0</v>
      </c>
      <c r="BS62" s="44">
        <f t="shared" si="371"/>
        <v>0</v>
      </c>
      <c r="BT62" s="38">
        <f t="shared" si="13"/>
        <v>0</v>
      </c>
      <c r="BU62" s="60">
        <f t="shared" ref="BU62:CF62" si="372">SUM(BU14+BU20+BU26+BU32+BU38+BU44+BU50+BU56)</f>
        <v>2</v>
      </c>
      <c r="BV62" s="60">
        <f t="shared" si="372"/>
        <v>8</v>
      </c>
      <c r="BW62" s="60">
        <f t="shared" si="372"/>
        <v>4</v>
      </c>
      <c r="BX62" s="60">
        <f t="shared" si="372"/>
        <v>6</v>
      </c>
      <c r="BY62" s="60">
        <f t="shared" si="372"/>
        <v>5</v>
      </c>
      <c r="BZ62" s="60">
        <f t="shared" si="372"/>
        <v>5</v>
      </c>
      <c r="CA62" s="60">
        <f t="shared" si="372"/>
        <v>3</v>
      </c>
      <c r="CB62" s="60">
        <f t="shared" si="372"/>
        <v>3</v>
      </c>
      <c r="CC62" s="60">
        <f t="shared" si="372"/>
        <v>5</v>
      </c>
      <c r="CD62" s="60">
        <f t="shared" si="372"/>
        <v>4</v>
      </c>
      <c r="CE62" s="60">
        <f t="shared" si="372"/>
        <v>3</v>
      </c>
      <c r="CF62" s="60">
        <f t="shared" si="372"/>
        <v>5</v>
      </c>
      <c r="CG62" s="61">
        <f t="shared" si="14"/>
        <v>53</v>
      </c>
      <c r="CH62" s="57">
        <f t="shared" si="15"/>
        <v>53</v>
      </c>
      <c r="CI62" s="26"/>
      <c r="CJ62" s="44">
        <f t="shared" ref="CJ62:CU62" si="373">SUM(CJ14+CJ20+CJ26+CJ32+CJ38+CJ44+CJ50+CJ56)</f>
        <v>14</v>
      </c>
      <c r="CK62" s="44">
        <f t="shared" si="373"/>
        <v>7</v>
      </c>
      <c r="CL62" s="44">
        <f t="shared" si="373"/>
        <v>4</v>
      </c>
      <c r="CM62" s="44">
        <f t="shared" si="373"/>
        <v>9</v>
      </c>
      <c r="CN62" s="44">
        <f t="shared" si="373"/>
        <v>17</v>
      </c>
      <c r="CO62" s="44">
        <f t="shared" si="373"/>
        <v>24</v>
      </c>
      <c r="CP62" s="44">
        <f t="shared" si="373"/>
        <v>17</v>
      </c>
      <c r="CQ62" s="44">
        <f t="shared" si="373"/>
        <v>19</v>
      </c>
      <c r="CR62" s="44">
        <f t="shared" si="373"/>
        <v>17</v>
      </c>
      <c r="CS62" s="44">
        <f t="shared" si="373"/>
        <v>13</v>
      </c>
      <c r="CT62" s="44">
        <f t="shared" si="373"/>
        <v>27</v>
      </c>
      <c r="CU62" s="44">
        <f t="shared" si="373"/>
        <v>24</v>
      </c>
      <c r="CV62" s="38">
        <f t="shared" si="16"/>
        <v>192</v>
      </c>
      <c r="CW62" s="44">
        <f t="shared" ref="CW62:DH62" si="374">SUM(CW14+CW20+CW26+CW32+CW38+CW44+CW50+CW56)</f>
        <v>26</v>
      </c>
      <c r="CX62" s="44">
        <f t="shared" si="374"/>
        <v>27</v>
      </c>
      <c r="CY62" s="44">
        <f t="shared" si="374"/>
        <v>46</v>
      </c>
      <c r="CZ62" s="44">
        <f t="shared" si="374"/>
        <v>31</v>
      </c>
      <c r="DA62" s="44">
        <f t="shared" si="374"/>
        <v>32</v>
      </c>
      <c r="DB62" s="44">
        <f t="shared" si="374"/>
        <v>31</v>
      </c>
      <c r="DC62" s="44">
        <f t="shared" si="374"/>
        <v>29</v>
      </c>
      <c r="DD62" s="44">
        <f t="shared" si="374"/>
        <v>15</v>
      </c>
      <c r="DE62" s="44">
        <f t="shared" si="374"/>
        <v>21</v>
      </c>
      <c r="DF62" s="44">
        <f t="shared" si="374"/>
        <v>16</v>
      </c>
      <c r="DG62" s="44">
        <f t="shared" si="374"/>
        <v>25</v>
      </c>
      <c r="DH62" s="44">
        <f t="shared" si="374"/>
        <v>19</v>
      </c>
      <c r="DI62" s="38">
        <f t="shared" si="0"/>
        <v>318</v>
      </c>
      <c r="DJ62" s="36">
        <f t="shared" si="17"/>
        <v>510</v>
      </c>
      <c r="DK62" s="26"/>
      <c r="DL62" s="7">
        <f t="shared" ref="DL62:DW63" si="375">SUM(DL14+DL20+DL26+DL32+DL38+DL44+DL50+DL56)</f>
        <v>0</v>
      </c>
      <c r="DM62" s="7">
        <f t="shared" si="375"/>
        <v>0</v>
      </c>
      <c r="DN62" s="7">
        <f t="shared" si="375"/>
        <v>0</v>
      </c>
      <c r="DO62" s="7">
        <f t="shared" si="375"/>
        <v>0</v>
      </c>
      <c r="DP62" s="7">
        <f t="shared" si="375"/>
        <v>0</v>
      </c>
      <c r="DQ62" s="7">
        <f t="shared" si="375"/>
        <v>0</v>
      </c>
      <c r="DR62" s="7">
        <f t="shared" si="375"/>
        <v>0</v>
      </c>
      <c r="DS62" s="7">
        <f t="shared" si="375"/>
        <v>0</v>
      </c>
      <c r="DT62" s="7">
        <f t="shared" si="375"/>
        <v>0</v>
      </c>
      <c r="DU62" s="7">
        <f t="shared" si="375"/>
        <v>0</v>
      </c>
      <c r="DV62" s="7">
        <f t="shared" si="375"/>
        <v>0</v>
      </c>
      <c r="DW62" s="52">
        <f t="shared" si="375"/>
        <v>0</v>
      </c>
      <c r="DX62" s="38">
        <f t="shared" si="1"/>
        <v>0</v>
      </c>
      <c r="DY62" s="44">
        <f t="shared" ref="DY62:EJ62" si="376">SUM(DY14+DY20+DY26+DY32+DY38+DY44+DY50+DY56)</f>
        <v>85</v>
      </c>
      <c r="DZ62" s="44">
        <f t="shared" si="376"/>
        <v>81</v>
      </c>
      <c r="EA62" s="44">
        <f t="shared" si="376"/>
        <v>78</v>
      </c>
      <c r="EB62" s="44">
        <f t="shared" si="376"/>
        <v>65</v>
      </c>
      <c r="EC62" s="44">
        <f t="shared" si="376"/>
        <v>101</v>
      </c>
      <c r="ED62" s="44">
        <f t="shared" si="376"/>
        <v>97</v>
      </c>
      <c r="EE62" s="44">
        <f t="shared" si="376"/>
        <v>111</v>
      </c>
      <c r="EF62" s="44">
        <f t="shared" si="376"/>
        <v>60</v>
      </c>
      <c r="EG62" s="44">
        <f t="shared" si="376"/>
        <v>33</v>
      </c>
      <c r="EH62" s="44">
        <f t="shared" si="376"/>
        <v>38</v>
      </c>
      <c r="EI62" s="44">
        <f t="shared" si="376"/>
        <v>34</v>
      </c>
      <c r="EJ62" s="44">
        <f t="shared" si="376"/>
        <v>37</v>
      </c>
      <c r="EK62" s="38">
        <f t="shared" si="18"/>
        <v>820</v>
      </c>
      <c r="EL62" s="36">
        <f t="shared" si="19"/>
        <v>820</v>
      </c>
      <c r="EM62" s="26"/>
      <c r="EN62" s="44">
        <f t="shared" ref="EN62:EY62" si="377">SUM(EN14+EN20+EN26+EN32+EN38+EN44+EN50+EN56)</f>
        <v>0</v>
      </c>
      <c r="EO62" s="44">
        <f t="shared" si="377"/>
        <v>0</v>
      </c>
      <c r="EP62" s="44">
        <f t="shared" si="377"/>
        <v>0</v>
      </c>
      <c r="EQ62" s="44">
        <f t="shared" si="377"/>
        <v>0</v>
      </c>
      <c r="ER62" s="44">
        <f t="shared" si="377"/>
        <v>0</v>
      </c>
      <c r="ES62" s="44">
        <f t="shared" si="377"/>
        <v>0</v>
      </c>
      <c r="ET62" s="44">
        <f t="shared" si="377"/>
        <v>0</v>
      </c>
      <c r="EU62" s="44">
        <f t="shared" si="377"/>
        <v>0</v>
      </c>
      <c r="EV62" s="44">
        <f t="shared" si="377"/>
        <v>0</v>
      </c>
      <c r="EW62" s="44">
        <f t="shared" si="377"/>
        <v>0</v>
      </c>
      <c r="EX62" s="44">
        <f t="shared" si="377"/>
        <v>0</v>
      </c>
      <c r="EY62" s="44">
        <f t="shared" si="377"/>
        <v>0</v>
      </c>
      <c r="EZ62" s="38">
        <f t="shared" si="293"/>
        <v>0</v>
      </c>
      <c r="FA62" s="26"/>
      <c r="FB62" s="44">
        <f t="shared" ref="FB62:FM62" si="378">SUM(FB14+FB20+FB26+FB32+FB38+FB44+FB50+FB56)</f>
        <v>0</v>
      </c>
      <c r="FC62" s="44">
        <f t="shared" si="378"/>
        <v>0</v>
      </c>
      <c r="FD62" s="44">
        <f t="shared" si="378"/>
        <v>0</v>
      </c>
      <c r="FE62" s="44">
        <f t="shared" si="378"/>
        <v>0</v>
      </c>
      <c r="FF62" s="44">
        <f t="shared" si="378"/>
        <v>0</v>
      </c>
      <c r="FG62" s="44">
        <f t="shared" si="378"/>
        <v>0</v>
      </c>
      <c r="FH62" s="44">
        <f t="shared" si="378"/>
        <v>0</v>
      </c>
      <c r="FI62" s="44">
        <f t="shared" si="378"/>
        <v>0</v>
      </c>
      <c r="FJ62" s="44">
        <f t="shared" si="378"/>
        <v>0</v>
      </c>
      <c r="FK62" s="44">
        <f t="shared" si="378"/>
        <v>0</v>
      </c>
      <c r="FL62" s="44">
        <f t="shared" si="378"/>
        <v>0</v>
      </c>
      <c r="FM62" s="44">
        <f t="shared" si="378"/>
        <v>0</v>
      </c>
      <c r="FN62" s="38">
        <f t="shared" si="20"/>
        <v>0</v>
      </c>
      <c r="FO62" s="26"/>
      <c r="FP62" s="44">
        <f t="shared" ref="FP62:GA62" si="379">SUM(FP14+FP20+FP26+FP32+FP38+FP44+FP50+FP56)</f>
        <v>0</v>
      </c>
      <c r="FQ62" s="44">
        <f t="shared" si="379"/>
        <v>0</v>
      </c>
      <c r="FR62" s="44">
        <f t="shared" si="379"/>
        <v>0</v>
      </c>
      <c r="FS62" s="44">
        <f t="shared" si="379"/>
        <v>0</v>
      </c>
      <c r="FT62" s="44">
        <f t="shared" si="379"/>
        <v>0</v>
      </c>
      <c r="FU62" s="44">
        <f t="shared" si="379"/>
        <v>0</v>
      </c>
      <c r="FV62" s="44">
        <f t="shared" si="379"/>
        <v>0</v>
      </c>
      <c r="FW62" s="44">
        <f t="shared" si="379"/>
        <v>0</v>
      </c>
      <c r="FX62" s="44">
        <f t="shared" si="379"/>
        <v>0</v>
      </c>
      <c r="FY62" s="44">
        <f t="shared" si="379"/>
        <v>0</v>
      </c>
      <c r="FZ62" s="44">
        <f t="shared" si="379"/>
        <v>0</v>
      </c>
      <c r="GA62" s="44">
        <f t="shared" si="379"/>
        <v>0</v>
      </c>
      <c r="GB62" s="38">
        <f t="shared" si="21"/>
        <v>0</v>
      </c>
      <c r="GC62" s="26"/>
      <c r="GD62" s="44">
        <f t="shared" ref="GD62:GO62" si="380">SUM(GD14+GD20+GD26+GD32+GD38+GD44+GD50+GD56)</f>
        <v>6</v>
      </c>
      <c r="GE62" s="44">
        <f t="shared" si="380"/>
        <v>7</v>
      </c>
      <c r="GF62" s="44">
        <f t="shared" si="380"/>
        <v>4</v>
      </c>
      <c r="GG62" s="44">
        <f t="shared" si="380"/>
        <v>4</v>
      </c>
      <c r="GH62" s="44">
        <f t="shared" si="380"/>
        <v>6</v>
      </c>
      <c r="GI62" s="44">
        <f t="shared" si="380"/>
        <v>0</v>
      </c>
      <c r="GJ62" s="44">
        <f t="shared" si="380"/>
        <v>0</v>
      </c>
      <c r="GK62" s="44">
        <f t="shared" si="380"/>
        <v>0</v>
      </c>
      <c r="GL62" s="44">
        <f t="shared" si="380"/>
        <v>0</v>
      </c>
      <c r="GM62" s="44">
        <f t="shared" si="380"/>
        <v>0</v>
      </c>
      <c r="GN62" s="44">
        <f t="shared" si="380"/>
        <v>0</v>
      </c>
      <c r="GO62" s="44">
        <f t="shared" si="380"/>
        <v>0</v>
      </c>
      <c r="GP62" s="38">
        <f t="shared" si="22"/>
        <v>27</v>
      </c>
      <c r="GQ62" s="26"/>
      <c r="GR62" s="44">
        <f t="shared" ref="GR62:HC62" si="381">SUM(GR14+GR20+GR26+GR32+GR38+GR44+GR50+GR56)</f>
        <v>15</v>
      </c>
      <c r="GS62" s="44">
        <f t="shared" si="381"/>
        <v>7</v>
      </c>
      <c r="GT62" s="44">
        <f t="shared" si="381"/>
        <v>3</v>
      </c>
      <c r="GU62" s="44">
        <f t="shared" si="381"/>
        <v>0</v>
      </c>
      <c r="GV62" s="44">
        <f t="shared" si="381"/>
        <v>4</v>
      </c>
      <c r="GW62" s="44">
        <f t="shared" si="381"/>
        <v>1</v>
      </c>
      <c r="GX62" s="44">
        <f t="shared" si="381"/>
        <v>4</v>
      </c>
      <c r="GY62" s="44">
        <f t="shared" si="381"/>
        <v>1</v>
      </c>
      <c r="GZ62" s="44">
        <f t="shared" si="381"/>
        <v>0</v>
      </c>
      <c r="HA62" s="44">
        <f t="shared" si="381"/>
        <v>2</v>
      </c>
      <c r="HB62" s="44">
        <f t="shared" si="381"/>
        <v>0</v>
      </c>
      <c r="HC62" s="44">
        <f t="shared" si="381"/>
        <v>0</v>
      </c>
      <c r="HD62" s="38">
        <f t="shared" si="23"/>
        <v>37</v>
      </c>
      <c r="HE62" s="26"/>
      <c r="HF62" s="44">
        <f t="shared" ref="HF62:HQ62" si="382">SUM(HF14+HF20+HF26+HF32+HF38+HF44+HF50+HF56)</f>
        <v>0</v>
      </c>
      <c r="HG62" s="44">
        <f t="shared" si="382"/>
        <v>0</v>
      </c>
      <c r="HH62" s="44">
        <f t="shared" si="382"/>
        <v>0</v>
      </c>
      <c r="HI62" s="44">
        <f t="shared" si="382"/>
        <v>0</v>
      </c>
      <c r="HJ62" s="44">
        <f t="shared" si="382"/>
        <v>0</v>
      </c>
      <c r="HK62" s="44">
        <f t="shared" si="382"/>
        <v>0</v>
      </c>
      <c r="HL62" s="44">
        <f t="shared" si="382"/>
        <v>0</v>
      </c>
      <c r="HM62" s="44">
        <f t="shared" si="382"/>
        <v>0</v>
      </c>
      <c r="HN62" s="44">
        <f t="shared" si="382"/>
        <v>0</v>
      </c>
      <c r="HO62" s="44">
        <f t="shared" si="382"/>
        <v>0</v>
      </c>
      <c r="HP62" s="44">
        <f t="shared" si="382"/>
        <v>0</v>
      </c>
      <c r="HQ62" s="44">
        <f t="shared" si="382"/>
        <v>0</v>
      </c>
      <c r="HR62" s="38">
        <f t="shared" si="24"/>
        <v>0</v>
      </c>
      <c r="HS62" s="26"/>
      <c r="HT62" s="44">
        <f t="shared" ref="HT62:IE62" si="383">SUM(HT14+HT20+HT26+HT32+HT38+HT44+HT50+HT56)</f>
        <v>0</v>
      </c>
      <c r="HU62" s="44">
        <f t="shared" si="383"/>
        <v>0</v>
      </c>
      <c r="HV62" s="44">
        <f t="shared" si="383"/>
        <v>0</v>
      </c>
      <c r="HW62" s="44">
        <f t="shared" si="383"/>
        <v>0</v>
      </c>
      <c r="HX62" s="44">
        <f t="shared" si="383"/>
        <v>0</v>
      </c>
      <c r="HY62" s="44">
        <f t="shared" si="383"/>
        <v>0</v>
      </c>
      <c r="HZ62" s="44">
        <f t="shared" si="383"/>
        <v>0</v>
      </c>
      <c r="IA62" s="44">
        <f t="shared" si="383"/>
        <v>0</v>
      </c>
      <c r="IB62" s="44">
        <f t="shared" si="383"/>
        <v>0</v>
      </c>
      <c r="IC62" s="44">
        <f t="shared" si="383"/>
        <v>0</v>
      </c>
      <c r="ID62" s="44">
        <f t="shared" si="383"/>
        <v>0</v>
      </c>
      <c r="IE62" s="44">
        <f t="shared" si="383"/>
        <v>0</v>
      </c>
      <c r="IF62" s="38">
        <f t="shared" si="300"/>
        <v>0</v>
      </c>
      <c r="IG62" s="44">
        <f t="shared" ref="IG62:IR62" si="384">SUM(IG14+IG20+IG26+IG32+IG38+IG44+IG50+IG56)</f>
        <v>5</v>
      </c>
      <c r="IH62" s="44">
        <f t="shared" si="384"/>
        <v>8</v>
      </c>
      <c r="II62" s="44">
        <f t="shared" si="384"/>
        <v>9</v>
      </c>
      <c r="IJ62" s="44">
        <f t="shared" si="384"/>
        <v>1</v>
      </c>
      <c r="IK62" s="44">
        <f t="shared" si="384"/>
        <v>8</v>
      </c>
      <c r="IL62" s="44">
        <f t="shared" si="384"/>
        <v>11</v>
      </c>
      <c r="IM62" s="44">
        <f t="shared" si="384"/>
        <v>7</v>
      </c>
      <c r="IN62" s="44">
        <f t="shared" si="384"/>
        <v>6</v>
      </c>
      <c r="IO62" s="44">
        <f t="shared" si="384"/>
        <v>3</v>
      </c>
      <c r="IP62" s="44">
        <f t="shared" si="384"/>
        <v>4</v>
      </c>
      <c r="IQ62" s="44">
        <f t="shared" si="384"/>
        <v>7</v>
      </c>
      <c r="IR62" s="44">
        <f t="shared" si="384"/>
        <v>2</v>
      </c>
      <c r="IS62" s="38">
        <f t="shared" si="25"/>
        <v>71</v>
      </c>
      <c r="IT62" s="36">
        <f t="shared" si="26"/>
        <v>71</v>
      </c>
      <c r="IU62" s="26"/>
      <c r="IV62" s="44">
        <f t="shared" ref="IV62:JG62" si="385">SUM(IV14+IV20+IV26+IV32+IV38+IV44+IV50+IV56)</f>
        <v>12</v>
      </c>
      <c r="IW62" s="44">
        <f t="shared" si="385"/>
        <v>15</v>
      </c>
      <c r="IX62" s="44">
        <f t="shared" si="385"/>
        <v>16</v>
      </c>
      <c r="IY62" s="44">
        <f t="shared" si="385"/>
        <v>19</v>
      </c>
      <c r="IZ62" s="44">
        <f t="shared" si="385"/>
        <v>23</v>
      </c>
      <c r="JA62" s="44">
        <f t="shared" si="385"/>
        <v>24</v>
      </c>
      <c r="JB62" s="44">
        <f t="shared" si="385"/>
        <v>22</v>
      </c>
      <c r="JC62" s="44">
        <f t="shared" si="385"/>
        <v>24</v>
      </c>
      <c r="JD62" s="44">
        <f t="shared" si="385"/>
        <v>21</v>
      </c>
      <c r="JE62" s="44">
        <f t="shared" si="385"/>
        <v>17</v>
      </c>
      <c r="JF62" s="44">
        <f t="shared" si="385"/>
        <v>23</v>
      </c>
      <c r="JG62" s="44">
        <f t="shared" si="385"/>
        <v>25</v>
      </c>
      <c r="JH62" s="38">
        <f t="shared" si="27"/>
        <v>241</v>
      </c>
      <c r="JI62" s="44">
        <f t="shared" ref="JI62:JT62" si="386">SUM(JI14+JI20+JI26+JI32+JI38+JI44+JI50+JI56)</f>
        <v>2</v>
      </c>
      <c r="JJ62" s="44">
        <f t="shared" si="386"/>
        <v>3</v>
      </c>
      <c r="JK62" s="44">
        <f t="shared" si="386"/>
        <v>12</v>
      </c>
      <c r="JL62" s="44">
        <f t="shared" si="386"/>
        <v>7</v>
      </c>
      <c r="JM62" s="44">
        <f t="shared" si="386"/>
        <v>10</v>
      </c>
      <c r="JN62" s="44">
        <f t="shared" si="386"/>
        <v>9</v>
      </c>
      <c r="JO62" s="44">
        <f t="shared" si="386"/>
        <v>10</v>
      </c>
      <c r="JP62" s="44">
        <f t="shared" si="386"/>
        <v>33</v>
      </c>
      <c r="JQ62" s="44">
        <f t="shared" si="386"/>
        <v>53</v>
      </c>
      <c r="JR62" s="44">
        <f t="shared" si="386"/>
        <v>37</v>
      </c>
      <c r="JS62" s="44">
        <f t="shared" si="386"/>
        <v>25</v>
      </c>
      <c r="JT62" s="44">
        <f t="shared" si="386"/>
        <v>31</v>
      </c>
      <c r="JU62" s="38">
        <f t="shared" si="4"/>
        <v>232</v>
      </c>
      <c r="JV62" s="36">
        <f t="shared" si="28"/>
        <v>473</v>
      </c>
      <c r="JW62" s="26"/>
      <c r="JX62" s="44">
        <f t="shared" ref="JX62:KI62" si="387">SUM(JX14+JX20+JX26+JX32+JX38+JX44+JX50+JX56)</f>
        <v>0</v>
      </c>
      <c r="JY62" s="44">
        <f t="shared" si="387"/>
        <v>0</v>
      </c>
      <c r="JZ62" s="44">
        <f t="shared" si="387"/>
        <v>0</v>
      </c>
      <c r="KA62" s="44">
        <f t="shared" si="387"/>
        <v>0</v>
      </c>
      <c r="KB62" s="44">
        <f t="shared" si="387"/>
        <v>0</v>
      </c>
      <c r="KC62" s="44">
        <f t="shared" si="387"/>
        <v>0</v>
      </c>
      <c r="KD62" s="44">
        <f t="shared" si="387"/>
        <v>0</v>
      </c>
      <c r="KE62" s="44">
        <f t="shared" si="387"/>
        <v>0</v>
      </c>
      <c r="KF62" s="44">
        <f t="shared" si="387"/>
        <v>0</v>
      </c>
      <c r="KG62" s="44">
        <f t="shared" si="387"/>
        <v>0</v>
      </c>
      <c r="KH62" s="44">
        <f t="shared" si="387"/>
        <v>0</v>
      </c>
      <c r="KI62" s="44">
        <f t="shared" si="387"/>
        <v>0</v>
      </c>
      <c r="KJ62" s="38">
        <f t="shared" si="29"/>
        <v>0</v>
      </c>
      <c r="KK62" s="44">
        <f t="shared" ref="KK62:KV62" si="388">SUM(KK14+KK20+KK26+KK32+KK38+KK44+KK50+KK56)</f>
        <v>88</v>
      </c>
      <c r="KL62" s="44">
        <f t="shared" si="388"/>
        <v>57</v>
      </c>
      <c r="KM62" s="44">
        <f t="shared" si="388"/>
        <v>126</v>
      </c>
      <c r="KN62" s="44">
        <f t="shared" si="388"/>
        <v>111</v>
      </c>
      <c r="KO62" s="44">
        <f t="shared" si="388"/>
        <v>85</v>
      </c>
      <c r="KP62" s="44">
        <f t="shared" si="388"/>
        <v>47</v>
      </c>
      <c r="KQ62" s="44">
        <f t="shared" si="388"/>
        <v>46</v>
      </c>
      <c r="KR62" s="44">
        <f t="shared" si="388"/>
        <v>52</v>
      </c>
      <c r="KS62" s="44">
        <f t="shared" si="388"/>
        <v>70</v>
      </c>
      <c r="KT62" s="44">
        <f t="shared" si="388"/>
        <v>95</v>
      </c>
      <c r="KU62" s="44">
        <f t="shared" si="388"/>
        <v>133</v>
      </c>
      <c r="KV62" s="44">
        <f t="shared" si="388"/>
        <v>135</v>
      </c>
      <c r="KW62" s="38">
        <f t="shared" si="5"/>
        <v>1045</v>
      </c>
      <c r="KX62" s="36">
        <f t="shared" si="30"/>
        <v>1045</v>
      </c>
      <c r="KY62" s="26"/>
      <c r="KZ62" s="44">
        <f t="shared" ref="KZ62:LK62" si="389">SUM(KZ14+KZ20+KZ26+KZ32+KZ38+KZ44+KZ50+KZ56)</f>
        <v>8</v>
      </c>
      <c r="LA62" s="44">
        <f t="shared" si="389"/>
        <v>13</v>
      </c>
      <c r="LB62" s="44">
        <f t="shared" si="389"/>
        <v>8</v>
      </c>
      <c r="LC62" s="44">
        <f t="shared" si="389"/>
        <v>10</v>
      </c>
      <c r="LD62" s="44">
        <f t="shared" si="389"/>
        <v>12</v>
      </c>
      <c r="LE62" s="44">
        <f t="shared" si="389"/>
        <v>12</v>
      </c>
      <c r="LF62" s="44">
        <f t="shared" si="389"/>
        <v>8</v>
      </c>
      <c r="LG62" s="44">
        <f t="shared" si="389"/>
        <v>11</v>
      </c>
      <c r="LH62" s="44">
        <f t="shared" si="389"/>
        <v>9</v>
      </c>
      <c r="LI62" s="44">
        <f t="shared" si="389"/>
        <v>4</v>
      </c>
      <c r="LJ62" s="44">
        <f t="shared" si="389"/>
        <v>10</v>
      </c>
      <c r="LK62" s="44">
        <f t="shared" si="389"/>
        <v>4</v>
      </c>
      <c r="LL62" s="38">
        <f t="shared" si="307"/>
        <v>109</v>
      </c>
      <c r="LM62" s="26"/>
      <c r="LN62" s="44">
        <f t="shared" ref="LN62:LY62" si="390">SUM(LN14+LN20+LN26+LN32+LN38+LN44+LN50+LN56)</f>
        <v>32</v>
      </c>
      <c r="LO62" s="44">
        <f t="shared" si="390"/>
        <v>27</v>
      </c>
      <c r="LP62" s="44">
        <f t="shared" si="390"/>
        <v>25</v>
      </c>
      <c r="LQ62" s="44">
        <f t="shared" si="390"/>
        <v>23</v>
      </c>
      <c r="LR62" s="44">
        <f t="shared" si="390"/>
        <v>34</v>
      </c>
      <c r="LS62" s="44">
        <f t="shared" si="390"/>
        <v>28</v>
      </c>
      <c r="LT62" s="44">
        <f t="shared" si="390"/>
        <v>31</v>
      </c>
      <c r="LU62" s="44">
        <f t="shared" si="390"/>
        <v>35</v>
      </c>
      <c r="LV62" s="44">
        <f t="shared" si="390"/>
        <v>28</v>
      </c>
      <c r="LW62" s="44">
        <f t="shared" si="390"/>
        <v>33</v>
      </c>
      <c r="LX62" s="44">
        <f t="shared" si="390"/>
        <v>27</v>
      </c>
      <c r="LY62" s="44">
        <f t="shared" si="390"/>
        <v>25</v>
      </c>
      <c r="LZ62" s="38">
        <f t="shared" si="31"/>
        <v>348</v>
      </c>
      <c r="MA62" s="26"/>
      <c r="MB62" s="44">
        <f t="shared" ref="MB62:MM62" si="391">SUM(MB14+MB20+MB26+MB32+MB38+MB44+MB50+MB56)</f>
        <v>17</v>
      </c>
      <c r="MC62" s="44">
        <f t="shared" si="391"/>
        <v>24</v>
      </c>
      <c r="MD62" s="44">
        <f t="shared" si="391"/>
        <v>23</v>
      </c>
      <c r="ME62" s="44">
        <f t="shared" si="391"/>
        <v>19</v>
      </c>
      <c r="MF62" s="44">
        <f t="shared" si="391"/>
        <v>33</v>
      </c>
      <c r="MG62" s="44">
        <f t="shared" si="391"/>
        <v>17</v>
      </c>
      <c r="MH62" s="44">
        <f t="shared" si="391"/>
        <v>23</v>
      </c>
      <c r="MI62" s="44">
        <f t="shared" si="391"/>
        <v>7</v>
      </c>
      <c r="MJ62" s="44">
        <f t="shared" si="391"/>
        <v>18</v>
      </c>
      <c r="MK62" s="44">
        <f t="shared" si="391"/>
        <v>13</v>
      </c>
      <c r="ML62" s="44">
        <f t="shared" si="391"/>
        <v>19</v>
      </c>
      <c r="MM62" s="44">
        <f t="shared" si="391"/>
        <v>20</v>
      </c>
      <c r="MN62" s="38">
        <f t="shared" si="310"/>
        <v>233</v>
      </c>
      <c r="MO62" s="44">
        <f t="shared" ref="MO62:MZ62" si="392">SUM(MO14+MO20+MO26+MO32+MO38+MO44+MO50+MO56)</f>
        <v>61</v>
      </c>
      <c r="MP62" s="44">
        <f t="shared" si="392"/>
        <v>207</v>
      </c>
      <c r="MQ62" s="44">
        <f t="shared" si="392"/>
        <v>280</v>
      </c>
      <c r="MR62" s="44">
        <f t="shared" si="392"/>
        <v>249</v>
      </c>
      <c r="MS62" s="44">
        <f t="shared" si="392"/>
        <v>220</v>
      </c>
      <c r="MT62" s="44">
        <f t="shared" si="392"/>
        <v>236</v>
      </c>
      <c r="MU62" s="44">
        <f t="shared" si="392"/>
        <v>161</v>
      </c>
      <c r="MV62" s="44">
        <f t="shared" si="392"/>
        <v>122</v>
      </c>
      <c r="MW62" s="44">
        <f t="shared" si="392"/>
        <v>149</v>
      </c>
      <c r="MX62" s="44">
        <f t="shared" si="392"/>
        <v>59</v>
      </c>
      <c r="MY62" s="44">
        <f t="shared" si="392"/>
        <v>33</v>
      </c>
      <c r="MZ62" s="44">
        <f t="shared" si="392"/>
        <v>40</v>
      </c>
      <c r="NA62" s="38">
        <f t="shared" si="33"/>
        <v>1817</v>
      </c>
      <c r="NB62" s="36">
        <f t="shared" si="34"/>
        <v>2050</v>
      </c>
      <c r="NC62" s="26"/>
      <c r="ND62" s="44">
        <f t="shared" ref="ND62:NO62" si="393">SUM(ND14+ND20+ND26+ND32+ND38+ND44+ND50+ND56)</f>
        <v>0</v>
      </c>
      <c r="NE62" s="44">
        <f t="shared" si="393"/>
        <v>0</v>
      </c>
      <c r="NF62" s="44">
        <f t="shared" si="393"/>
        <v>0</v>
      </c>
      <c r="NG62" s="44">
        <f t="shared" si="393"/>
        <v>0</v>
      </c>
      <c r="NH62" s="44">
        <f t="shared" si="393"/>
        <v>1</v>
      </c>
      <c r="NI62" s="44">
        <f t="shared" si="393"/>
        <v>0</v>
      </c>
      <c r="NJ62" s="44">
        <f t="shared" si="393"/>
        <v>0</v>
      </c>
      <c r="NK62" s="44">
        <f t="shared" si="393"/>
        <v>0</v>
      </c>
      <c r="NL62" s="44">
        <f t="shared" si="393"/>
        <v>0</v>
      </c>
      <c r="NM62" s="44">
        <f t="shared" si="393"/>
        <v>0</v>
      </c>
      <c r="NN62" s="44">
        <f t="shared" si="393"/>
        <v>0</v>
      </c>
      <c r="NO62" s="44">
        <f t="shared" si="393"/>
        <v>0</v>
      </c>
      <c r="NP62" s="38">
        <f t="shared" si="35"/>
        <v>1</v>
      </c>
      <c r="NQ62" s="36">
        <f t="shared" si="36"/>
        <v>229</v>
      </c>
      <c r="NR62" s="36">
        <f t="shared" si="37"/>
        <v>3339</v>
      </c>
      <c r="NS62" s="36">
        <f t="shared" si="38"/>
        <v>2049</v>
      </c>
      <c r="NT62" s="36">
        <f t="shared" si="39"/>
        <v>5617</v>
      </c>
      <c r="NU62" s="21"/>
      <c r="NV62" s="21"/>
      <c r="NW62" s="21"/>
      <c r="NX62" s="21"/>
      <c r="NY62" s="21"/>
      <c r="NZ62" s="21"/>
      <c r="OA62" s="21"/>
      <c r="OB62" s="21"/>
      <c r="OC62" s="21"/>
      <c r="OD62" s="21"/>
      <c r="OE62" s="21"/>
      <c r="OF62" s="21"/>
      <c r="OG62" s="21"/>
      <c r="OH62" s="21"/>
      <c r="OI62" s="21"/>
      <c r="OJ62" s="21"/>
      <c r="OK62" s="21"/>
      <c r="OL62" s="21"/>
      <c r="OM62" s="21"/>
      <c r="ON62" s="21"/>
      <c r="OO62" s="21"/>
      <c r="OP62" s="22"/>
      <c r="OQ62" s="21"/>
      <c r="OR62" s="21"/>
      <c r="OS62" s="21"/>
      <c r="OT62" s="21"/>
      <c r="OU62" s="21"/>
      <c r="OV62" s="21"/>
      <c r="OW62" s="21"/>
      <c r="OX62" s="21"/>
      <c r="OY62" s="21"/>
      <c r="OZ62" s="21"/>
      <c r="PA62" s="21"/>
      <c r="PB62" s="21"/>
      <c r="PC62" s="21"/>
      <c r="PD62" s="21"/>
      <c r="PE62" s="21"/>
      <c r="PF62" s="21"/>
      <c r="PG62" s="21"/>
      <c r="PH62" s="21"/>
      <c r="PI62" s="21"/>
      <c r="PJ62" s="21"/>
      <c r="PK62" s="21"/>
      <c r="PL62" s="21"/>
      <c r="PM62" s="21"/>
      <c r="PN62" s="21"/>
      <c r="PO62" s="21"/>
      <c r="PP62" s="22"/>
      <c r="PQ62" s="21"/>
      <c r="PR62" s="21"/>
      <c r="PS62" s="21"/>
      <c r="PT62" s="21"/>
      <c r="PU62" s="21"/>
      <c r="PV62" s="21"/>
      <c r="PW62" s="21"/>
      <c r="PX62" s="21"/>
      <c r="PY62" s="21"/>
      <c r="PZ62" s="21"/>
      <c r="QA62" s="21"/>
      <c r="QB62" s="21"/>
      <c r="QC62" s="21"/>
      <c r="QD62" s="21"/>
      <c r="QE62" s="21"/>
      <c r="QF62" s="21"/>
      <c r="QG62" s="21"/>
      <c r="QH62" s="21"/>
      <c r="QI62" s="21"/>
      <c r="QJ62" s="21"/>
      <c r="QK62" s="21"/>
      <c r="QL62" s="21"/>
      <c r="QM62" s="21"/>
      <c r="QN62" s="21"/>
      <c r="QO62" s="21"/>
      <c r="QP62" s="22"/>
    </row>
    <row r="63" spans="1:458" ht="50.1" customHeight="1" x14ac:dyDescent="0.25">
      <c r="A63" s="132"/>
      <c r="B63" s="6" t="s">
        <v>22</v>
      </c>
      <c r="C63" s="25"/>
      <c r="D63" s="44">
        <f t="shared" ref="D63:O63" si="394">SUM(D15+D21+D27+D33+D39+D45+D51+D57)</f>
        <v>0</v>
      </c>
      <c r="E63" s="44">
        <f t="shared" si="394"/>
        <v>0</v>
      </c>
      <c r="F63" s="44">
        <f t="shared" si="394"/>
        <v>0</v>
      </c>
      <c r="G63" s="44">
        <f t="shared" si="394"/>
        <v>0</v>
      </c>
      <c r="H63" s="44">
        <f t="shared" si="394"/>
        <v>0</v>
      </c>
      <c r="I63" s="44">
        <f t="shared" si="394"/>
        <v>0</v>
      </c>
      <c r="J63" s="44">
        <f t="shared" si="394"/>
        <v>0</v>
      </c>
      <c r="K63" s="44">
        <f t="shared" si="394"/>
        <v>0</v>
      </c>
      <c r="L63" s="44">
        <f t="shared" si="394"/>
        <v>0</v>
      </c>
      <c r="M63" s="44">
        <f t="shared" si="394"/>
        <v>0</v>
      </c>
      <c r="N63" s="44">
        <f t="shared" si="394"/>
        <v>0</v>
      </c>
      <c r="O63" s="44">
        <f t="shared" si="394"/>
        <v>0</v>
      </c>
      <c r="P63" s="38">
        <f t="shared" si="7"/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8">
        <f t="shared" si="8"/>
        <v>0</v>
      </c>
      <c r="AD63" s="36">
        <f t="shared" si="9"/>
        <v>0</v>
      </c>
      <c r="AE63" s="26"/>
      <c r="AF63" s="44">
        <f t="shared" ref="AF63:AQ63" si="395">SUM(AF15+AF21+AF27+AF33+AF39+AF45+AF51+AF57)</f>
        <v>0</v>
      </c>
      <c r="AG63" s="44">
        <f t="shared" si="395"/>
        <v>0</v>
      </c>
      <c r="AH63" s="44">
        <f t="shared" si="395"/>
        <v>0</v>
      </c>
      <c r="AI63" s="44">
        <f t="shared" si="395"/>
        <v>0</v>
      </c>
      <c r="AJ63" s="44">
        <f t="shared" si="395"/>
        <v>0</v>
      </c>
      <c r="AK63" s="44">
        <f t="shared" si="395"/>
        <v>0</v>
      </c>
      <c r="AL63" s="44">
        <f t="shared" si="395"/>
        <v>0</v>
      </c>
      <c r="AM63" s="44">
        <f t="shared" si="395"/>
        <v>0</v>
      </c>
      <c r="AN63" s="44">
        <f t="shared" si="395"/>
        <v>0</v>
      </c>
      <c r="AO63" s="44">
        <f t="shared" si="395"/>
        <v>0</v>
      </c>
      <c r="AP63" s="44">
        <f t="shared" si="395"/>
        <v>0</v>
      </c>
      <c r="AQ63" s="44">
        <f t="shared" si="395"/>
        <v>0</v>
      </c>
      <c r="AR63" s="38">
        <f t="shared" si="10"/>
        <v>0</v>
      </c>
      <c r="AS63" s="44">
        <f t="shared" ref="AS63:BD63" si="396">SUM(AS15+AS21+AS27+AS33+AS39+AS45+AS51+AS57)</f>
        <v>0</v>
      </c>
      <c r="AT63" s="44">
        <f t="shared" si="396"/>
        <v>0</v>
      </c>
      <c r="AU63" s="44">
        <f t="shared" si="396"/>
        <v>0</v>
      </c>
      <c r="AV63" s="44">
        <f t="shared" si="396"/>
        <v>0</v>
      </c>
      <c r="AW63" s="44">
        <f t="shared" si="396"/>
        <v>0</v>
      </c>
      <c r="AX63" s="44">
        <f t="shared" si="396"/>
        <v>0</v>
      </c>
      <c r="AY63" s="44">
        <f t="shared" si="396"/>
        <v>0</v>
      </c>
      <c r="AZ63" s="44">
        <f t="shared" si="396"/>
        <v>0</v>
      </c>
      <c r="BA63" s="44">
        <f t="shared" si="396"/>
        <v>0</v>
      </c>
      <c r="BB63" s="44">
        <f t="shared" si="396"/>
        <v>0</v>
      </c>
      <c r="BC63" s="44">
        <f t="shared" si="396"/>
        <v>0</v>
      </c>
      <c r="BD63" s="44">
        <f t="shared" si="396"/>
        <v>0</v>
      </c>
      <c r="BE63" s="38">
        <f t="shared" si="11"/>
        <v>0</v>
      </c>
      <c r="BF63" s="36">
        <f t="shared" si="12"/>
        <v>0</v>
      </c>
      <c r="BG63" s="26"/>
      <c r="BH63" s="44">
        <f t="shared" ref="BH63:BS63" si="397">SUM(BH15+BH21+BH27+BH33+BH39+BH45+BH51+BH57)</f>
        <v>0</v>
      </c>
      <c r="BI63" s="44">
        <f t="shared" si="397"/>
        <v>0</v>
      </c>
      <c r="BJ63" s="44">
        <f t="shared" si="397"/>
        <v>0</v>
      </c>
      <c r="BK63" s="44">
        <f t="shared" si="397"/>
        <v>0</v>
      </c>
      <c r="BL63" s="44">
        <f t="shared" si="397"/>
        <v>0</v>
      </c>
      <c r="BM63" s="44">
        <f t="shared" si="397"/>
        <v>0</v>
      </c>
      <c r="BN63" s="44">
        <f t="shared" si="397"/>
        <v>0</v>
      </c>
      <c r="BO63" s="44">
        <f t="shared" si="397"/>
        <v>0</v>
      </c>
      <c r="BP63" s="44">
        <f t="shared" si="397"/>
        <v>0</v>
      </c>
      <c r="BQ63" s="44">
        <f t="shared" si="397"/>
        <v>0</v>
      </c>
      <c r="BR63" s="44">
        <f t="shared" si="397"/>
        <v>0</v>
      </c>
      <c r="BS63" s="44">
        <f t="shared" si="397"/>
        <v>0</v>
      </c>
      <c r="BT63" s="38">
        <f t="shared" si="13"/>
        <v>0</v>
      </c>
      <c r="BU63" s="60">
        <f t="shared" ref="BU63:CF63" si="398">SUM(BU15+BU21+BU27+BU33+BU39+BU45+BU51+BU57)</f>
        <v>0</v>
      </c>
      <c r="BV63" s="60">
        <f t="shared" si="398"/>
        <v>0</v>
      </c>
      <c r="BW63" s="60">
        <f t="shared" si="398"/>
        <v>0</v>
      </c>
      <c r="BX63" s="60">
        <f t="shared" si="398"/>
        <v>0</v>
      </c>
      <c r="BY63" s="60">
        <f t="shared" si="398"/>
        <v>0</v>
      </c>
      <c r="BZ63" s="60">
        <f t="shared" si="398"/>
        <v>0</v>
      </c>
      <c r="CA63" s="60">
        <f t="shared" si="398"/>
        <v>0</v>
      </c>
      <c r="CB63" s="60">
        <f t="shared" si="398"/>
        <v>0</v>
      </c>
      <c r="CC63" s="60">
        <f t="shared" si="398"/>
        <v>0</v>
      </c>
      <c r="CD63" s="60">
        <f t="shared" si="398"/>
        <v>0</v>
      </c>
      <c r="CE63" s="60">
        <f t="shared" si="398"/>
        <v>0</v>
      </c>
      <c r="CF63" s="60">
        <f t="shared" si="398"/>
        <v>0</v>
      </c>
      <c r="CG63" s="61">
        <f t="shared" si="14"/>
        <v>0</v>
      </c>
      <c r="CH63" s="57">
        <f t="shared" si="15"/>
        <v>0</v>
      </c>
      <c r="CI63" s="26"/>
      <c r="CJ63" s="44">
        <f t="shared" ref="CJ63:CU63" si="399">SUM(CJ15+CJ21+CJ27+CJ33+CJ39+CJ45+CJ51+CJ57)</f>
        <v>0</v>
      </c>
      <c r="CK63" s="44">
        <f t="shared" si="399"/>
        <v>0</v>
      </c>
      <c r="CL63" s="44">
        <f t="shared" si="399"/>
        <v>0</v>
      </c>
      <c r="CM63" s="44">
        <f t="shared" si="399"/>
        <v>0</v>
      </c>
      <c r="CN63" s="44">
        <f t="shared" si="399"/>
        <v>0</v>
      </c>
      <c r="CO63" s="44">
        <f t="shared" si="399"/>
        <v>0</v>
      </c>
      <c r="CP63" s="44">
        <f t="shared" si="399"/>
        <v>0</v>
      </c>
      <c r="CQ63" s="44">
        <f t="shared" si="399"/>
        <v>0</v>
      </c>
      <c r="CR63" s="44">
        <f t="shared" si="399"/>
        <v>0</v>
      </c>
      <c r="CS63" s="44">
        <f t="shared" si="399"/>
        <v>0</v>
      </c>
      <c r="CT63" s="44">
        <f t="shared" si="399"/>
        <v>0</v>
      </c>
      <c r="CU63" s="44">
        <f t="shared" si="399"/>
        <v>0</v>
      </c>
      <c r="CV63" s="38">
        <f t="shared" si="16"/>
        <v>0</v>
      </c>
      <c r="CW63" s="44">
        <f t="shared" ref="CW63:DH63" si="400">SUM(CW15+CW21+CW27+CW33+CW39+CW45+CW51+CW57)</f>
        <v>0</v>
      </c>
      <c r="CX63" s="44">
        <f t="shared" si="400"/>
        <v>0</v>
      </c>
      <c r="CY63" s="44">
        <f t="shared" si="400"/>
        <v>0</v>
      </c>
      <c r="CZ63" s="44">
        <f t="shared" si="400"/>
        <v>0</v>
      </c>
      <c r="DA63" s="44">
        <f t="shared" si="400"/>
        <v>0</v>
      </c>
      <c r="DB63" s="44">
        <f t="shared" si="400"/>
        <v>0</v>
      </c>
      <c r="DC63" s="44">
        <f t="shared" si="400"/>
        <v>0</v>
      </c>
      <c r="DD63" s="44">
        <f t="shared" si="400"/>
        <v>0</v>
      </c>
      <c r="DE63" s="44">
        <f t="shared" si="400"/>
        <v>0</v>
      </c>
      <c r="DF63" s="44">
        <f t="shared" si="400"/>
        <v>0</v>
      </c>
      <c r="DG63" s="44">
        <f t="shared" si="400"/>
        <v>0</v>
      </c>
      <c r="DH63" s="44">
        <f t="shared" si="400"/>
        <v>0</v>
      </c>
      <c r="DI63" s="38">
        <f>SUM(CW63:DH63)</f>
        <v>0</v>
      </c>
      <c r="DJ63" s="36">
        <f t="shared" si="17"/>
        <v>0</v>
      </c>
      <c r="DK63" s="26"/>
      <c r="DL63" s="7">
        <f>SUM(DL15+DL21+DL27+DL33+DL39+DL45+DL51+DL57)</f>
        <v>0</v>
      </c>
      <c r="DM63" s="7">
        <f t="shared" si="375"/>
        <v>0</v>
      </c>
      <c r="DN63" s="7">
        <f t="shared" si="375"/>
        <v>0</v>
      </c>
      <c r="DO63" s="7">
        <f t="shared" si="375"/>
        <v>0</v>
      </c>
      <c r="DP63" s="7">
        <f t="shared" si="375"/>
        <v>0</v>
      </c>
      <c r="DQ63" s="7">
        <f t="shared" si="375"/>
        <v>0</v>
      </c>
      <c r="DR63" s="7">
        <f t="shared" si="375"/>
        <v>0</v>
      </c>
      <c r="DS63" s="7">
        <f t="shared" si="375"/>
        <v>0</v>
      </c>
      <c r="DT63" s="7">
        <f t="shared" si="375"/>
        <v>0</v>
      </c>
      <c r="DU63" s="7">
        <f t="shared" si="375"/>
        <v>0</v>
      </c>
      <c r="DV63" s="7">
        <f t="shared" si="375"/>
        <v>0</v>
      </c>
      <c r="DW63" s="52">
        <f t="shared" si="375"/>
        <v>0</v>
      </c>
      <c r="DX63" s="38">
        <f>SUM(DL63:DW63)</f>
        <v>0</v>
      </c>
      <c r="DY63" s="44">
        <f t="shared" ref="DY63:EJ63" si="401">SUM(DY15+DY21+DY27+DY33+DY39+DY45+DY51+DY57)</f>
        <v>0</v>
      </c>
      <c r="DZ63" s="44">
        <f t="shared" si="401"/>
        <v>0</v>
      </c>
      <c r="EA63" s="44">
        <f t="shared" si="401"/>
        <v>0</v>
      </c>
      <c r="EB63" s="44">
        <f t="shared" si="401"/>
        <v>0</v>
      </c>
      <c r="EC63" s="44">
        <f t="shared" si="401"/>
        <v>0</v>
      </c>
      <c r="ED63" s="44">
        <f t="shared" si="401"/>
        <v>0</v>
      </c>
      <c r="EE63" s="44">
        <f t="shared" si="401"/>
        <v>0</v>
      </c>
      <c r="EF63" s="44">
        <f t="shared" si="401"/>
        <v>0</v>
      </c>
      <c r="EG63" s="44">
        <f t="shared" si="401"/>
        <v>0</v>
      </c>
      <c r="EH63" s="44">
        <f t="shared" si="401"/>
        <v>0</v>
      </c>
      <c r="EI63" s="44">
        <f t="shared" si="401"/>
        <v>0</v>
      </c>
      <c r="EJ63" s="44">
        <f t="shared" si="401"/>
        <v>0</v>
      </c>
      <c r="EK63" s="38">
        <f>SUM(DY63:EJ63)</f>
        <v>0</v>
      </c>
      <c r="EL63" s="36">
        <f t="shared" si="19"/>
        <v>0</v>
      </c>
      <c r="EM63" s="26"/>
      <c r="EN63" s="44">
        <f t="shared" ref="EN63:EY63" si="402">SUM(EN15+EN21+EN27+EN33+EN39+EN45+EN51+EN57)</f>
        <v>0</v>
      </c>
      <c r="EO63" s="44">
        <f t="shared" si="402"/>
        <v>0</v>
      </c>
      <c r="EP63" s="44">
        <f t="shared" si="402"/>
        <v>0</v>
      </c>
      <c r="EQ63" s="44">
        <f t="shared" si="402"/>
        <v>0</v>
      </c>
      <c r="ER63" s="44">
        <f t="shared" si="402"/>
        <v>0</v>
      </c>
      <c r="ES63" s="44">
        <f t="shared" si="402"/>
        <v>0</v>
      </c>
      <c r="ET63" s="44">
        <f t="shared" si="402"/>
        <v>0</v>
      </c>
      <c r="EU63" s="44">
        <f t="shared" si="402"/>
        <v>0</v>
      </c>
      <c r="EV63" s="44">
        <f t="shared" si="402"/>
        <v>0</v>
      </c>
      <c r="EW63" s="44">
        <f t="shared" si="402"/>
        <v>0</v>
      </c>
      <c r="EX63" s="44">
        <f t="shared" si="402"/>
        <v>0</v>
      </c>
      <c r="EY63" s="44">
        <f t="shared" si="402"/>
        <v>0</v>
      </c>
      <c r="EZ63" s="38">
        <f>SUM(EN63:EY63)</f>
        <v>0</v>
      </c>
      <c r="FA63" s="26"/>
      <c r="FB63" s="44">
        <f t="shared" ref="FB63:FM63" si="403">SUM(FB15+FB21+FB27+FB33+FB39+FB45+FB51+FB57)</f>
        <v>0</v>
      </c>
      <c r="FC63" s="44">
        <f t="shared" si="403"/>
        <v>0</v>
      </c>
      <c r="FD63" s="44">
        <f t="shared" si="403"/>
        <v>0</v>
      </c>
      <c r="FE63" s="44">
        <f t="shared" si="403"/>
        <v>0</v>
      </c>
      <c r="FF63" s="44">
        <f t="shared" si="403"/>
        <v>0</v>
      </c>
      <c r="FG63" s="44">
        <f t="shared" si="403"/>
        <v>0</v>
      </c>
      <c r="FH63" s="44">
        <f t="shared" si="403"/>
        <v>0</v>
      </c>
      <c r="FI63" s="44">
        <f t="shared" si="403"/>
        <v>0</v>
      </c>
      <c r="FJ63" s="44">
        <f t="shared" si="403"/>
        <v>0</v>
      </c>
      <c r="FK63" s="44">
        <f t="shared" si="403"/>
        <v>0</v>
      </c>
      <c r="FL63" s="44">
        <f t="shared" si="403"/>
        <v>0</v>
      </c>
      <c r="FM63" s="44">
        <f t="shared" si="403"/>
        <v>0</v>
      </c>
      <c r="FN63" s="38">
        <f t="shared" si="20"/>
        <v>0</v>
      </c>
      <c r="FO63" s="26"/>
      <c r="FP63" s="44">
        <f t="shared" ref="FP63:GA63" si="404">SUM(FP15+FP21+FP27+FP33+FP39+FP45+FP51+FP57)</f>
        <v>0</v>
      </c>
      <c r="FQ63" s="44">
        <f t="shared" si="404"/>
        <v>0</v>
      </c>
      <c r="FR63" s="44">
        <f t="shared" si="404"/>
        <v>0</v>
      </c>
      <c r="FS63" s="44">
        <f t="shared" si="404"/>
        <v>0</v>
      </c>
      <c r="FT63" s="44">
        <f t="shared" si="404"/>
        <v>0</v>
      </c>
      <c r="FU63" s="44">
        <f t="shared" si="404"/>
        <v>0</v>
      </c>
      <c r="FV63" s="44">
        <f t="shared" si="404"/>
        <v>0</v>
      </c>
      <c r="FW63" s="44">
        <f t="shared" si="404"/>
        <v>0</v>
      </c>
      <c r="FX63" s="44">
        <f t="shared" si="404"/>
        <v>0</v>
      </c>
      <c r="FY63" s="44">
        <f t="shared" si="404"/>
        <v>0</v>
      </c>
      <c r="FZ63" s="44">
        <f t="shared" si="404"/>
        <v>0</v>
      </c>
      <c r="GA63" s="44">
        <f t="shared" si="404"/>
        <v>0</v>
      </c>
      <c r="GB63" s="38">
        <f t="shared" si="21"/>
        <v>0</v>
      </c>
      <c r="GC63" s="26"/>
      <c r="GD63" s="44">
        <f t="shared" ref="GD63:GO63" si="405">SUM(GD15+GD21+GD27+GD33+GD39+GD45+GD51+GD57)</f>
        <v>0</v>
      </c>
      <c r="GE63" s="44">
        <f t="shared" si="405"/>
        <v>0</v>
      </c>
      <c r="GF63" s="44">
        <f t="shared" si="405"/>
        <v>0</v>
      </c>
      <c r="GG63" s="44">
        <f t="shared" si="405"/>
        <v>0</v>
      </c>
      <c r="GH63" s="44">
        <f t="shared" si="405"/>
        <v>0</v>
      </c>
      <c r="GI63" s="44">
        <f t="shared" si="405"/>
        <v>0</v>
      </c>
      <c r="GJ63" s="44">
        <f t="shared" si="405"/>
        <v>0</v>
      </c>
      <c r="GK63" s="44">
        <f t="shared" si="405"/>
        <v>0</v>
      </c>
      <c r="GL63" s="44">
        <f t="shared" si="405"/>
        <v>0</v>
      </c>
      <c r="GM63" s="44">
        <f t="shared" si="405"/>
        <v>0</v>
      </c>
      <c r="GN63" s="44">
        <f t="shared" si="405"/>
        <v>0</v>
      </c>
      <c r="GO63" s="44">
        <f t="shared" si="405"/>
        <v>0</v>
      </c>
      <c r="GP63" s="38">
        <f t="shared" si="22"/>
        <v>0</v>
      </c>
      <c r="GQ63" s="26"/>
      <c r="GR63" s="44">
        <f t="shared" ref="GR63:HC63" si="406">SUM(GR15+GR21+GR27+GR33+GR39+GR45+GR51+GR57)</f>
        <v>0</v>
      </c>
      <c r="GS63" s="44">
        <f t="shared" si="406"/>
        <v>0</v>
      </c>
      <c r="GT63" s="44">
        <f t="shared" si="406"/>
        <v>0</v>
      </c>
      <c r="GU63" s="44">
        <f t="shared" si="406"/>
        <v>0</v>
      </c>
      <c r="GV63" s="44">
        <f t="shared" si="406"/>
        <v>0</v>
      </c>
      <c r="GW63" s="44">
        <f t="shared" si="406"/>
        <v>0</v>
      </c>
      <c r="GX63" s="44">
        <f t="shared" si="406"/>
        <v>0</v>
      </c>
      <c r="GY63" s="44">
        <f t="shared" si="406"/>
        <v>0</v>
      </c>
      <c r="GZ63" s="44">
        <f t="shared" si="406"/>
        <v>0</v>
      </c>
      <c r="HA63" s="44">
        <f t="shared" si="406"/>
        <v>0</v>
      </c>
      <c r="HB63" s="44">
        <f t="shared" si="406"/>
        <v>0</v>
      </c>
      <c r="HC63" s="44">
        <f t="shared" si="406"/>
        <v>0</v>
      </c>
      <c r="HD63" s="38">
        <f t="shared" si="23"/>
        <v>0</v>
      </c>
      <c r="HE63" s="26"/>
      <c r="HF63" s="44">
        <f t="shared" ref="HF63:HQ63" si="407">SUM(HF15+HF21+HF27+HF33+HF39+HF45+HF51+HF57)</f>
        <v>0</v>
      </c>
      <c r="HG63" s="44">
        <f t="shared" si="407"/>
        <v>0</v>
      </c>
      <c r="HH63" s="44">
        <f t="shared" si="407"/>
        <v>0</v>
      </c>
      <c r="HI63" s="44">
        <f t="shared" si="407"/>
        <v>0</v>
      </c>
      <c r="HJ63" s="44">
        <f t="shared" si="407"/>
        <v>0</v>
      </c>
      <c r="HK63" s="44">
        <f t="shared" si="407"/>
        <v>0</v>
      </c>
      <c r="HL63" s="44">
        <f t="shared" si="407"/>
        <v>0</v>
      </c>
      <c r="HM63" s="44">
        <f t="shared" si="407"/>
        <v>0</v>
      </c>
      <c r="HN63" s="44">
        <f t="shared" si="407"/>
        <v>0</v>
      </c>
      <c r="HO63" s="44">
        <f t="shared" si="407"/>
        <v>0</v>
      </c>
      <c r="HP63" s="44">
        <f t="shared" si="407"/>
        <v>0</v>
      </c>
      <c r="HQ63" s="44">
        <f t="shared" si="407"/>
        <v>0</v>
      </c>
      <c r="HR63" s="38">
        <f t="shared" si="24"/>
        <v>0</v>
      </c>
      <c r="HS63" s="26"/>
      <c r="HT63" s="44">
        <f t="shared" ref="HT63:IE63" si="408">SUM(HT15+HT21+HT27+HT33+HT39+HT45+HT51+HT57)</f>
        <v>0</v>
      </c>
      <c r="HU63" s="44">
        <f t="shared" si="408"/>
        <v>0</v>
      </c>
      <c r="HV63" s="44">
        <f t="shared" si="408"/>
        <v>0</v>
      </c>
      <c r="HW63" s="44">
        <f t="shared" si="408"/>
        <v>0</v>
      </c>
      <c r="HX63" s="44">
        <f t="shared" si="408"/>
        <v>0</v>
      </c>
      <c r="HY63" s="44">
        <f t="shared" si="408"/>
        <v>0</v>
      </c>
      <c r="HZ63" s="44">
        <f t="shared" si="408"/>
        <v>0</v>
      </c>
      <c r="IA63" s="44">
        <f t="shared" si="408"/>
        <v>0</v>
      </c>
      <c r="IB63" s="44">
        <f t="shared" si="408"/>
        <v>0</v>
      </c>
      <c r="IC63" s="44">
        <f t="shared" si="408"/>
        <v>0</v>
      </c>
      <c r="ID63" s="44">
        <f t="shared" si="408"/>
        <v>0</v>
      </c>
      <c r="IE63" s="44">
        <f t="shared" si="408"/>
        <v>0</v>
      </c>
      <c r="IF63" s="38">
        <f>SUM(HT63:IE63)</f>
        <v>0</v>
      </c>
      <c r="IG63" s="44">
        <f t="shared" ref="IG63:IR63" si="409">SUM(IG15+IG21+IG27+IG33+IG39+IG45+IG51+IG57)</f>
        <v>0</v>
      </c>
      <c r="IH63" s="44">
        <f t="shared" si="409"/>
        <v>0</v>
      </c>
      <c r="II63" s="44">
        <f t="shared" si="409"/>
        <v>0</v>
      </c>
      <c r="IJ63" s="44">
        <f t="shared" si="409"/>
        <v>0</v>
      </c>
      <c r="IK63" s="44">
        <f t="shared" si="409"/>
        <v>0</v>
      </c>
      <c r="IL63" s="44">
        <f t="shared" si="409"/>
        <v>0</v>
      </c>
      <c r="IM63" s="44">
        <f t="shared" si="409"/>
        <v>0</v>
      </c>
      <c r="IN63" s="44">
        <f t="shared" si="409"/>
        <v>0</v>
      </c>
      <c r="IO63" s="44">
        <f t="shared" si="409"/>
        <v>0</v>
      </c>
      <c r="IP63" s="44">
        <f t="shared" si="409"/>
        <v>0</v>
      </c>
      <c r="IQ63" s="44">
        <f t="shared" si="409"/>
        <v>0</v>
      </c>
      <c r="IR63" s="44">
        <f t="shared" si="409"/>
        <v>0</v>
      </c>
      <c r="IS63" s="38">
        <f>SUM(IG63:IR63)</f>
        <v>0</v>
      </c>
      <c r="IT63" s="36">
        <f t="shared" si="26"/>
        <v>0</v>
      </c>
      <c r="IU63" s="26"/>
      <c r="IV63" s="44">
        <f t="shared" ref="IV63:JG63" si="410">SUM(IV15+IV21+IV27+IV33+IV39+IV45+IV51+IV57)</f>
        <v>0</v>
      </c>
      <c r="IW63" s="44">
        <f t="shared" si="410"/>
        <v>0</v>
      </c>
      <c r="IX63" s="44">
        <f t="shared" si="410"/>
        <v>0</v>
      </c>
      <c r="IY63" s="44">
        <f t="shared" si="410"/>
        <v>0</v>
      </c>
      <c r="IZ63" s="44">
        <f t="shared" si="410"/>
        <v>0</v>
      </c>
      <c r="JA63" s="44">
        <f t="shared" si="410"/>
        <v>0</v>
      </c>
      <c r="JB63" s="44">
        <f t="shared" si="410"/>
        <v>0</v>
      </c>
      <c r="JC63" s="44">
        <f t="shared" si="410"/>
        <v>0</v>
      </c>
      <c r="JD63" s="44">
        <f t="shared" si="410"/>
        <v>0</v>
      </c>
      <c r="JE63" s="44">
        <f t="shared" si="410"/>
        <v>0</v>
      </c>
      <c r="JF63" s="44">
        <f t="shared" si="410"/>
        <v>0</v>
      </c>
      <c r="JG63" s="44">
        <f t="shared" si="410"/>
        <v>0</v>
      </c>
      <c r="JH63" s="38">
        <f>SUM(IV63:JG63)</f>
        <v>0</v>
      </c>
      <c r="JI63" s="44">
        <f t="shared" ref="JI63:JT63" si="411">SUM(JI15+JI21+JI27+JI33+JI39+JI45+JI51+JI57)</f>
        <v>0</v>
      </c>
      <c r="JJ63" s="44">
        <f t="shared" si="411"/>
        <v>0</v>
      </c>
      <c r="JK63" s="44">
        <f t="shared" si="411"/>
        <v>0</v>
      </c>
      <c r="JL63" s="44">
        <f t="shared" si="411"/>
        <v>0</v>
      </c>
      <c r="JM63" s="44">
        <f t="shared" si="411"/>
        <v>0</v>
      </c>
      <c r="JN63" s="44">
        <f t="shared" si="411"/>
        <v>0</v>
      </c>
      <c r="JO63" s="44">
        <f t="shared" si="411"/>
        <v>0</v>
      </c>
      <c r="JP63" s="44">
        <f t="shared" si="411"/>
        <v>0</v>
      </c>
      <c r="JQ63" s="44">
        <f t="shared" si="411"/>
        <v>0</v>
      </c>
      <c r="JR63" s="44">
        <f t="shared" si="411"/>
        <v>0</v>
      </c>
      <c r="JS63" s="44">
        <f t="shared" si="411"/>
        <v>0</v>
      </c>
      <c r="JT63" s="44">
        <f t="shared" si="411"/>
        <v>0</v>
      </c>
      <c r="JU63" s="38">
        <f>SUM(JI63:JT63)</f>
        <v>0</v>
      </c>
      <c r="JV63" s="36">
        <f t="shared" si="28"/>
        <v>0</v>
      </c>
      <c r="JW63" s="26"/>
      <c r="JX63" s="44">
        <f t="shared" ref="JX63:KI63" si="412">SUM(JX15+JX21+JX27+JX33+JX39+JX45+JX51+JX57)</f>
        <v>0</v>
      </c>
      <c r="JY63" s="44">
        <f t="shared" si="412"/>
        <v>0</v>
      </c>
      <c r="JZ63" s="44">
        <f t="shared" si="412"/>
        <v>0</v>
      </c>
      <c r="KA63" s="44">
        <f t="shared" si="412"/>
        <v>0</v>
      </c>
      <c r="KB63" s="44">
        <f t="shared" si="412"/>
        <v>0</v>
      </c>
      <c r="KC63" s="44">
        <f t="shared" si="412"/>
        <v>0</v>
      </c>
      <c r="KD63" s="44">
        <f t="shared" si="412"/>
        <v>0</v>
      </c>
      <c r="KE63" s="44">
        <f t="shared" si="412"/>
        <v>0</v>
      </c>
      <c r="KF63" s="44">
        <f t="shared" si="412"/>
        <v>0</v>
      </c>
      <c r="KG63" s="44">
        <f t="shared" si="412"/>
        <v>0</v>
      </c>
      <c r="KH63" s="44">
        <f t="shared" si="412"/>
        <v>0</v>
      </c>
      <c r="KI63" s="44">
        <f t="shared" si="412"/>
        <v>0</v>
      </c>
      <c r="KJ63" s="38">
        <f>SUM(JX63:KI63)</f>
        <v>0</v>
      </c>
      <c r="KK63" s="44">
        <f t="shared" ref="KK63:KV63" si="413">SUM(KK15+KK21+KK27+KK33+KK39+KK45+KK51+KK57)</f>
        <v>0</v>
      </c>
      <c r="KL63" s="44">
        <f t="shared" si="413"/>
        <v>0</v>
      </c>
      <c r="KM63" s="44">
        <f t="shared" si="413"/>
        <v>0</v>
      </c>
      <c r="KN63" s="44">
        <f t="shared" si="413"/>
        <v>0</v>
      </c>
      <c r="KO63" s="44">
        <f t="shared" si="413"/>
        <v>0</v>
      </c>
      <c r="KP63" s="44">
        <f t="shared" si="413"/>
        <v>0</v>
      </c>
      <c r="KQ63" s="44">
        <f t="shared" si="413"/>
        <v>0</v>
      </c>
      <c r="KR63" s="44">
        <f t="shared" si="413"/>
        <v>0</v>
      </c>
      <c r="KS63" s="44">
        <f t="shared" si="413"/>
        <v>0</v>
      </c>
      <c r="KT63" s="44">
        <f t="shared" si="413"/>
        <v>0</v>
      </c>
      <c r="KU63" s="44">
        <f t="shared" si="413"/>
        <v>0</v>
      </c>
      <c r="KV63" s="44">
        <f t="shared" si="413"/>
        <v>0</v>
      </c>
      <c r="KW63" s="38">
        <f>SUM(KK63:KV63)</f>
        <v>0</v>
      </c>
      <c r="KX63" s="36">
        <f t="shared" si="30"/>
        <v>0</v>
      </c>
      <c r="KY63" s="26"/>
      <c r="KZ63" s="44">
        <f t="shared" ref="KZ63:LK63" si="414">SUM(KZ15+KZ21+KZ27+KZ33+KZ39+KZ45+KZ51+KZ57)</f>
        <v>0</v>
      </c>
      <c r="LA63" s="44">
        <f t="shared" si="414"/>
        <v>0</v>
      </c>
      <c r="LB63" s="44">
        <f t="shared" si="414"/>
        <v>0</v>
      </c>
      <c r="LC63" s="44">
        <f t="shared" si="414"/>
        <v>0</v>
      </c>
      <c r="LD63" s="44">
        <f t="shared" si="414"/>
        <v>0</v>
      </c>
      <c r="LE63" s="44">
        <f t="shared" si="414"/>
        <v>0</v>
      </c>
      <c r="LF63" s="44">
        <f t="shared" si="414"/>
        <v>0</v>
      </c>
      <c r="LG63" s="44">
        <f t="shared" si="414"/>
        <v>0</v>
      </c>
      <c r="LH63" s="44">
        <f t="shared" si="414"/>
        <v>0</v>
      </c>
      <c r="LI63" s="44">
        <f t="shared" si="414"/>
        <v>0</v>
      </c>
      <c r="LJ63" s="44">
        <f t="shared" si="414"/>
        <v>0</v>
      </c>
      <c r="LK63" s="44">
        <f t="shared" si="414"/>
        <v>0</v>
      </c>
      <c r="LL63" s="38">
        <f>SUM(KZ63:LK63)</f>
        <v>0</v>
      </c>
      <c r="LM63" s="26"/>
      <c r="LN63" s="44">
        <f t="shared" ref="LN63:LY63" si="415">SUM(LN15+LN21+LN27+LN33+LN39+LN45+LN51+LN57)</f>
        <v>0</v>
      </c>
      <c r="LO63" s="44">
        <f t="shared" si="415"/>
        <v>0</v>
      </c>
      <c r="LP63" s="44">
        <f t="shared" si="415"/>
        <v>0</v>
      </c>
      <c r="LQ63" s="44">
        <f t="shared" si="415"/>
        <v>0</v>
      </c>
      <c r="LR63" s="44">
        <f t="shared" si="415"/>
        <v>0</v>
      </c>
      <c r="LS63" s="44">
        <f t="shared" si="415"/>
        <v>0</v>
      </c>
      <c r="LT63" s="44">
        <f t="shared" si="415"/>
        <v>0</v>
      </c>
      <c r="LU63" s="44">
        <f t="shared" si="415"/>
        <v>0</v>
      </c>
      <c r="LV63" s="44">
        <f t="shared" si="415"/>
        <v>0</v>
      </c>
      <c r="LW63" s="44">
        <f t="shared" si="415"/>
        <v>0</v>
      </c>
      <c r="LX63" s="44">
        <f t="shared" si="415"/>
        <v>0</v>
      </c>
      <c r="LY63" s="44">
        <f t="shared" si="415"/>
        <v>0</v>
      </c>
      <c r="LZ63" s="38">
        <f t="shared" si="31"/>
        <v>0</v>
      </c>
      <c r="MA63" s="26"/>
      <c r="MB63" s="44">
        <f t="shared" ref="MB63:MM63" si="416">SUM(MB15+MB21+MB27+MB33+MB39+MB45+MB51+MB57)</f>
        <v>0</v>
      </c>
      <c r="MC63" s="44">
        <f t="shared" si="416"/>
        <v>0</v>
      </c>
      <c r="MD63" s="44">
        <f t="shared" si="416"/>
        <v>0</v>
      </c>
      <c r="ME63" s="44">
        <f t="shared" si="416"/>
        <v>0</v>
      </c>
      <c r="MF63" s="44">
        <f t="shared" si="416"/>
        <v>0</v>
      </c>
      <c r="MG63" s="44">
        <f t="shared" si="416"/>
        <v>0</v>
      </c>
      <c r="MH63" s="44">
        <f t="shared" si="416"/>
        <v>0</v>
      </c>
      <c r="MI63" s="44">
        <f t="shared" si="416"/>
        <v>0</v>
      </c>
      <c r="MJ63" s="44">
        <f t="shared" si="416"/>
        <v>0</v>
      </c>
      <c r="MK63" s="44">
        <f t="shared" si="416"/>
        <v>0</v>
      </c>
      <c r="ML63" s="44">
        <f t="shared" si="416"/>
        <v>0</v>
      </c>
      <c r="MM63" s="44">
        <f t="shared" si="416"/>
        <v>0</v>
      </c>
      <c r="MN63" s="38">
        <f>SUM(MB63:MM63)</f>
        <v>0</v>
      </c>
      <c r="MO63" s="44">
        <f t="shared" ref="MO63:MZ63" si="417">SUM(MO15+MO21+MO27+MO33+MO39+MO45+MO51+MO57)</f>
        <v>0</v>
      </c>
      <c r="MP63" s="44">
        <f t="shared" si="417"/>
        <v>0</v>
      </c>
      <c r="MQ63" s="44">
        <f t="shared" si="417"/>
        <v>0</v>
      </c>
      <c r="MR63" s="44">
        <f t="shared" si="417"/>
        <v>0</v>
      </c>
      <c r="MS63" s="44">
        <f t="shared" si="417"/>
        <v>0</v>
      </c>
      <c r="MT63" s="44">
        <f t="shared" si="417"/>
        <v>0</v>
      </c>
      <c r="MU63" s="44">
        <f t="shared" si="417"/>
        <v>0</v>
      </c>
      <c r="MV63" s="44">
        <f t="shared" si="417"/>
        <v>0</v>
      </c>
      <c r="MW63" s="44">
        <f t="shared" si="417"/>
        <v>0</v>
      </c>
      <c r="MX63" s="44">
        <f t="shared" si="417"/>
        <v>0</v>
      </c>
      <c r="MY63" s="44">
        <f t="shared" si="417"/>
        <v>0</v>
      </c>
      <c r="MZ63" s="44">
        <f t="shared" si="417"/>
        <v>0</v>
      </c>
      <c r="NA63" s="38">
        <f>SUM(MO63:MZ63)</f>
        <v>0</v>
      </c>
      <c r="NB63" s="36">
        <f t="shared" si="34"/>
        <v>0</v>
      </c>
      <c r="NC63" s="26"/>
      <c r="ND63" s="44">
        <f t="shared" ref="ND63:NO63" si="418">SUM(ND15+ND21+ND27+ND33+ND39+ND45+ND51+ND57)</f>
        <v>0</v>
      </c>
      <c r="NE63" s="44">
        <f t="shared" si="418"/>
        <v>0</v>
      </c>
      <c r="NF63" s="44">
        <f t="shared" si="418"/>
        <v>0</v>
      </c>
      <c r="NG63" s="44">
        <f t="shared" si="418"/>
        <v>0</v>
      </c>
      <c r="NH63" s="44">
        <f t="shared" si="418"/>
        <v>0</v>
      </c>
      <c r="NI63" s="44">
        <f t="shared" si="418"/>
        <v>0</v>
      </c>
      <c r="NJ63" s="44">
        <f t="shared" si="418"/>
        <v>0</v>
      </c>
      <c r="NK63" s="44">
        <f t="shared" si="418"/>
        <v>0</v>
      </c>
      <c r="NL63" s="44">
        <f t="shared" si="418"/>
        <v>0</v>
      </c>
      <c r="NM63" s="44">
        <f t="shared" si="418"/>
        <v>0</v>
      </c>
      <c r="NN63" s="44">
        <f t="shared" si="418"/>
        <v>0</v>
      </c>
      <c r="NO63" s="44">
        <f t="shared" si="418"/>
        <v>0</v>
      </c>
      <c r="NP63" s="38">
        <f t="shared" si="35"/>
        <v>0</v>
      </c>
      <c r="NQ63" s="36">
        <f t="shared" si="36"/>
        <v>0</v>
      </c>
      <c r="NR63" s="36">
        <f t="shared" si="37"/>
        <v>0</v>
      </c>
      <c r="NS63" s="36">
        <f t="shared" si="38"/>
        <v>0</v>
      </c>
      <c r="NT63" s="36">
        <f t="shared" si="39"/>
        <v>0</v>
      </c>
      <c r="NU63" s="21"/>
      <c r="NV63" s="21"/>
      <c r="NW63" s="21"/>
      <c r="NX63" s="21"/>
      <c r="NY63" s="21"/>
      <c r="NZ63" s="21"/>
      <c r="OA63" s="21"/>
      <c r="OB63" s="21"/>
      <c r="OC63" s="21"/>
      <c r="OD63" s="21"/>
      <c r="OE63" s="21"/>
      <c r="OF63" s="21"/>
      <c r="OG63" s="21"/>
      <c r="OH63" s="21"/>
      <c r="OI63" s="21"/>
      <c r="OJ63" s="21"/>
      <c r="OK63" s="21"/>
      <c r="OL63" s="21"/>
      <c r="OM63" s="21"/>
      <c r="ON63" s="21"/>
      <c r="OO63" s="21"/>
      <c r="OP63" s="22"/>
      <c r="OQ63" s="21"/>
      <c r="OR63" s="21"/>
      <c r="OS63" s="21"/>
      <c r="OT63" s="21"/>
      <c r="OU63" s="21"/>
      <c r="OV63" s="21"/>
      <c r="OW63" s="21"/>
      <c r="OX63" s="21"/>
      <c r="OY63" s="21"/>
      <c r="OZ63" s="21"/>
      <c r="PA63" s="21"/>
      <c r="PB63" s="21"/>
      <c r="PC63" s="21"/>
      <c r="PD63" s="21"/>
      <c r="PE63" s="21"/>
      <c r="PF63" s="21"/>
      <c r="PG63" s="21"/>
      <c r="PH63" s="21"/>
      <c r="PI63" s="21"/>
      <c r="PJ63" s="21"/>
      <c r="PK63" s="21"/>
      <c r="PL63" s="21"/>
      <c r="PM63" s="21"/>
      <c r="PN63" s="21"/>
      <c r="PO63" s="21"/>
      <c r="PP63" s="22"/>
      <c r="PQ63" s="21"/>
      <c r="PR63" s="21"/>
      <c r="PS63" s="21"/>
      <c r="PT63" s="21"/>
      <c r="PU63" s="21"/>
      <c r="PV63" s="21"/>
      <c r="PW63" s="21"/>
      <c r="PX63" s="21"/>
      <c r="PY63" s="21"/>
      <c r="PZ63" s="21"/>
      <c r="QA63" s="21"/>
      <c r="QB63" s="21"/>
      <c r="QC63" s="21"/>
      <c r="QD63" s="21"/>
      <c r="QE63" s="21"/>
      <c r="QF63" s="21"/>
      <c r="QG63" s="21"/>
      <c r="QH63" s="21"/>
      <c r="QI63" s="21"/>
      <c r="QJ63" s="21"/>
      <c r="QK63" s="21"/>
      <c r="QL63" s="21"/>
      <c r="QM63" s="21"/>
      <c r="QN63" s="21"/>
      <c r="QO63" s="21"/>
      <c r="QP63" s="22"/>
    </row>
    <row r="65" spans="4:367" x14ac:dyDescent="0.25">
      <c r="AD65" s="9"/>
      <c r="AE65" s="9"/>
      <c r="BG65" s="9"/>
      <c r="CI65" s="9"/>
      <c r="DK65" s="9"/>
      <c r="EM65" s="9"/>
      <c r="FA65" s="9"/>
      <c r="FO65" s="9"/>
      <c r="GC65" s="9"/>
      <c r="GQ65" s="9"/>
      <c r="HE65" s="9"/>
      <c r="HS65" s="9"/>
      <c r="IU65" s="9"/>
      <c r="JW65" s="9"/>
      <c r="KY65" s="9"/>
      <c r="LM65" s="9"/>
      <c r="MA65" s="9"/>
      <c r="NC65" s="9"/>
    </row>
    <row r="66" spans="4:367" x14ac:dyDescent="0.25">
      <c r="Q66" s="9"/>
      <c r="AD66" s="9"/>
      <c r="AE66" s="9"/>
      <c r="BG66" s="9"/>
      <c r="CI66" s="9"/>
      <c r="DK66" s="9"/>
      <c r="EM66" s="9"/>
      <c r="FA66" s="9"/>
      <c r="FO66" s="9"/>
      <c r="GC66" s="9"/>
      <c r="GQ66" s="9"/>
      <c r="HE66" s="9"/>
      <c r="HS66" s="9"/>
      <c r="IU66" s="9"/>
      <c r="JW66" s="9"/>
      <c r="KY66" s="9"/>
      <c r="LM66" s="9"/>
      <c r="MA66" s="9"/>
      <c r="NC66" s="9"/>
    </row>
    <row r="67" spans="4:367" x14ac:dyDescent="0.25">
      <c r="D67" s="9"/>
      <c r="E67" s="9"/>
      <c r="F67" s="9"/>
      <c r="Q67" s="9"/>
      <c r="AD67" s="9"/>
      <c r="AE67" s="9"/>
      <c r="BG67" s="9"/>
      <c r="CI67" s="9"/>
      <c r="DK67" s="9"/>
      <c r="EM67" s="9"/>
      <c r="FA67" s="9"/>
      <c r="FO67" s="9"/>
      <c r="GC67" s="9"/>
      <c r="GQ67" s="9"/>
      <c r="HE67" s="9"/>
      <c r="HS67" s="9"/>
      <c r="IU67" s="9"/>
      <c r="JW67" s="9"/>
      <c r="KY67" s="9"/>
      <c r="LM67" s="9"/>
      <c r="MA67" s="9"/>
      <c r="NC67" s="9"/>
    </row>
    <row r="68" spans="4:367" x14ac:dyDescent="0.25">
      <c r="D68" s="9"/>
      <c r="Q68" s="9"/>
      <c r="AD68" s="9"/>
      <c r="AE68" s="9"/>
      <c r="BG68" s="9"/>
      <c r="CI68" s="9"/>
      <c r="DK68" s="9"/>
      <c r="EM68" s="9"/>
      <c r="FA68" s="9"/>
      <c r="FO68" s="9"/>
      <c r="GC68" s="9"/>
      <c r="GQ68" s="9"/>
      <c r="HE68" s="9"/>
      <c r="HS68" s="9"/>
      <c r="IU68" s="9"/>
      <c r="JW68" s="9"/>
      <c r="KY68" s="9"/>
      <c r="LM68" s="9"/>
      <c r="MA68" s="9"/>
      <c r="NC68" s="9"/>
    </row>
    <row r="69" spans="4:367" x14ac:dyDescent="0.25">
      <c r="D69" s="9"/>
      <c r="Q69" s="9"/>
      <c r="AD69" s="9"/>
      <c r="AE69" s="9"/>
      <c r="BG69" s="9"/>
      <c r="CI69" s="9"/>
      <c r="DK69" s="9"/>
      <c r="EM69" s="9"/>
      <c r="FA69" s="9"/>
      <c r="FO69" s="9"/>
      <c r="GC69" s="9"/>
      <c r="GQ69" s="9"/>
      <c r="HE69" s="9"/>
      <c r="HS69" s="9"/>
      <c r="IU69" s="9"/>
      <c r="JW69" s="9"/>
      <c r="KY69" s="9"/>
      <c r="LM69" s="9"/>
      <c r="MA69" s="9"/>
      <c r="NC69" s="9"/>
    </row>
    <row r="70" spans="4:367" x14ac:dyDescent="0.25">
      <c r="D70" s="9"/>
      <c r="Q70" s="9"/>
    </row>
    <row r="71" spans="4:367" x14ac:dyDescent="0.25">
      <c r="D71" s="9"/>
      <c r="Q71" s="9"/>
    </row>
    <row r="72" spans="4:367" x14ac:dyDescent="0.25">
      <c r="D72" s="9"/>
      <c r="Q72" s="9"/>
    </row>
    <row r="73" spans="4:367" x14ac:dyDescent="0.25">
      <c r="Q73" s="9"/>
    </row>
  </sheetData>
  <mergeCells count="70">
    <mergeCell ref="A46:A51"/>
    <mergeCell ref="A52:A57"/>
    <mergeCell ref="A58:A63"/>
    <mergeCell ref="A10:A15"/>
    <mergeCell ref="A16:A21"/>
    <mergeCell ref="A22:A27"/>
    <mergeCell ref="A28:A33"/>
    <mergeCell ref="A34:A39"/>
    <mergeCell ref="A40:A45"/>
    <mergeCell ref="MO8:NA8"/>
    <mergeCell ref="ND8:NP8"/>
    <mergeCell ref="OQ8:PC8"/>
    <mergeCell ref="PD8:PP8"/>
    <mergeCell ref="PQ8:QC8"/>
    <mergeCell ref="NR7:NR9"/>
    <mergeCell ref="NS7:NS9"/>
    <mergeCell ref="NT7:NT9"/>
    <mergeCell ref="HF8:HR8"/>
    <mergeCell ref="HT8:IF8"/>
    <mergeCell ref="IG8:IS8"/>
    <mergeCell ref="QD8:QP8"/>
    <mergeCell ref="JI8:JU8"/>
    <mergeCell ref="JX8:KJ8"/>
    <mergeCell ref="KK8:KW8"/>
    <mergeCell ref="KZ8:LL8"/>
    <mergeCell ref="LN8:LZ8"/>
    <mergeCell ref="MB8:MN8"/>
    <mergeCell ref="NQ7:NQ9"/>
    <mergeCell ref="OQ7:PP7"/>
    <mergeCell ref="PQ7:QP7"/>
    <mergeCell ref="LN7:LZ7"/>
    <mergeCell ref="MB7:NB7"/>
    <mergeCell ref="ND7:NP7"/>
    <mergeCell ref="EN8:EZ8"/>
    <mergeCell ref="FB8:FN8"/>
    <mergeCell ref="FP8:GB8"/>
    <mergeCell ref="GD8:GP8"/>
    <mergeCell ref="GR8:HD8"/>
    <mergeCell ref="D8:P8"/>
    <mergeCell ref="Q8:AC8"/>
    <mergeCell ref="AF8:AR8"/>
    <mergeCell ref="AS8:BE8"/>
    <mergeCell ref="BH8:BT8"/>
    <mergeCell ref="BU8:CG8"/>
    <mergeCell ref="CJ8:CV8"/>
    <mergeCell ref="IV7:JV7"/>
    <mergeCell ref="JX7:KX7"/>
    <mergeCell ref="KZ7:LL7"/>
    <mergeCell ref="FB7:FN7"/>
    <mergeCell ref="FP7:GB7"/>
    <mergeCell ref="GD7:GP7"/>
    <mergeCell ref="GR7:HD7"/>
    <mergeCell ref="HF7:HR7"/>
    <mergeCell ref="HT7:IT7"/>
    <mergeCell ref="EN7:EZ7"/>
    <mergeCell ref="IV8:JH8"/>
    <mergeCell ref="CW8:DI8"/>
    <mergeCell ref="DL8:DX8"/>
    <mergeCell ref="DY8:EK8"/>
    <mergeCell ref="D7:AD7"/>
    <mergeCell ref="AF7:BF7"/>
    <mergeCell ref="BH7:CH7"/>
    <mergeCell ref="CJ7:DJ7"/>
    <mergeCell ref="DL7:EL7"/>
    <mergeCell ref="A6:NC6"/>
    <mergeCell ref="A1:NC1"/>
    <mergeCell ref="A2:NC2"/>
    <mergeCell ref="A3:NC3"/>
    <mergeCell ref="A4:NC4"/>
    <mergeCell ref="A5:NC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DH</vt:lpstr>
      <vt:lpstr>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 CALIDAD</dc:creator>
  <cp:lastModifiedBy>Dpto. Calidad 03</cp:lastModifiedBy>
  <dcterms:created xsi:type="dcterms:W3CDTF">2023-03-10T22:34:52Z</dcterms:created>
  <dcterms:modified xsi:type="dcterms:W3CDTF">2024-05-28T15:36:20Z</dcterms:modified>
</cp:coreProperties>
</file>